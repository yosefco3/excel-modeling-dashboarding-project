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Ex4.xml" ContentType="application/vnd.ms-office.chartex+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Ex5.xml" ContentType="application/vnd.ms-office.chartex+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11"/>
  <workbookPr defaultThemeVersion="166925"/>
  <mc:AlternateContent xmlns:mc="http://schemas.openxmlformats.org/markup-compatibility/2006">
    <mc:Choice Requires="x15">
      <x15ac:absPath xmlns:x15ac="http://schemas.microsoft.com/office/spreadsheetml/2010/11/ac" url="https://d.docs.live.net/72bac3d50f6c0526/מסמכים/"/>
    </mc:Choice>
  </mc:AlternateContent>
  <xr:revisionPtr revIDLastSave="0" documentId="8_{BD3E6C81-7479-41C3-8B52-24A6C2FE8E6B}" xr6:coauthVersionLast="46" xr6:coauthVersionMax="46" xr10:uidLastSave="{00000000-0000-0000-0000-000000000000}"/>
  <bookViews>
    <workbookView xWindow="-120" yWindow="-120" windowWidth="20730" windowHeight="11160" firstSheet="5" activeTab="5" xr2:uid="{528B3250-F92C-4F2A-96EE-6238810B6CD4}"/>
  </bookViews>
  <sheets>
    <sheet name="nyse-data-with-p&amp;l" sheetId="1" r:id="rId1"/>
    <sheet name="energy sector statistics" sheetId="5" r:id="rId2"/>
    <sheet name="integrated oil &amp; gas statistics" sheetId="7" r:id="rId3"/>
    <sheet name="hist log transform" sheetId="8" r:id="rId4"/>
    <sheet name="boxes log transform" sheetId="6" r:id="rId5"/>
    <sheet name="dashboard P&amp;L" sheetId="9" r:id="rId6"/>
    <sheet name="Completed_Scenario Forecast_v2" sheetId="11" r:id="rId7"/>
    <sheet name="helper" sheetId="10" r:id="rId8"/>
  </sheets>
  <externalReferences>
    <externalReference r:id="rId9"/>
  </externalReferences>
  <definedNames>
    <definedName name="_xlnm._FilterDatabase" localSheetId="0" hidden="1">'nyse-data-with-p&amp;l'!$B$1:$B$1711</definedName>
    <definedName name="_xlchart.v1.0" hidden="1">'energy sector statistics'!$B$2:$B$1711</definedName>
    <definedName name="_xlchart.v1.1" hidden="1">'energy sector statistics'!$C$2:$C$1711</definedName>
    <definedName name="_xlchart.v1.2" hidden="1">'integrated oil &amp; gas statistics'!$A$1681:$B$1712</definedName>
    <definedName name="_xlchart.v1.3" hidden="1">'integrated oil &amp; gas statistics'!$C$1681:$C$1712</definedName>
    <definedName name="_xlchart.v1.4" hidden="1">'integrated oil &amp; gas statistics'!$A$2:$B$21</definedName>
    <definedName name="_xlchart.v1.5" hidden="1">'integrated oil &amp; gas statistics'!$C$2:$C$21</definedName>
    <definedName name="_xlchart.v1.6" hidden="1">'hist log transform'!$A$2:$B$21</definedName>
    <definedName name="_xlchart.v1.7" hidden="1">'hist log transform'!$D$2:$D$21</definedName>
    <definedName name="_xlchart.v1.8" hidden="1">'boxes log transform'!$A$2:$B$125</definedName>
    <definedName name="_xlchart.v1.9" hidden="1">'boxes log transform'!$D$2:$D$125</definedName>
    <definedName name="COGS">[1]Data!$F$2:$F$13</definedName>
    <definedName name="companylist">[1]Data!$B$15:$B$18</definedName>
    <definedName name="grossmargin">[1]Data!$K$2:$K$13</definedName>
    <definedName name="helper_tick">helper!$A:$A</definedName>
    <definedName name="id">'nyse-data-with-p&amp;l'!$A$1:$A$1711</definedName>
    <definedName name="my_table">'nyse-data-with-p&amp;l'!$A$1:$Q$1711</definedName>
    <definedName name="oper_margin">[1]Data!$L$2:$L$13</definedName>
    <definedName name="OtherOpItems">[1]Data!$H$2:$H$13</definedName>
    <definedName name="SGAs">[1]Data!$G$2:$G$13</definedName>
    <definedName name="ticker">'nyse-data-with-p&amp;l'!$B$1:$B$1711</definedName>
    <definedName name="tickersymbol">[1]Data!$B$2:$B$13</definedName>
    <definedName name="total_revenue">[1]Data!$E$2:$E$13</definedName>
    <definedName name="years">'nyse-data-with-p&amp;l'!$C$1:$C$1711</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 i="9" l="1"/>
  <c r="E10" i="9"/>
  <c r="D11" i="9"/>
  <c r="E11" i="9"/>
  <c r="D12" i="9"/>
  <c r="E12" i="9"/>
  <c r="D13" i="9"/>
  <c r="E13" i="9"/>
  <c r="G12" i="9"/>
  <c r="F12" i="9"/>
  <c r="F11" i="9"/>
  <c r="G11" i="9"/>
  <c r="G10" i="9"/>
  <c r="G13" i="9" s="1"/>
  <c r="F10" i="9"/>
  <c r="F13" i="9" s="1"/>
  <c r="G8" i="9"/>
  <c r="F8" i="9"/>
  <c r="E8" i="9"/>
  <c r="D7" i="9"/>
  <c r="D8" i="9"/>
  <c r="G7" i="9"/>
  <c r="G9" i="9" s="1"/>
  <c r="G14" i="9" s="1"/>
  <c r="F7" i="9"/>
  <c r="F9" i="9" s="1"/>
  <c r="F14" i="9" s="1"/>
  <c r="E7" i="9"/>
  <c r="E9" i="9" s="1"/>
  <c r="E14" i="9" s="1"/>
  <c r="E132" i="5"/>
  <c r="E131" i="5"/>
  <c r="E130" i="5"/>
  <c r="E129" i="5"/>
  <c r="E128" i="5"/>
  <c r="E7" i="7"/>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E19" i="11" s="1" a="1"/>
  <c r="E19" i="11" s="1"/>
  <c r="Q43" i="1"/>
  <c r="F19" i="11" s="1" a="1"/>
  <c r="F19" i="11" s="1"/>
  <c r="Q44" i="1"/>
  <c r="G19" i="11" s="1" a="1"/>
  <c r="G19" i="11" s="1"/>
  <c r="Q45" i="1"/>
  <c r="H19" i="11" s="1" a="1"/>
  <c r="H19" i="11" s="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H11" i="11" a="1"/>
  <c r="H11" i="11" s="1"/>
  <c r="G11" i="11" a="1"/>
  <c r="G11" i="11" s="1"/>
  <c r="F11" i="11" a="1"/>
  <c r="F11" i="11" s="1"/>
  <c r="E11" i="11" a="1"/>
  <c r="E11" i="11" s="1"/>
  <c r="H10" i="11" a="1"/>
  <c r="H10" i="11" s="1"/>
  <c r="G10" i="11" a="1"/>
  <c r="G10" i="11" s="1"/>
  <c r="F10" i="11" a="1"/>
  <c r="F10" i="11" s="1"/>
  <c r="E10" i="11" a="1"/>
  <c r="E10" i="11" s="1"/>
  <c r="H8" i="11" a="1"/>
  <c r="H8" i="11" s="1"/>
  <c r="G8" i="11" a="1"/>
  <c r="G8" i="11" s="1"/>
  <c r="F8" i="11" a="1"/>
  <c r="F8" i="11" s="1"/>
  <c r="E8" i="11" a="1"/>
  <c r="E8" i="11" s="1"/>
  <c r="H7" i="11" a="1"/>
  <c r="H7" i="11" s="1"/>
  <c r="G7" i="11" a="1"/>
  <c r="G7" i="11" s="1"/>
  <c r="F7" i="11" a="1"/>
  <c r="F7" i="11" s="1"/>
  <c r="E7" i="11" a="1"/>
  <c r="E7" i="11" s="1"/>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21" i="8"/>
  <c r="D20" i="8"/>
  <c r="D19" i="8"/>
  <c r="D18" i="8"/>
  <c r="D17" i="8"/>
  <c r="D16" i="8"/>
  <c r="D15" i="8"/>
  <c r="D14" i="8"/>
  <c r="D13" i="8"/>
  <c r="D12" i="8"/>
  <c r="D11" i="8"/>
  <c r="D10" i="8"/>
  <c r="D9" i="8"/>
  <c r="D8" i="8"/>
  <c r="D7" i="8"/>
  <c r="D6" i="8"/>
  <c r="D5" i="8"/>
  <c r="D4" i="8"/>
  <c r="D3" i="8"/>
  <c r="D2" i="8"/>
  <c r="E6" i="7"/>
  <c r="E5" i="7"/>
  <c r="E4" i="7"/>
  <c r="E3" i="7"/>
  <c r="N1711" i="1"/>
  <c r="M1711" i="1"/>
  <c r="O1711" i="1" s="1"/>
  <c r="P1711" i="1" s="1"/>
  <c r="E1711" i="1"/>
  <c r="N1710" i="1"/>
  <c r="M1710" i="1"/>
  <c r="O1710" i="1" s="1"/>
  <c r="P1710" i="1" s="1"/>
  <c r="E1710" i="1"/>
  <c r="N1709" i="1"/>
  <c r="M1709" i="1"/>
  <c r="O1709" i="1" s="1"/>
  <c r="P1709" i="1" s="1"/>
  <c r="E1709" i="1"/>
  <c r="N1708" i="1"/>
  <c r="M1708" i="1"/>
  <c r="E1708" i="1"/>
  <c r="N1707" i="1"/>
  <c r="M1707" i="1"/>
  <c r="O1707" i="1" s="1"/>
  <c r="P1707" i="1" s="1"/>
  <c r="E1707" i="1"/>
  <c r="N1706" i="1"/>
  <c r="M1706" i="1"/>
  <c r="O1706" i="1" s="1"/>
  <c r="P1706" i="1" s="1"/>
  <c r="E1706" i="1"/>
  <c r="N1705" i="1"/>
  <c r="M1705" i="1"/>
  <c r="O1705" i="1" s="1"/>
  <c r="P1705" i="1" s="1"/>
  <c r="E1705" i="1"/>
  <c r="N1704" i="1"/>
  <c r="M1704" i="1"/>
  <c r="O1704" i="1" s="1"/>
  <c r="P1704" i="1" s="1"/>
  <c r="E1704" i="1"/>
  <c r="N1703" i="1"/>
  <c r="M1703" i="1"/>
  <c r="O1703" i="1" s="1"/>
  <c r="P1703" i="1" s="1"/>
  <c r="E1703" i="1"/>
  <c r="N1702" i="1"/>
  <c r="M1702" i="1"/>
  <c r="O1702" i="1" s="1"/>
  <c r="P1702" i="1" s="1"/>
  <c r="E1702" i="1"/>
  <c r="N1701" i="1"/>
  <c r="M1701" i="1"/>
  <c r="O1701" i="1" s="1"/>
  <c r="P1701" i="1" s="1"/>
  <c r="E1701" i="1"/>
  <c r="N1700" i="1"/>
  <c r="M1700" i="1"/>
  <c r="E1700" i="1"/>
  <c r="N1699" i="1"/>
  <c r="M1699" i="1"/>
  <c r="O1699" i="1" s="1"/>
  <c r="P1699" i="1" s="1"/>
  <c r="E1699" i="1"/>
  <c r="N1698" i="1"/>
  <c r="M1698" i="1"/>
  <c r="O1698" i="1" s="1"/>
  <c r="P1698" i="1" s="1"/>
  <c r="E1698" i="1"/>
  <c r="N1697" i="1"/>
  <c r="M1697" i="1"/>
  <c r="O1697" i="1" s="1"/>
  <c r="P1697" i="1" s="1"/>
  <c r="E1697" i="1"/>
  <c r="N1696" i="1"/>
  <c r="M1696" i="1"/>
  <c r="O1696" i="1" s="1"/>
  <c r="P1696" i="1" s="1"/>
  <c r="E1696" i="1"/>
  <c r="N1695" i="1"/>
  <c r="M1695" i="1"/>
  <c r="O1695" i="1" s="1"/>
  <c r="P1695" i="1" s="1"/>
  <c r="E1695" i="1"/>
  <c r="N1694" i="1"/>
  <c r="M1694" i="1"/>
  <c r="O1694" i="1" s="1"/>
  <c r="P1694" i="1" s="1"/>
  <c r="E1694" i="1"/>
  <c r="N1693" i="1"/>
  <c r="M1693" i="1"/>
  <c r="O1693" i="1" s="1"/>
  <c r="P1693" i="1" s="1"/>
  <c r="E1693" i="1"/>
  <c r="N1692" i="1"/>
  <c r="M1692" i="1"/>
  <c r="E1692" i="1"/>
  <c r="N1691" i="1"/>
  <c r="M1691" i="1"/>
  <c r="O1691" i="1" s="1"/>
  <c r="P1691" i="1" s="1"/>
  <c r="E1691" i="1"/>
  <c r="N1690" i="1"/>
  <c r="M1690" i="1"/>
  <c r="O1690" i="1" s="1"/>
  <c r="P1690" i="1" s="1"/>
  <c r="E1690" i="1"/>
  <c r="N1689" i="1"/>
  <c r="M1689" i="1"/>
  <c r="O1689" i="1" s="1"/>
  <c r="P1689" i="1" s="1"/>
  <c r="E1689" i="1"/>
  <c r="N1688" i="1"/>
  <c r="M1688" i="1"/>
  <c r="O1688" i="1" s="1"/>
  <c r="P1688" i="1" s="1"/>
  <c r="E1688" i="1"/>
  <c r="N1687" i="1"/>
  <c r="M1687" i="1"/>
  <c r="O1687" i="1" s="1"/>
  <c r="P1687" i="1" s="1"/>
  <c r="E1687" i="1"/>
  <c r="N1686" i="1"/>
  <c r="M1686" i="1"/>
  <c r="O1686" i="1" s="1"/>
  <c r="P1686" i="1" s="1"/>
  <c r="E1686" i="1"/>
  <c r="N1685" i="1"/>
  <c r="M1685" i="1"/>
  <c r="O1685" i="1" s="1"/>
  <c r="P1685" i="1" s="1"/>
  <c r="E1685" i="1"/>
  <c r="N1684" i="1"/>
  <c r="M1684" i="1"/>
  <c r="E1684" i="1"/>
  <c r="N1683" i="1"/>
  <c r="M1683" i="1"/>
  <c r="O1683" i="1" s="1"/>
  <c r="P1683" i="1" s="1"/>
  <c r="E1683" i="1"/>
  <c r="N1682" i="1"/>
  <c r="M1682" i="1"/>
  <c r="O1682" i="1" s="1"/>
  <c r="P1682" i="1" s="1"/>
  <c r="E1682" i="1"/>
  <c r="N1681" i="1"/>
  <c r="M1681" i="1"/>
  <c r="O1681" i="1" s="1"/>
  <c r="P1681" i="1" s="1"/>
  <c r="E1681" i="1"/>
  <c r="N1680" i="1"/>
  <c r="M1680" i="1"/>
  <c r="O1680" i="1" s="1"/>
  <c r="P1680" i="1" s="1"/>
  <c r="E1680" i="1"/>
  <c r="N1679" i="1"/>
  <c r="M1679" i="1"/>
  <c r="O1679" i="1" s="1"/>
  <c r="P1679" i="1" s="1"/>
  <c r="E1679" i="1"/>
  <c r="N1678" i="1"/>
  <c r="M1678" i="1"/>
  <c r="O1678" i="1" s="1"/>
  <c r="P1678" i="1" s="1"/>
  <c r="E1678" i="1"/>
  <c r="N1677" i="1"/>
  <c r="M1677" i="1"/>
  <c r="O1677" i="1" s="1"/>
  <c r="P1677" i="1" s="1"/>
  <c r="E1677" i="1"/>
  <c r="N1676" i="1"/>
  <c r="M1676" i="1"/>
  <c r="E1676" i="1"/>
  <c r="N1675" i="1"/>
  <c r="M1675" i="1"/>
  <c r="O1675" i="1" s="1"/>
  <c r="P1675" i="1" s="1"/>
  <c r="E1675" i="1"/>
  <c r="N1674" i="1"/>
  <c r="M1674" i="1"/>
  <c r="O1674" i="1" s="1"/>
  <c r="P1674" i="1" s="1"/>
  <c r="E1674" i="1"/>
  <c r="N1673" i="1"/>
  <c r="M1673" i="1"/>
  <c r="O1673" i="1" s="1"/>
  <c r="P1673" i="1" s="1"/>
  <c r="E1673" i="1"/>
  <c r="N1672" i="1"/>
  <c r="M1672" i="1"/>
  <c r="O1672" i="1" s="1"/>
  <c r="P1672" i="1" s="1"/>
  <c r="E1672" i="1"/>
  <c r="N1671" i="1"/>
  <c r="M1671" i="1"/>
  <c r="O1671" i="1" s="1"/>
  <c r="P1671" i="1" s="1"/>
  <c r="E1671" i="1"/>
  <c r="N1670" i="1"/>
  <c r="M1670" i="1"/>
  <c r="O1670" i="1" s="1"/>
  <c r="P1670" i="1" s="1"/>
  <c r="E1670" i="1"/>
  <c r="N1669" i="1"/>
  <c r="M1669" i="1"/>
  <c r="O1669" i="1" s="1"/>
  <c r="P1669" i="1" s="1"/>
  <c r="E1669" i="1"/>
  <c r="N1668" i="1"/>
  <c r="M1668" i="1"/>
  <c r="E1668" i="1"/>
  <c r="N1667" i="1"/>
  <c r="M1667" i="1"/>
  <c r="O1667" i="1" s="1"/>
  <c r="P1667" i="1" s="1"/>
  <c r="E1667" i="1"/>
  <c r="N1666" i="1"/>
  <c r="M1666" i="1"/>
  <c r="O1666" i="1" s="1"/>
  <c r="P1666" i="1" s="1"/>
  <c r="E1666" i="1"/>
  <c r="N1665" i="1"/>
  <c r="M1665" i="1"/>
  <c r="O1665" i="1" s="1"/>
  <c r="P1665" i="1" s="1"/>
  <c r="E1665" i="1"/>
  <c r="N1664" i="1"/>
  <c r="M1664" i="1"/>
  <c r="O1664" i="1" s="1"/>
  <c r="P1664" i="1" s="1"/>
  <c r="E1664" i="1"/>
  <c r="N1663" i="1"/>
  <c r="M1663" i="1"/>
  <c r="O1663" i="1" s="1"/>
  <c r="P1663" i="1" s="1"/>
  <c r="E1663" i="1"/>
  <c r="N1662" i="1"/>
  <c r="M1662" i="1"/>
  <c r="O1662" i="1" s="1"/>
  <c r="P1662" i="1" s="1"/>
  <c r="E1662" i="1"/>
  <c r="N1661" i="1"/>
  <c r="M1661" i="1"/>
  <c r="O1661" i="1" s="1"/>
  <c r="P1661" i="1" s="1"/>
  <c r="E1661" i="1"/>
  <c r="N1660" i="1"/>
  <c r="M1660" i="1"/>
  <c r="E1660" i="1"/>
  <c r="N1659" i="1"/>
  <c r="M1659" i="1"/>
  <c r="O1659" i="1" s="1"/>
  <c r="P1659" i="1" s="1"/>
  <c r="E1659" i="1"/>
  <c r="N1658" i="1"/>
  <c r="M1658" i="1"/>
  <c r="O1658" i="1" s="1"/>
  <c r="P1658" i="1" s="1"/>
  <c r="E1658" i="1"/>
  <c r="N1657" i="1"/>
  <c r="M1657" i="1"/>
  <c r="O1657" i="1" s="1"/>
  <c r="P1657" i="1" s="1"/>
  <c r="E1657" i="1"/>
  <c r="N1656" i="1"/>
  <c r="M1656" i="1"/>
  <c r="O1656" i="1" s="1"/>
  <c r="P1656" i="1" s="1"/>
  <c r="E1656" i="1"/>
  <c r="N1655" i="1"/>
  <c r="M1655" i="1"/>
  <c r="O1655" i="1" s="1"/>
  <c r="P1655" i="1" s="1"/>
  <c r="E1655" i="1"/>
  <c r="N1654" i="1"/>
  <c r="M1654" i="1"/>
  <c r="O1654" i="1" s="1"/>
  <c r="P1654" i="1" s="1"/>
  <c r="E1654" i="1"/>
  <c r="N1653" i="1"/>
  <c r="M1653" i="1"/>
  <c r="O1653" i="1" s="1"/>
  <c r="P1653" i="1" s="1"/>
  <c r="E1653" i="1"/>
  <c r="N1652" i="1"/>
  <c r="M1652" i="1"/>
  <c r="E1652" i="1"/>
  <c r="N1651" i="1"/>
  <c r="M1651" i="1"/>
  <c r="O1651" i="1" s="1"/>
  <c r="P1651" i="1" s="1"/>
  <c r="E1651" i="1"/>
  <c r="N1650" i="1"/>
  <c r="M1650" i="1"/>
  <c r="O1650" i="1" s="1"/>
  <c r="P1650" i="1" s="1"/>
  <c r="E1650" i="1"/>
  <c r="N1649" i="1"/>
  <c r="M1649" i="1"/>
  <c r="O1649" i="1" s="1"/>
  <c r="P1649" i="1" s="1"/>
  <c r="E1649" i="1"/>
  <c r="N1648" i="1"/>
  <c r="M1648" i="1"/>
  <c r="O1648" i="1" s="1"/>
  <c r="P1648" i="1" s="1"/>
  <c r="E1648" i="1"/>
  <c r="N1647" i="1"/>
  <c r="M1647" i="1"/>
  <c r="O1647" i="1" s="1"/>
  <c r="P1647" i="1" s="1"/>
  <c r="E1647" i="1"/>
  <c r="N1646" i="1"/>
  <c r="M1646" i="1"/>
  <c r="O1646" i="1" s="1"/>
  <c r="P1646" i="1" s="1"/>
  <c r="E1646" i="1"/>
  <c r="N1645" i="1"/>
  <c r="M1645" i="1"/>
  <c r="O1645" i="1" s="1"/>
  <c r="P1645" i="1" s="1"/>
  <c r="E1645" i="1"/>
  <c r="N1644" i="1"/>
  <c r="M1644" i="1"/>
  <c r="E1644" i="1"/>
  <c r="N1643" i="1"/>
  <c r="M1643" i="1"/>
  <c r="O1643" i="1" s="1"/>
  <c r="P1643" i="1" s="1"/>
  <c r="E1643" i="1"/>
  <c r="N1642" i="1"/>
  <c r="M1642" i="1"/>
  <c r="O1642" i="1" s="1"/>
  <c r="P1642" i="1" s="1"/>
  <c r="E1642" i="1"/>
  <c r="N1641" i="1"/>
  <c r="M1641" i="1"/>
  <c r="O1641" i="1" s="1"/>
  <c r="P1641" i="1" s="1"/>
  <c r="E1641" i="1"/>
  <c r="N1640" i="1"/>
  <c r="M1640" i="1"/>
  <c r="O1640" i="1" s="1"/>
  <c r="P1640" i="1" s="1"/>
  <c r="E1640" i="1"/>
  <c r="N1639" i="1"/>
  <c r="M1639" i="1"/>
  <c r="O1639" i="1" s="1"/>
  <c r="P1639" i="1" s="1"/>
  <c r="E1639" i="1"/>
  <c r="N1638" i="1"/>
  <c r="M1638" i="1"/>
  <c r="O1638" i="1" s="1"/>
  <c r="P1638" i="1" s="1"/>
  <c r="E1638" i="1"/>
  <c r="N1637" i="1"/>
  <c r="M1637" i="1"/>
  <c r="O1637" i="1" s="1"/>
  <c r="P1637" i="1" s="1"/>
  <c r="E1637" i="1"/>
  <c r="N1636" i="1"/>
  <c r="M1636" i="1"/>
  <c r="E1636" i="1"/>
  <c r="N1635" i="1"/>
  <c r="M1635" i="1"/>
  <c r="O1635" i="1" s="1"/>
  <c r="P1635" i="1" s="1"/>
  <c r="E1635" i="1"/>
  <c r="N1634" i="1"/>
  <c r="M1634" i="1"/>
  <c r="O1634" i="1" s="1"/>
  <c r="P1634" i="1" s="1"/>
  <c r="E1634" i="1"/>
  <c r="N1633" i="1"/>
  <c r="M1633" i="1"/>
  <c r="O1633" i="1" s="1"/>
  <c r="P1633" i="1" s="1"/>
  <c r="E1633" i="1"/>
  <c r="N1632" i="1"/>
  <c r="M1632" i="1"/>
  <c r="O1632" i="1" s="1"/>
  <c r="P1632" i="1" s="1"/>
  <c r="E1632" i="1"/>
  <c r="N1631" i="1"/>
  <c r="M1631" i="1"/>
  <c r="O1631" i="1" s="1"/>
  <c r="P1631" i="1" s="1"/>
  <c r="E1631" i="1"/>
  <c r="N1630" i="1"/>
  <c r="M1630" i="1"/>
  <c r="O1630" i="1" s="1"/>
  <c r="P1630" i="1" s="1"/>
  <c r="E1630" i="1"/>
  <c r="N1629" i="1"/>
  <c r="M1629" i="1"/>
  <c r="O1629" i="1" s="1"/>
  <c r="P1629" i="1" s="1"/>
  <c r="E1629" i="1"/>
  <c r="N1628" i="1"/>
  <c r="M1628" i="1"/>
  <c r="E1628" i="1"/>
  <c r="N1627" i="1"/>
  <c r="M1627" i="1"/>
  <c r="O1627" i="1" s="1"/>
  <c r="P1627" i="1" s="1"/>
  <c r="E1627" i="1"/>
  <c r="N1626" i="1"/>
  <c r="M1626" i="1"/>
  <c r="O1626" i="1" s="1"/>
  <c r="P1626" i="1" s="1"/>
  <c r="E1626" i="1"/>
  <c r="N1625" i="1"/>
  <c r="M1625" i="1"/>
  <c r="O1625" i="1" s="1"/>
  <c r="P1625" i="1" s="1"/>
  <c r="E1625" i="1"/>
  <c r="N1624" i="1"/>
  <c r="M1624" i="1"/>
  <c r="O1624" i="1" s="1"/>
  <c r="P1624" i="1" s="1"/>
  <c r="E1624" i="1"/>
  <c r="N1623" i="1"/>
  <c r="M1623" i="1"/>
  <c r="O1623" i="1" s="1"/>
  <c r="P1623" i="1" s="1"/>
  <c r="E1623" i="1"/>
  <c r="N1622" i="1"/>
  <c r="M1622" i="1"/>
  <c r="O1622" i="1" s="1"/>
  <c r="P1622" i="1" s="1"/>
  <c r="E1622" i="1"/>
  <c r="N1621" i="1"/>
  <c r="M1621" i="1"/>
  <c r="O1621" i="1" s="1"/>
  <c r="P1621" i="1" s="1"/>
  <c r="E1621" i="1"/>
  <c r="N1620" i="1"/>
  <c r="M1620" i="1"/>
  <c r="E1620" i="1"/>
  <c r="N1619" i="1"/>
  <c r="M1619" i="1"/>
  <c r="O1619" i="1" s="1"/>
  <c r="P1619" i="1" s="1"/>
  <c r="E1619" i="1"/>
  <c r="N1618" i="1"/>
  <c r="M1618" i="1"/>
  <c r="O1618" i="1" s="1"/>
  <c r="P1618" i="1" s="1"/>
  <c r="E1618" i="1"/>
  <c r="N1617" i="1"/>
  <c r="M1617" i="1"/>
  <c r="O1617" i="1" s="1"/>
  <c r="P1617" i="1" s="1"/>
  <c r="E1617" i="1"/>
  <c r="N1616" i="1"/>
  <c r="M1616" i="1"/>
  <c r="O1616" i="1" s="1"/>
  <c r="P1616" i="1" s="1"/>
  <c r="E1616" i="1"/>
  <c r="N1615" i="1"/>
  <c r="M1615" i="1"/>
  <c r="O1615" i="1" s="1"/>
  <c r="P1615" i="1" s="1"/>
  <c r="E1615" i="1"/>
  <c r="N1614" i="1"/>
  <c r="M1614" i="1"/>
  <c r="O1614" i="1" s="1"/>
  <c r="P1614" i="1" s="1"/>
  <c r="E1614" i="1"/>
  <c r="N1613" i="1"/>
  <c r="M1613" i="1"/>
  <c r="O1613" i="1" s="1"/>
  <c r="P1613" i="1" s="1"/>
  <c r="E1613" i="1"/>
  <c r="N1612" i="1"/>
  <c r="M1612" i="1"/>
  <c r="E1612" i="1"/>
  <c r="N1611" i="1"/>
  <c r="M1611" i="1"/>
  <c r="E1611" i="1"/>
  <c r="N1610" i="1"/>
  <c r="M1610" i="1"/>
  <c r="O1610" i="1" s="1"/>
  <c r="P1610" i="1" s="1"/>
  <c r="E1610" i="1"/>
  <c r="N1609" i="1"/>
  <c r="M1609" i="1"/>
  <c r="O1609" i="1" s="1"/>
  <c r="P1609" i="1" s="1"/>
  <c r="E1609" i="1"/>
  <c r="N1608" i="1"/>
  <c r="M1608" i="1"/>
  <c r="E1608" i="1"/>
  <c r="N1607" i="1"/>
  <c r="M1607" i="1"/>
  <c r="E1607" i="1"/>
  <c r="N1606" i="1"/>
  <c r="M1606" i="1"/>
  <c r="O1606" i="1" s="1"/>
  <c r="P1606" i="1" s="1"/>
  <c r="E1606" i="1"/>
  <c r="N1605" i="1"/>
  <c r="M1605" i="1"/>
  <c r="O1605" i="1" s="1"/>
  <c r="P1605" i="1" s="1"/>
  <c r="E1605" i="1"/>
  <c r="N1604" i="1"/>
  <c r="M1604" i="1"/>
  <c r="E1604" i="1"/>
  <c r="N1603" i="1"/>
  <c r="M1603" i="1"/>
  <c r="E1603" i="1"/>
  <c r="N1602" i="1"/>
  <c r="M1602" i="1"/>
  <c r="O1602" i="1" s="1"/>
  <c r="P1602" i="1" s="1"/>
  <c r="E1602" i="1"/>
  <c r="N1601" i="1"/>
  <c r="M1601" i="1"/>
  <c r="O1601" i="1" s="1"/>
  <c r="P1601" i="1" s="1"/>
  <c r="E1601" i="1"/>
  <c r="N1600" i="1"/>
  <c r="M1600" i="1"/>
  <c r="E1600" i="1"/>
  <c r="N1599" i="1"/>
  <c r="M1599" i="1"/>
  <c r="E1599" i="1"/>
  <c r="N1598" i="1"/>
  <c r="M1598" i="1"/>
  <c r="O1598" i="1" s="1"/>
  <c r="P1598" i="1" s="1"/>
  <c r="E1598" i="1"/>
  <c r="N1597" i="1"/>
  <c r="M1597" i="1"/>
  <c r="O1597" i="1" s="1"/>
  <c r="P1597" i="1" s="1"/>
  <c r="E1597" i="1"/>
  <c r="N1596" i="1"/>
  <c r="M1596" i="1"/>
  <c r="E1596" i="1"/>
  <c r="N1595" i="1"/>
  <c r="M1595" i="1"/>
  <c r="E1595" i="1"/>
  <c r="N1594" i="1"/>
  <c r="M1594" i="1"/>
  <c r="O1594" i="1" s="1"/>
  <c r="P1594" i="1" s="1"/>
  <c r="E1594" i="1"/>
  <c r="N1593" i="1"/>
  <c r="M1593" i="1"/>
  <c r="O1593" i="1" s="1"/>
  <c r="P1593" i="1" s="1"/>
  <c r="E1593" i="1"/>
  <c r="N1592" i="1"/>
  <c r="M1592" i="1"/>
  <c r="E1592" i="1"/>
  <c r="N1591" i="1"/>
  <c r="M1591" i="1"/>
  <c r="E1591" i="1"/>
  <c r="N1590" i="1"/>
  <c r="M1590" i="1"/>
  <c r="O1590" i="1" s="1"/>
  <c r="P1590" i="1" s="1"/>
  <c r="E1590" i="1"/>
  <c r="N1589" i="1"/>
  <c r="M1589" i="1"/>
  <c r="O1589" i="1" s="1"/>
  <c r="P1589" i="1" s="1"/>
  <c r="E1589" i="1"/>
  <c r="N1588" i="1"/>
  <c r="M1588" i="1"/>
  <c r="E1588" i="1"/>
  <c r="N1587" i="1"/>
  <c r="M1587" i="1"/>
  <c r="E1587" i="1"/>
  <c r="N1586" i="1"/>
  <c r="M1586" i="1"/>
  <c r="O1586" i="1" s="1"/>
  <c r="P1586" i="1" s="1"/>
  <c r="E1586" i="1"/>
  <c r="N1585" i="1"/>
  <c r="M1585" i="1"/>
  <c r="O1585" i="1" s="1"/>
  <c r="P1585" i="1" s="1"/>
  <c r="E1585" i="1"/>
  <c r="N1584" i="1"/>
  <c r="M1584" i="1"/>
  <c r="E1584" i="1"/>
  <c r="N1583" i="1"/>
  <c r="M1583" i="1"/>
  <c r="E1583" i="1"/>
  <c r="N1582" i="1"/>
  <c r="M1582" i="1"/>
  <c r="O1582" i="1" s="1"/>
  <c r="P1582" i="1" s="1"/>
  <c r="E1582" i="1"/>
  <c r="N1581" i="1"/>
  <c r="M1581" i="1"/>
  <c r="O1581" i="1" s="1"/>
  <c r="P1581" i="1" s="1"/>
  <c r="E1581" i="1"/>
  <c r="N1580" i="1"/>
  <c r="M1580" i="1"/>
  <c r="E1580" i="1"/>
  <c r="N1579" i="1"/>
  <c r="M1579" i="1"/>
  <c r="E1579" i="1"/>
  <c r="N1578" i="1"/>
  <c r="M1578" i="1"/>
  <c r="O1578" i="1" s="1"/>
  <c r="P1578" i="1" s="1"/>
  <c r="E1578" i="1"/>
  <c r="N1577" i="1"/>
  <c r="M1577" i="1"/>
  <c r="O1577" i="1" s="1"/>
  <c r="P1577" i="1" s="1"/>
  <c r="E1577" i="1"/>
  <c r="N1576" i="1"/>
  <c r="M1576" i="1"/>
  <c r="E1576" i="1"/>
  <c r="N1575" i="1"/>
  <c r="M1575" i="1"/>
  <c r="E1575" i="1"/>
  <c r="N1574" i="1"/>
  <c r="M1574" i="1"/>
  <c r="O1574" i="1" s="1"/>
  <c r="P1574" i="1" s="1"/>
  <c r="E1574" i="1"/>
  <c r="N1573" i="1"/>
  <c r="M1573" i="1"/>
  <c r="O1573" i="1" s="1"/>
  <c r="P1573" i="1" s="1"/>
  <c r="E1573" i="1"/>
  <c r="N1572" i="1"/>
  <c r="M1572" i="1"/>
  <c r="E1572" i="1"/>
  <c r="N1571" i="1"/>
  <c r="M1571" i="1"/>
  <c r="E1571" i="1"/>
  <c r="N1570" i="1"/>
  <c r="M1570" i="1"/>
  <c r="O1570" i="1" s="1"/>
  <c r="P1570" i="1" s="1"/>
  <c r="E1570" i="1"/>
  <c r="N1569" i="1"/>
  <c r="M1569" i="1"/>
  <c r="O1569" i="1" s="1"/>
  <c r="P1569" i="1" s="1"/>
  <c r="E1569" i="1"/>
  <c r="N1568" i="1"/>
  <c r="M1568" i="1"/>
  <c r="E1568" i="1"/>
  <c r="N1567" i="1"/>
  <c r="M1567" i="1"/>
  <c r="E1567" i="1"/>
  <c r="N1566" i="1"/>
  <c r="M1566" i="1"/>
  <c r="O1566" i="1" s="1"/>
  <c r="P1566" i="1" s="1"/>
  <c r="E1566" i="1"/>
  <c r="N1565" i="1"/>
  <c r="M1565" i="1"/>
  <c r="O1565" i="1" s="1"/>
  <c r="P1565" i="1" s="1"/>
  <c r="E1565" i="1"/>
  <c r="N1564" i="1"/>
  <c r="M1564" i="1"/>
  <c r="E1564" i="1"/>
  <c r="N1563" i="1"/>
  <c r="M1563" i="1"/>
  <c r="E1563" i="1"/>
  <c r="N1562" i="1"/>
  <c r="M1562" i="1"/>
  <c r="O1562" i="1" s="1"/>
  <c r="P1562" i="1" s="1"/>
  <c r="E1562" i="1"/>
  <c r="N1561" i="1"/>
  <c r="M1561" i="1"/>
  <c r="O1561" i="1" s="1"/>
  <c r="P1561" i="1" s="1"/>
  <c r="E1561" i="1"/>
  <c r="N1560" i="1"/>
  <c r="M1560" i="1"/>
  <c r="E1560" i="1"/>
  <c r="N1559" i="1"/>
  <c r="M1559" i="1"/>
  <c r="E1559" i="1"/>
  <c r="N1558" i="1"/>
  <c r="M1558" i="1"/>
  <c r="O1558" i="1" s="1"/>
  <c r="P1558" i="1" s="1"/>
  <c r="E1558" i="1"/>
  <c r="N1557" i="1"/>
  <c r="M1557" i="1"/>
  <c r="O1557" i="1" s="1"/>
  <c r="P1557" i="1" s="1"/>
  <c r="E1557" i="1"/>
  <c r="N1556" i="1"/>
  <c r="M1556" i="1"/>
  <c r="E1556" i="1"/>
  <c r="N1555" i="1"/>
  <c r="M1555" i="1"/>
  <c r="E1555" i="1"/>
  <c r="N1554" i="1"/>
  <c r="M1554" i="1"/>
  <c r="O1554" i="1" s="1"/>
  <c r="P1554" i="1" s="1"/>
  <c r="E1554" i="1"/>
  <c r="N1553" i="1"/>
  <c r="M1553" i="1"/>
  <c r="O1553" i="1" s="1"/>
  <c r="P1553" i="1" s="1"/>
  <c r="E1553" i="1"/>
  <c r="N1552" i="1"/>
  <c r="M1552" i="1"/>
  <c r="E1552" i="1"/>
  <c r="N1551" i="1"/>
  <c r="M1551" i="1"/>
  <c r="E1551" i="1"/>
  <c r="N1550" i="1"/>
  <c r="M1550" i="1"/>
  <c r="O1550" i="1" s="1"/>
  <c r="P1550" i="1" s="1"/>
  <c r="E1550" i="1"/>
  <c r="N1549" i="1"/>
  <c r="M1549" i="1"/>
  <c r="O1549" i="1" s="1"/>
  <c r="P1549" i="1" s="1"/>
  <c r="E1549" i="1"/>
  <c r="N1548" i="1"/>
  <c r="M1548" i="1"/>
  <c r="E1548" i="1"/>
  <c r="N1547" i="1"/>
  <c r="M1547" i="1"/>
  <c r="O1547" i="1" s="1"/>
  <c r="P1547" i="1" s="1"/>
  <c r="E1547" i="1"/>
  <c r="N1546" i="1"/>
  <c r="M1546" i="1"/>
  <c r="O1546" i="1" s="1"/>
  <c r="P1546" i="1" s="1"/>
  <c r="E1546" i="1"/>
  <c r="N1545" i="1"/>
  <c r="M1545" i="1"/>
  <c r="E1545" i="1"/>
  <c r="N1544" i="1"/>
  <c r="M1544" i="1"/>
  <c r="O1544" i="1" s="1"/>
  <c r="P1544" i="1" s="1"/>
  <c r="E1544" i="1"/>
  <c r="N1543" i="1"/>
  <c r="M1543" i="1"/>
  <c r="O1543" i="1" s="1"/>
  <c r="P1543" i="1" s="1"/>
  <c r="E1543" i="1"/>
  <c r="N1542" i="1"/>
  <c r="M1542" i="1"/>
  <c r="O1542" i="1" s="1"/>
  <c r="P1542" i="1" s="1"/>
  <c r="E1542" i="1"/>
  <c r="N1541" i="1"/>
  <c r="M1541" i="1"/>
  <c r="E1541" i="1"/>
  <c r="N1540" i="1"/>
  <c r="M1540" i="1"/>
  <c r="O1540" i="1" s="1"/>
  <c r="P1540" i="1" s="1"/>
  <c r="E1540" i="1"/>
  <c r="N1539" i="1"/>
  <c r="M1539" i="1"/>
  <c r="E1539" i="1"/>
  <c r="N1538" i="1"/>
  <c r="M1538" i="1"/>
  <c r="O1538" i="1" s="1"/>
  <c r="P1538" i="1" s="1"/>
  <c r="E1538" i="1"/>
  <c r="N1537" i="1"/>
  <c r="M1537" i="1"/>
  <c r="E1537" i="1"/>
  <c r="N1536" i="1"/>
  <c r="M1536" i="1"/>
  <c r="O1536" i="1" s="1"/>
  <c r="P1536" i="1" s="1"/>
  <c r="E1536" i="1"/>
  <c r="N1535" i="1"/>
  <c r="M1535" i="1"/>
  <c r="E1535" i="1"/>
  <c r="N1534" i="1"/>
  <c r="M1534" i="1"/>
  <c r="O1534" i="1" s="1"/>
  <c r="P1534" i="1" s="1"/>
  <c r="E1534" i="1"/>
  <c r="N1533" i="1"/>
  <c r="M1533" i="1"/>
  <c r="E1533" i="1"/>
  <c r="N1532" i="1"/>
  <c r="M1532" i="1"/>
  <c r="O1532" i="1" s="1"/>
  <c r="P1532" i="1" s="1"/>
  <c r="E1532" i="1"/>
  <c r="N1531" i="1"/>
  <c r="M1531" i="1"/>
  <c r="E1531" i="1"/>
  <c r="N1530" i="1"/>
  <c r="M1530" i="1"/>
  <c r="O1530" i="1" s="1"/>
  <c r="P1530" i="1" s="1"/>
  <c r="E1530" i="1"/>
  <c r="N1529" i="1"/>
  <c r="M1529" i="1"/>
  <c r="E1529" i="1"/>
  <c r="N1528" i="1"/>
  <c r="M1528" i="1"/>
  <c r="O1528" i="1" s="1"/>
  <c r="P1528" i="1" s="1"/>
  <c r="E1528" i="1"/>
  <c r="N1527" i="1"/>
  <c r="M1527" i="1"/>
  <c r="E1527" i="1"/>
  <c r="N1526" i="1"/>
  <c r="M1526" i="1"/>
  <c r="O1526" i="1" s="1"/>
  <c r="P1526" i="1" s="1"/>
  <c r="E1526" i="1"/>
  <c r="N1525" i="1"/>
  <c r="M1525" i="1"/>
  <c r="E1525" i="1"/>
  <c r="N1524" i="1"/>
  <c r="M1524" i="1"/>
  <c r="O1524" i="1" s="1"/>
  <c r="P1524" i="1" s="1"/>
  <c r="E1524" i="1"/>
  <c r="N1523" i="1"/>
  <c r="M1523" i="1"/>
  <c r="E1523" i="1"/>
  <c r="N1522" i="1"/>
  <c r="M1522" i="1"/>
  <c r="O1522" i="1" s="1"/>
  <c r="P1522" i="1" s="1"/>
  <c r="E1522" i="1"/>
  <c r="N1521" i="1"/>
  <c r="M1521" i="1"/>
  <c r="E1521" i="1"/>
  <c r="N1520" i="1"/>
  <c r="M1520" i="1"/>
  <c r="O1520" i="1" s="1"/>
  <c r="P1520" i="1" s="1"/>
  <c r="E1520" i="1"/>
  <c r="N1519" i="1"/>
  <c r="M1519" i="1"/>
  <c r="E1519" i="1"/>
  <c r="N1518" i="1"/>
  <c r="M1518" i="1"/>
  <c r="O1518" i="1" s="1"/>
  <c r="P1518" i="1" s="1"/>
  <c r="E1518" i="1"/>
  <c r="N1517" i="1"/>
  <c r="M1517" i="1"/>
  <c r="E1517" i="1"/>
  <c r="N1516" i="1"/>
  <c r="M1516" i="1"/>
  <c r="O1516" i="1" s="1"/>
  <c r="P1516" i="1" s="1"/>
  <c r="E1516" i="1"/>
  <c r="N1515" i="1"/>
  <c r="M1515" i="1"/>
  <c r="E1515" i="1"/>
  <c r="N1514" i="1"/>
  <c r="M1514" i="1"/>
  <c r="O1514" i="1" s="1"/>
  <c r="P1514" i="1" s="1"/>
  <c r="E1514" i="1"/>
  <c r="N1513" i="1"/>
  <c r="M1513" i="1"/>
  <c r="E1513" i="1"/>
  <c r="N1512" i="1"/>
  <c r="M1512" i="1"/>
  <c r="O1512" i="1" s="1"/>
  <c r="P1512" i="1" s="1"/>
  <c r="E1512" i="1"/>
  <c r="N1511" i="1"/>
  <c r="M1511" i="1"/>
  <c r="E1511" i="1"/>
  <c r="N1510" i="1"/>
  <c r="M1510" i="1"/>
  <c r="O1510" i="1" s="1"/>
  <c r="P1510" i="1" s="1"/>
  <c r="E1510" i="1"/>
  <c r="N1509" i="1"/>
  <c r="M1509" i="1"/>
  <c r="E1509" i="1"/>
  <c r="N1508" i="1"/>
  <c r="M1508" i="1"/>
  <c r="O1508" i="1" s="1"/>
  <c r="P1508" i="1" s="1"/>
  <c r="E1508" i="1"/>
  <c r="N1507" i="1"/>
  <c r="M1507" i="1"/>
  <c r="E1507" i="1"/>
  <c r="N1506" i="1"/>
  <c r="M1506" i="1"/>
  <c r="O1506" i="1" s="1"/>
  <c r="P1506" i="1" s="1"/>
  <c r="E1506" i="1"/>
  <c r="N1505" i="1"/>
  <c r="M1505" i="1"/>
  <c r="E1505" i="1"/>
  <c r="N1504" i="1"/>
  <c r="M1504" i="1"/>
  <c r="O1504" i="1" s="1"/>
  <c r="P1504" i="1" s="1"/>
  <c r="E1504" i="1"/>
  <c r="N1503" i="1"/>
  <c r="M1503" i="1"/>
  <c r="E1503" i="1"/>
  <c r="N1502" i="1"/>
  <c r="M1502" i="1"/>
  <c r="O1502" i="1" s="1"/>
  <c r="P1502" i="1" s="1"/>
  <c r="E1502" i="1"/>
  <c r="N1501" i="1"/>
  <c r="M1501" i="1"/>
  <c r="E1501" i="1"/>
  <c r="N1500" i="1"/>
  <c r="M1500" i="1"/>
  <c r="O1500" i="1" s="1"/>
  <c r="P1500" i="1" s="1"/>
  <c r="E1500" i="1"/>
  <c r="N1499" i="1"/>
  <c r="M1499" i="1"/>
  <c r="E1499" i="1"/>
  <c r="N1498" i="1"/>
  <c r="M1498" i="1"/>
  <c r="O1498" i="1" s="1"/>
  <c r="P1498" i="1" s="1"/>
  <c r="E1498" i="1"/>
  <c r="N1497" i="1"/>
  <c r="M1497" i="1"/>
  <c r="E1497" i="1"/>
  <c r="N1496" i="1"/>
  <c r="M1496" i="1"/>
  <c r="O1496" i="1" s="1"/>
  <c r="P1496" i="1" s="1"/>
  <c r="E1496" i="1"/>
  <c r="N1495" i="1"/>
  <c r="M1495" i="1"/>
  <c r="E1495" i="1"/>
  <c r="N1494" i="1"/>
  <c r="M1494" i="1"/>
  <c r="O1494" i="1" s="1"/>
  <c r="P1494" i="1" s="1"/>
  <c r="E1494" i="1"/>
  <c r="N1493" i="1"/>
  <c r="M1493" i="1"/>
  <c r="E1493" i="1"/>
  <c r="N1492" i="1"/>
  <c r="M1492" i="1"/>
  <c r="O1492" i="1" s="1"/>
  <c r="P1492" i="1" s="1"/>
  <c r="E1492" i="1"/>
  <c r="N1491" i="1"/>
  <c r="M1491" i="1"/>
  <c r="E1491" i="1"/>
  <c r="N1490" i="1"/>
  <c r="M1490" i="1"/>
  <c r="O1490" i="1" s="1"/>
  <c r="P1490" i="1" s="1"/>
  <c r="E1490" i="1"/>
  <c r="N1489" i="1"/>
  <c r="M1489" i="1"/>
  <c r="E1489" i="1"/>
  <c r="N1488" i="1"/>
  <c r="M1488" i="1"/>
  <c r="O1488" i="1" s="1"/>
  <c r="P1488" i="1" s="1"/>
  <c r="E1488" i="1"/>
  <c r="N1487" i="1"/>
  <c r="M1487" i="1"/>
  <c r="E1487" i="1"/>
  <c r="N1486" i="1"/>
  <c r="M1486" i="1"/>
  <c r="O1486" i="1" s="1"/>
  <c r="P1486" i="1" s="1"/>
  <c r="E1486" i="1"/>
  <c r="N1485" i="1"/>
  <c r="M1485" i="1"/>
  <c r="E1485" i="1"/>
  <c r="N1484" i="1"/>
  <c r="M1484" i="1"/>
  <c r="O1484" i="1" s="1"/>
  <c r="P1484" i="1" s="1"/>
  <c r="E1484" i="1"/>
  <c r="N1483" i="1"/>
  <c r="M1483" i="1"/>
  <c r="E1483" i="1"/>
  <c r="N1482" i="1"/>
  <c r="M1482" i="1"/>
  <c r="O1482" i="1" s="1"/>
  <c r="P1482" i="1" s="1"/>
  <c r="E1482" i="1"/>
  <c r="N1481" i="1"/>
  <c r="M1481" i="1"/>
  <c r="E1481" i="1"/>
  <c r="N1480" i="1"/>
  <c r="M1480" i="1"/>
  <c r="O1480" i="1" s="1"/>
  <c r="P1480" i="1" s="1"/>
  <c r="E1480" i="1"/>
  <c r="N1479" i="1"/>
  <c r="M1479" i="1"/>
  <c r="E1479" i="1"/>
  <c r="N1478" i="1"/>
  <c r="M1478" i="1"/>
  <c r="O1478" i="1" s="1"/>
  <c r="P1478" i="1" s="1"/>
  <c r="E1478" i="1"/>
  <c r="N1477" i="1"/>
  <c r="M1477" i="1"/>
  <c r="E1477" i="1"/>
  <c r="N1476" i="1"/>
  <c r="M1476" i="1"/>
  <c r="O1476" i="1" s="1"/>
  <c r="P1476" i="1" s="1"/>
  <c r="E1476" i="1"/>
  <c r="N1475" i="1"/>
  <c r="M1475" i="1"/>
  <c r="E1475" i="1"/>
  <c r="N1474" i="1"/>
  <c r="M1474" i="1"/>
  <c r="O1474" i="1" s="1"/>
  <c r="P1474" i="1" s="1"/>
  <c r="E1474" i="1"/>
  <c r="N1473" i="1"/>
  <c r="M1473" i="1"/>
  <c r="E1473" i="1"/>
  <c r="N1472" i="1"/>
  <c r="M1472" i="1"/>
  <c r="O1472" i="1" s="1"/>
  <c r="P1472" i="1" s="1"/>
  <c r="E1472" i="1"/>
  <c r="N1471" i="1"/>
  <c r="M1471" i="1"/>
  <c r="E1471" i="1"/>
  <c r="N1470" i="1"/>
  <c r="M1470" i="1"/>
  <c r="O1470" i="1" s="1"/>
  <c r="P1470" i="1" s="1"/>
  <c r="E1470" i="1"/>
  <c r="N1469" i="1"/>
  <c r="M1469" i="1"/>
  <c r="E1469" i="1"/>
  <c r="N1468" i="1"/>
  <c r="M1468" i="1"/>
  <c r="O1468" i="1" s="1"/>
  <c r="P1468" i="1" s="1"/>
  <c r="E1468" i="1"/>
  <c r="N1467" i="1"/>
  <c r="M1467" i="1"/>
  <c r="E1467" i="1"/>
  <c r="N1466" i="1"/>
  <c r="M1466" i="1"/>
  <c r="O1466" i="1" s="1"/>
  <c r="P1466" i="1" s="1"/>
  <c r="E1466" i="1"/>
  <c r="N1465" i="1"/>
  <c r="M1465" i="1"/>
  <c r="E1465" i="1"/>
  <c r="N1464" i="1"/>
  <c r="M1464" i="1"/>
  <c r="O1464" i="1" s="1"/>
  <c r="P1464" i="1" s="1"/>
  <c r="E1464" i="1"/>
  <c r="N1463" i="1"/>
  <c r="M1463" i="1"/>
  <c r="E1463" i="1"/>
  <c r="N1462" i="1"/>
  <c r="M1462" i="1"/>
  <c r="O1462" i="1" s="1"/>
  <c r="P1462" i="1" s="1"/>
  <c r="E1462" i="1"/>
  <c r="N1461" i="1"/>
  <c r="M1461" i="1"/>
  <c r="E1461" i="1"/>
  <c r="N1460" i="1"/>
  <c r="M1460" i="1"/>
  <c r="O1460" i="1" s="1"/>
  <c r="P1460" i="1" s="1"/>
  <c r="E1460" i="1"/>
  <c r="N1459" i="1"/>
  <c r="M1459" i="1"/>
  <c r="E1459" i="1"/>
  <c r="N1458" i="1"/>
  <c r="M1458" i="1"/>
  <c r="O1458" i="1" s="1"/>
  <c r="P1458" i="1" s="1"/>
  <c r="E1458" i="1"/>
  <c r="N1457" i="1"/>
  <c r="M1457" i="1"/>
  <c r="E1457" i="1"/>
  <c r="N1456" i="1"/>
  <c r="M1456" i="1"/>
  <c r="O1456" i="1" s="1"/>
  <c r="P1456" i="1" s="1"/>
  <c r="E1456" i="1"/>
  <c r="N1455" i="1"/>
  <c r="M1455" i="1"/>
  <c r="E1455" i="1"/>
  <c r="N1454" i="1"/>
  <c r="M1454" i="1"/>
  <c r="O1454" i="1" s="1"/>
  <c r="P1454" i="1" s="1"/>
  <c r="E1454" i="1"/>
  <c r="N1453" i="1"/>
  <c r="M1453" i="1"/>
  <c r="O1453" i="1" s="1"/>
  <c r="P1453" i="1" s="1"/>
  <c r="E1453" i="1"/>
  <c r="N1452" i="1"/>
  <c r="M1452" i="1"/>
  <c r="O1452" i="1" s="1"/>
  <c r="P1452" i="1" s="1"/>
  <c r="E1452" i="1"/>
  <c r="N1451" i="1"/>
  <c r="M1451" i="1"/>
  <c r="O1451" i="1" s="1"/>
  <c r="P1451" i="1" s="1"/>
  <c r="E1451" i="1"/>
  <c r="N1450" i="1"/>
  <c r="M1450" i="1"/>
  <c r="O1450" i="1" s="1"/>
  <c r="P1450" i="1" s="1"/>
  <c r="E1450" i="1"/>
  <c r="N1449" i="1"/>
  <c r="M1449" i="1"/>
  <c r="E1449" i="1"/>
  <c r="N1448" i="1"/>
  <c r="M1448" i="1"/>
  <c r="O1448" i="1" s="1"/>
  <c r="P1448" i="1" s="1"/>
  <c r="E1448" i="1"/>
  <c r="N1447" i="1"/>
  <c r="M1447" i="1"/>
  <c r="E1447" i="1"/>
  <c r="N1446" i="1"/>
  <c r="M1446" i="1"/>
  <c r="O1446" i="1" s="1"/>
  <c r="P1446" i="1" s="1"/>
  <c r="E1446" i="1"/>
  <c r="N1445" i="1"/>
  <c r="M1445" i="1"/>
  <c r="O1445" i="1" s="1"/>
  <c r="P1445" i="1" s="1"/>
  <c r="E1445" i="1"/>
  <c r="N1444" i="1"/>
  <c r="M1444" i="1"/>
  <c r="O1444" i="1" s="1"/>
  <c r="P1444" i="1" s="1"/>
  <c r="E1444" i="1"/>
  <c r="N1443" i="1"/>
  <c r="M1443" i="1"/>
  <c r="E1443" i="1"/>
  <c r="N1442" i="1"/>
  <c r="M1442" i="1"/>
  <c r="O1442" i="1" s="1"/>
  <c r="P1442" i="1" s="1"/>
  <c r="E1442" i="1"/>
  <c r="N1441" i="1"/>
  <c r="M1441" i="1"/>
  <c r="O1441" i="1" s="1"/>
  <c r="P1441" i="1" s="1"/>
  <c r="E1441" i="1"/>
  <c r="N1440" i="1"/>
  <c r="M1440" i="1"/>
  <c r="O1440" i="1" s="1"/>
  <c r="P1440" i="1" s="1"/>
  <c r="E1440" i="1"/>
  <c r="N1439" i="1"/>
  <c r="M1439" i="1"/>
  <c r="E1439" i="1"/>
  <c r="N1438" i="1"/>
  <c r="M1438" i="1"/>
  <c r="O1438" i="1" s="1"/>
  <c r="P1438" i="1" s="1"/>
  <c r="E1438" i="1"/>
  <c r="N1437" i="1"/>
  <c r="M1437" i="1"/>
  <c r="O1437" i="1" s="1"/>
  <c r="P1437" i="1" s="1"/>
  <c r="E1437" i="1"/>
  <c r="N1436" i="1"/>
  <c r="M1436" i="1"/>
  <c r="O1436" i="1" s="1"/>
  <c r="P1436" i="1" s="1"/>
  <c r="E1436" i="1"/>
  <c r="N1435" i="1"/>
  <c r="M1435" i="1"/>
  <c r="E1435" i="1"/>
  <c r="N1434" i="1"/>
  <c r="M1434" i="1"/>
  <c r="O1434" i="1" s="1"/>
  <c r="P1434" i="1" s="1"/>
  <c r="E1434" i="1"/>
  <c r="N1433" i="1"/>
  <c r="M1433" i="1"/>
  <c r="O1433" i="1" s="1"/>
  <c r="P1433" i="1" s="1"/>
  <c r="E1433" i="1"/>
  <c r="N1432" i="1"/>
  <c r="M1432" i="1"/>
  <c r="O1432" i="1" s="1"/>
  <c r="P1432" i="1" s="1"/>
  <c r="E1432" i="1"/>
  <c r="N1431" i="1"/>
  <c r="M1431" i="1"/>
  <c r="E1431" i="1"/>
  <c r="N1430" i="1"/>
  <c r="M1430" i="1"/>
  <c r="O1430" i="1" s="1"/>
  <c r="P1430" i="1" s="1"/>
  <c r="E1430" i="1"/>
  <c r="N1429" i="1"/>
  <c r="M1429" i="1"/>
  <c r="O1429" i="1" s="1"/>
  <c r="P1429" i="1" s="1"/>
  <c r="E1429" i="1"/>
  <c r="N1428" i="1"/>
  <c r="M1428" i="1"/>
  <c r="O1428" i="1" s="1"/>
  <c r="P1428" i="1" s="1"/>
  <c r="E1428" i="1"/>
  <c r="N1427" i="1"/>
  <c r="M1427" i="1"/>
  <c r="E1427" i="1"/>
  <c r="N1426" i="1"/>
  <c r="M1426" i="1"/>
  <c r="O1426" i="1" s="1"/>
  <c r="P1426" i="1" s="1"/>
  <c r="E1426" i="1"/>
  <c r="N1425" i="1"/>
  <c r="M1425" i="1"/>
  <c r="O1425" i="1" s="1"/>
  <c r="P1425" i="1" s="1"/>
  <c r="E1425" i="1"/>
  <c r="N1424" i="1"/>
  <c r="M1424" i="1"/>
  <c r="O1424" i="1" s="1"/>
  <c r="P1424" i="1" s="1"/>
  <c r="E1424" i="1"/>
  <c r="N1423" i="1"/>
  <c r="M1423" i="1"/>
  <c r="E1423" i="1"/>
  <c r="N1422" i="1"/>
  <c r="M1422" i="1"/>
  <c r="O1422" i="1" s="1"/>
  <c r="P1422" i="1" s="1"/>
  <c r="E1422" i="1"/>
  <c r="N1421" i="1"/>
  <c r="M1421" i="1"/>
  <c r="O1421" i="1" s="1"/>
  <c r="P1421" i="1" s="1"/>
  <c r="E1421" i="1"/>
  <c r="N1420" i="1"/>
  <c r="M1420" i="1"/>
  <c r="O1420" i="1" s="1"/>
  <c r="P1420" i="1" s="1"/>
  <c r="E1420" i="1"/>
  <c r="N1419" i="1"/>
  <c r="M1419" i="1"/>
  <c r="E1419" i="1"/>
  <c r="N1418" i="1"/>
  <c r="M1418" i="1"/>
  <c r="O1418" i="1" s="1"/>
  <c r="P1418" i="1" s="1"/>
  <c r="E1418" i="1"/>
  <c r="N1417" i="1"/>
  <c r="M1417" i="1"/>
  <c r="O1417" i="1" s="1"/>
  <c r="P1417" i="1" s="1"/>
  <c r="E1417" i="1"/>
  <c r="N1416" i="1"/>
  <c r="M1416" i="1"/>
  <c r="O1416" i="1" s="1"/>
  <c r="P1416" i="1" s="1"/>
  <c r="E1416" i="1"/>
  <c r="N1415" i="1"/>
  <c r="M1415" i="1"/>
  <c r="E1415" i="1"/>
  <c r="N1414" i="1"/>
  <c r="M1414" i="1"/>
  <c r="O1414" i="1" s="1"/>
  <c r="P1414" i="1" s="1"/>
  <c r="E1414" i="1"/>
  <c r="N1413" i="1"/>
  <c r="M1413" i="1"/>
  <c r="O1413" i="1" s="1"/>
  <c r="P1413" i="1" s="1"/>
  <c r="E1413" i="1"/>
  <c r="N1412" i="1"/>
  <c r="M1412" i="1"/>
  <c r="O1412" i="1" s="1"/>
  <c r="P1412" i="1" s="1"/>
  <c r="E1412" i="1"/>
  <c r="N1411" i="1"/>
  <c r="M1411" i="1"/>
  <c r="E1411" i="1"/>
  <c r="N1410" i="1"/>
  <c r="M1410" i="1"/>
  <c r="O1410" i="1" s="1"/>
  <c r="P1410" i="1" s="1"/>
  <c r="E1410" i="1"/>
  <c r="N1409" i="1"/>
  <c r="M1409" i="1"/>
  <c r="O1409" i="1" s="1"/>
  <c r="P1409" i="1" s="1"/>
  <c r="E1409" i="1"/>
  <c r="N1408" i="1"/>
  <c r="M1408" i="1"/>
  <c r="O1408" i="1" s="1"/>
  <c r="P1408" i="1" s="1"/>
  <c r="E1408" i="1"/>
  <c r="N1407" i="1"/>
  <c r="M1407" i="1"/>
  <c r="E1407" i="1"/>
  <c r="N1406" i="1"/>
  <c r="M1406" i="1"/>
  <c r="O1406" i="1" s="1"/>
  <c r="P1406" i="1" s="1"/>
  <c r="E1406" i="1"/>
  <c r="N1405" i="1"/>
  <c r="M1405" i="1"/>
  <c r="O1405" i="1" s="1"/>
  <c r="P1405" i="1" s="1"/>
  <c r="E1405" i="1"/>
  <c r="N1404" i="1"/>
  <c r="M1404" i="1"/>
  <c r="O1404" i="1" s="1"/>
  <c r="P1404" i="1" s="1"/>
  <c r="E1404" i="1"/>
  <c r="N1403" i="1"/>
  <c r="M1403" i="1"/>
  <c r="O1403" i="1" s="1"/>
  <c r="P1403" i="1" s="1"/>
  <c r="E1403" i="1"/>
  <c r="N1402" i="1"/>
  <c r="M1402" i="1"/>
  <c r="O1402" i="1" s="1"/>
  <c r="P1402" i="1" s="1"/>
  <c r="E1402" i="1"/>
  <c r="N1401" i="1"/>
  <c r="M1401" i="1"/>
  <c r="O1401" i="1" s="1"/>
  <c r="P1401" i="1" s="1"/>
  <c r="E1401" i="1"/>
  <c r="N1400" i="1"/>
  <c r="M1400" i="1"/>
  <c r="O1400" i="1" s="1"/>
  <c r="P1400" i="1" s="1"/>
  <c r="E1400" i="1"/>
  <c r="N1399" i="1"/>
  <c r="M1399" i="1"/>
  <c r="O1399" i="1" s="1"/>
  <c r="P1399" i="1" s="1"/>
  <c r="E1399" i="1"/>
  <c r="N1398" i="1"/>
  <c r="M1398" i="1"/>
  <c r="O1398" i="1" s="1"/>
  <c r="P1398" i="1" s="1"/>
  <c r="E1398" i="1"/>
  <c r="N1397" i="1"/>
  <c r="M1397" i="1"/>
  <c r="O1397" i="1" s="1"/>
  <c r="P1397" i="1" s="1"/>
  <c r="E1397" i="1"/>
  <c r="N1396" i="1"/>
  <c r="M1396" i="1"/>
  <c r="O1396" i="1" s="1"/>
  <c r="P1396" i="1" s="1"/>
  <c r="E1396" i="1"/>
  <c r="N1395" i="1"/>
  <c r="M1395" i="1"/>
  <c r="O1395" i="1" s="1"/>
  <c r="P1395" i="1" s="1"/>
  <c r="E1395" i="1"/>
  <c r="N1394" i="1"/>
  <c r="M1394" i="1"/>
  <c r="O1394" i="1" s="1"/>
  <c r="P1394" i="1" s="1"/>
  <c r="E1394" i="1"/>
  <c r="N1393" i="1"/>
  <c r="M1393" i="1"/>
  <c r="O1393" i="1" s="1"/>
  <c r="P1393" i="1" s="1"/>
  <c r="E1393" i="1"/>
  <c r="N1392" i="1"/>
  <c r="M1392" i="1"/>
  <c r="O1392" i="1" s="1"/>
  <c r="P1392" i="1" s="1"/>
  <c r="E1392" i="1"/>
  <c r="N1391" i="1"/>
  <c r="M1391" i="1"/>
  <c r="O1391" i="1" s="1"/>
  <c r="P1391" i="1" s="1"/>
  <c r="E1391" i="1"/>
  <c r="N1390" i="1"/>
  <c r="M1390" i="1"/>
  <c r="O1390" i="1" s="1"/>
  <c r="P1390" i="1" s="1"/>
  <c r="E1390" i="1"/>
  <c r="N1389" i="1"/>
  <c r="M1389" i="1"/>
  <c r="O1389" i="1" s="1"/>
  <c r="P1389" i="1" s="1"/>
  <c r="E1389" i="1"/>
  <c r="N1388" i="1"/>
  <c r="M1388" i="1"/>
  <c r="O1388" i="1" s="1"/>
  <c r="P1388" i="1" s="1"/>
  <c r="E1388" i="1"/>
  <c r="N1387" i="1"/>
  <c r="M1387" i="1"/>
  <c r="O1387" i="1" s="1"/>
  <c r="P1387" i="1" s="1"/>
  <c r="E1387" i="1"/>
  <c r="N1386" i="1"/>
  <c r="M1386" i="1"/>
  <c r="O1386" i="1" s="1"/>
  <c r="P1386" i="1" s="1"/>
  <c r="E1386" i="1"/>
  <c r="N1385" i="1"/>
  <c r="M1385" i="1"/>
  <c r="O1385" i="1" s="1"/>
  <c r="P1385" i="1" s="1"/>
  <c r="E1385" i="1"/>
  <c r="N1384" i="1"/>
  <c r="M1384" i="1"/>
  <c r="O1384" i="1" s="1"/>
  <c r="P1384" i="1" s="1"/>
  <c r="E1384" i="1"/>
  <c r="N1383" i="1"/>
  <c r="M1383" i="1"/>
  <c r="O1383" i="1" s="1"/>
  <c r="P1383" i="1" s="1"/>
  <c r="E1383" i="1"/>
  <c r="N1382" i="1"/>
  <c r="M1382" i="1"/>
  <c r="O1382" i="1" s="1"/>
  <c r="P1382" i="1" s="1"/>
  <c r="E1382" i="1"/>
  <c r="N1381" i="1"/>
  <c r="M1381" i="1"/>
  <c r="O1381" i="1" s="1"/>
  <c r="P1381" i="1" s="1"/>
  <c r="E1381" i="1"/>
  <c r="N1380" i="1"/>
  <c r="M1380" i="1"/>
  <c r="O1380" i="1" s="1"/>
  <c r="P1380" i="1" s="1"/>
  <c r="E1380" i="1"/>
  <c r="N1379" i="1"/>
  <c r="M1379" i="1"/>
  <c r="O1379" i="1" s="1"/>
  <c r="P1379" i="1" s="1"/>
  <c r="E1379" i="1"/>
  <c r="N1378" i="1"/>
  <c r="M1378" i="1"/>
  <c r="O1378" i="1" s="1"/>
  <c r="P1378" i="1" s="1"/>
  <c r="E1378" i="1"/>
  <c r="N1377" i="1"/>
  <c r="M1377" i="1"/>
  <c r="O1377" i="1" s="1"/>
  <c r="P1377" i="1" s="1"/>
  <c r="E1377" i="1"/>
  <c r="N1376" i="1"/>
  <c r="M1376" i="1"/>
  <c r="O1376" i="1" s="1"/>
  <c r="P1376" i="1" s="1"/>
  <c r="E1376" i="1"/>
  <c r="N1375" i="1"/>
  <c r="M1375" i="1"/>
  <c r="O1375" i="1" s="1"/>
  <c r="P1375" i="1" s="1"/>
  <c r="E1375" i="1"/>
  <c r="N1374" i="1"/>
  <c r="M1374" i="1"/>
  <c r="O1374" i="1" s="1"/>
  <c r="P1374" i="1" s="1"/>
  <c r="E1374" i="1"/>
  <c r="N1373" i="1"/>
  <c r="M1373" i="1"/>
  <c r="O1373" i="1" s="1"/>
  <c r="P1373" i="1" s="1"/>
  <c r="E1373" i="1"/>
  <c r="N1372" i="1"/>
  <c r="M1372" i="1"/>
  <c r="O1372" i="1" s="1"/>
  <c r="P1372" i="1" s="1"/>
  <c r="E1372" i="1"/>
  <c r="N1371" i="1"/>
  <c r="M1371" i="1"/>
  <c r="O1371" i="1" s="1"/>
  <c r="P1371" i="1" s="1"/>
  <c r="E1371" i="1"/>
  <c r="N1370" i="1"/>
  <c r="M1370" i="1"/>
  <c r="O1370" i="1" s="1"/>
  <c r="P1370" i="1" s="1"/>
  <c r="E1370" i="1"/>
  <c r="N1369" i="1"/>
  <c r="M1369" i="1"/>
  <c r="O1369" i="1" s="1"/>
  <c r="P1369" i="1" s="1"/>
  <c r="E1369" i="1"/>
  <c r="N1368" i="1"/>
  <c r="M1368" i="1"/>
  <c r="O1368" i="1" s="1"/>
  <c r="P1368" i="1" s="1"/>
  <c r="E1368" i="1"/>
  <c r="N1367" i="1"/>
  <c r="M1367" i="1"/>
  <c r="O1367" i="1" s="1"/>
  <c r="P1367" i="1" s="1"/>
  <c r="E1367" i="1"/>
  <c r="N1366" i="1"/>
  <c r="M1366" i="1"/>
  <c r="O1366" i="1" s="1"/>
  <c r="P1366" i="1" s="1"/>
  <c r="E1366" i="1"/>
  <c r="N1365" i="1"/>
  <c r="M1365" i="1"/>
  <c r="O1365" i="1" s="1"/>
  <c r="P1365" i="1" s="1"/>
  <c r="E1365" i="1"/>
  <c r="N1364" i="1"/>
  <c r="M1364" i="1"/>
  <c r="O1364" i="1" s="1"/>
  <c r="P1364" i="1" s="1"/>
  <c r="E1364" i="1"/>
  <c r="N1363" i="1"/>
  <c r="M1363" i="1"/>
  <c r="O1363" i="1" s="1"/>
  <c r="P1363" i="1" s="1"/>
  <c r="E1363" i="1"/>
  <c r="N1362" i="1"/>
  <c r="M1362" i="1"/>
  <c r="O1362" i="1" s="1"/>
  <c r="P1362" i="1" s="1"/>
  <c r="E1362" i="1"/>
  <c r="N1361" i="1"/>
  <c r="M1361" i="1"/>
  <c r="O1361" i="1" s="1"/>
  <c r="P1361" i="1" s="1"/>
  <c r="E1361" i="1"/>
  <c r="N1360" i="1"/>
  <c r="M1360" i="1"/>
  <c r="O1360" i="1" s="1"/>
  <c r="P1360" i="1" s="1"/>
  <c r="E1360" i="1"/>
  <c r="N1359" i="1"/>
  <c r="M1359" i="1"/>
  <c r="O1359" i="1" s="1"/>
  <c r="P1359" i="1" s="1"/>
  <c r="E1359" i="1"/>
  <c r="N1358" i="1"/>
  <c r="M1358" i="1"/>
  <c r="O1358" i="1" s="1"/>
  <c r="P1358" i="1" s="1"/>
  <c r="E1358" i="1"/>
  <c r="N1357" i="1"/>
  <c r="M1357" i="1"/>
  <c r="O1357" i="1" s="1"/>
  <c r="P1357" i="1" s="1"/>
  <c r="E1357" i="1"/>
  <c r="N1356" i="1"/>
  <c r="M1356" i="1"/>
  <c r="O1356" i="1" s="1"/>
  <c r="P1356" i="1" s="1"/>
  <c r="E1356" i="1"/>
  <c r="N1355" i="1"/>
  <c r="M1355" i="1"/>
  <c r="O1355" i="1" s="1"/>
  <c r="P1355" i="1" s="1"/>
  <c r="E1355" i="1"/>
  <c r="N1354" i="1"/>
  <c r="M1354" i="1"/>
  <c r="O1354" i="1" s="1"/>
  <c r="P1354" i="1" s="1"/>
  <c r="E1354" i="1"/>
  <c r="N1353" i="1"/>
  <c r="M1353" i="1"/>
  <c r="O1353" i="1" s="1"/>
  <c r="P1353" i="1" s="1"/>
  <c r="E1353" i="1"/>
  <c r="N1352" i="1"/>
  <c r="M1352" i="1"/>
  <c r="O1352" i="1" s="1"/>
  <c r="P1352" i="1" s="1"/>
  <c r="E1352" i="1"/>
  <c r="N1351" i="1"/>
  <c r="M1351" i="1"/>
  <c r="O1351" i="1" s="1"/>
  <c r="P1351" i="1" s="1"/>
  <c r="E1351" i="1"/>
  <c r="N1350" i="1"/>
  <c r="M1350" i="1"/>
  <c r="O1350" i="1" s="1"/>
  <c r="P1350" i="1" s="1"/>
  <c r="E1350" i="1"/>
  <c r="N1349" i="1"/>
  <c r="M1349" i="1"/>
  <c r="O1349" i="1" s="1"/>
  <c r="P1349" i="1" s="1"/>
  <c r="E1349" i="1"/>
  <c r="N1348" i="1"/>
  <c r="M1348" i="1"/>
  <c r="O1348" i="1" s="1"/>
  <c r="P1348" i="1" s="1"/>
  <c r="E1348" i="1"/>
  <c r="N1347" i="1"/>
  <c r="M1347" i="1"/>
  <c r="O1347" i="1" s="1"/>
  <c r="P1347" i="1" s="1"/>
  <c r="E1347" i="1"/>
  <c r="N1346" i="1"/>
  <c r="M1346" i="1"/>
  <c r="O1346" i="1" s="1"/>
  <c r="P1346" i="1" s="1"/>
  <c r="E1346" i="1"/>
  <c r="N1345" i="1"/>
  <c r="M1345" i="1"/>
  <c r="O1345" i="1" s="1"/>
  <c r="P1345" i="1" s="1"/>
  <c r="E1345" i="1"/>
  <c r="N1344" i="1"/>
  <c r="M1344" i="1"/>
  <c r="O1344" i="1" s="1"/>
  <c r="P1344" i="1" s="1"/>
  <c r="E1344" i="1"/>
  <c r="N1343" i="1"/>
  <c r="M1343" i="1"/>
  <c r="O1343" i="1" s="1"/>
  <c r="P1343" i="1" s="1"/>
  <c r="E1343" i="1"/>
  <c r="N1342" i="1"/>
  <c r="M1342" i="1"/>
  <c r="O1342" i="1" s="1"/>
  <c r="P1342" i="1" s="1"/>
  <c r="E1342" i="1"/>
  <c r="N1341" i="1"/>
  <c r="M1341" i="1"/>
  <c r="O1341" i="1" s="1"/>
  <c r="P1341" i="1" s="1"/>
  <c r="E1341" i="1"/>
  <c r="N1340" i="1"/>
  <c r="M1340" i="1"/>
  <c r="O1340" i="1" s="1"/>
  <c r="P1340" i="1" s="1"/>
  <c r="E1340" i="1"/>
  <c r="N1339" i="1"/>
  <c r="M1339" i="1"/>
  <c r="O1339" i="1" s="1"/>
  <c r="P1339" i="1" s="1"/>
  <c r="E1339" i="1"/>
  <c r="N1338" i="1"/>
  <c r="M1338" i="1"/>
  <c r="O1338" i="1" s="1"/>
  <c r="P1338" i="1" s="1"/>
  <c r="E1338" i="1"/>
  <c r="N1337" i="1"/>
  <c r="M1337" i="1"/>
  <c r="O1337" i="1" s="1"/>
  <c r="P1337" i="1" s="1"/>
  <c r="E1337" i="1"/>
  <c r="N1336" i="1"/>
  <c r="M1336" i="1"/>
  <c r="O1336" i="1" s="1"/>
  <c r="P1336" i="1" s="1"/>
  <c r="E1336" i="1"/>
  <c r="N1335" i="1"/>
  <c r="M1335" i="1"/>
  <c r="O1335" i="1" s="1"/>
  <c r="P1335" i="1" s="1"/>
  <c r="E1335" i="1"/>
  <c r="N1334" i="1"/>
  <c r="M1334" i="1"/>
  <c r="O1334" i="1" s="1"/>
  <c r="P1334" i="1" s="1"/>
  <c r="E1334" i="1"/>
  <c r="N1333" i="1"/>
  <c r="M1333" i="1"/>
  <c r="O1333" i="1" s="1"/>
  <c r="P1333" i="1" s="1"/>
  <c r="E1333" i="1"/>
  <c r="N1332" i="1"/>
  <c r="M1332" i="1"/>
  <c r="O1332" i="1" s="1"/>
  <c r="P1332" i="1" s="1"/>
  <c r="E1332" i="1"/>
  <c r="N1331" i="1"/>
  <c r="M1331" i="1"/>
  <c r="O1331" i="1" s="1"/>
  <c r="P1331" i="1" s="1"/>
  <c r="E1331" i="1"/>
  <c r="N1330" i="1"/>
  <c r="M1330" i="1"/>
  <c r="E1330" i="1"/>
  <c r="N1329" i="1"/>
  <c r="M1329" i="1"/>
  <c r="O1329" i="1" s="1"/>
  <c r="P1329" i="1" s="1"/>
  <c r="E1329" i="1"/>
  <c r="N1328" i="1"/>
  <c r="M1328" i="1"/>
  <c r="E1328" i="1"/>
  <c r="N1327" i="1"/>
  <c r="M1327" i="1"/>
  <c r="O1327" i="1" s="1"/>
  <c r="P1327" i="1" s="1"/>
  <c r="E1327" i="1"/>
  <c r="N1326" i="1"/>
  <c r="M1326" i="1"/>
  <c r="E1326" i="1"/>
  <c r="N1325" i="1"/>
  <c r="M1325" i="1"/>
  <c r="O1325" i="1" s="1"/>
  <c r="P1325" i="1" s="1"/>
  <c r="E1325" i="1"/>
  <c r="N1324" i="1"/>
  <c r="M1324" i="1"/>
  <c r="O1324" i="1" s="1"/>
  <c r="P1324" i="1" s="1"/>
  <c r="E1324" i="1"/>
  <c r="N1323" i="1"/>
  <c r="M1323" i="1"/>
  <c r="O1323" i="1" s="1"/>
  <c r="P1323" i="1" s="1"/>
  <c r="E1323" i="1"/>
  <c r="N1322" i="1"/>
  <c r="M1322" i="1"/>
  <c r="O1322" i="1" s="1"/>
  <c r="P1322" i="1" s="1"/>
  <c r="E1322" i="1"/>
  <c r="N1321" i="1"/>
  <c r="M1321" i="1"/>
  <c r="O1321" i="1" s="1"/>
  <c r="P1321" i="1" s="1"/>
  <c r="E1321" i="1"/>
  <c r="N1320" i="1"/>
  <c r="M1320" i="1"/>
  <c r="O1320" i="1" s="1"/>
  <c r="P1320" i="1" s="1"/>
  <c r="E1320" i="1"/>
  <c r="N1319" i="1"/>
  <c r="M1319" i="1"/>
  <c r="O1319" i="1" s="1"/>
  <c r="P1319" i="1" s="1"/>
  <c r="E1319" i="1"/>
  <c r="N1318" i="1"/>
  <c r="M1318" i="1"/>
  <c r="E1318" i="1"/>
  <c r="N1317" i="1"/>
  <c r="M1317" i="1"/>
  <c r="O1317" i="1" s="1"/>
  <c r="P1317" i="1" s="1"/>
  <c r="E1317" i="1"/>
  <c r="N1316" i="1"/>
  <c r="M1316" i="1"/>
  <c r="O1316" i="1" s="1"/>
  <c r="P1316" i="1" s="1"/>
  <c r="E1316" i="1"/>
  <c r="N1315" i="1"/>
  <c r="M1315" i="1"/>
  <c r="O1315" i="1" s="1"/>
  <c r="P1315" i="1" s="1"/>
  <c r="E1315" i="1"/>
  <c r="N1314" i="1"/>
  <c r="M1314" i="1"/>
  <c r="E1314" i="1"/>
  <c r="N1313" i="1"/>
  <c r="M1313" i="1"/>
  <c r="O1313" i="1" s="1"/>
  <c r="P1313" i="1" s="1"/>
  <c r="E1313" i="1"/>
  <c r="N1312" i="1"/>
  <c r="M1312" i="1"/>
  <c r="O1312" i="1" s="1"/>
  <c r="P1312" i="1" s="1"/>
  <c r="E1312" i="1"/>
  <c r="N1311" i="1"/>
  <c r="M1311" i="1"/>
  <c r="O1311" i="1" s="1"/>
  <c r="P1311" i="1" s="1"/>
  <c r="E1311" i="1"/>
  <c r="N1310" i="1"/>
  <c r="M1310" i="1"/>
  <c r="E1310" i="1"/>
  <c r="N1309" i="1"/>
  <c r="M1309" i="1"/>
  <c r="O1309" i="1" s="1"/>
  <c r="P1309" i="1" s="1"/>
  <c r="E1309" i="1"/>
  <c r="N1308" i="1"/>
  <c r="M1308" i="1"/>
  <c r="O1308" i="1" s="1"/>
  <c r="P1308" i="1" s="1"/>
  <c r="E1308" i="1"/>
  <c r="N1307" i="1"/>
  <c r="M1307" i="1"/>
  <c r="O1307" i="1" s="1"/>
  <c r="P1307" i="1" s="1"/>
  <c r="E1307" i="1"/>
  <c r="N1306" i="1"/>
  <c r="M1306" i="1"/>
  <c r="O1306" i="1" s="1"/>
  <c r="P1306" i="1" s="1"/>
  <c r="E1306" i="1"/>
  <c r="N1305" i="1"/>
  <c r="M1305" i="1"/>
  <c r="O1305" i="1" s="1"/>
  <c r="P1305" i="1" s="1"/>
  <c r="E1305" i="1"/>
  <c r="N1304" i="1"/>
  <c r="M1304" i="1"/>
  <c r="O1304" i="1" s="1"/>
  <c r="P1304" i="1" s="1"/>
  <c r="E1304" i="1"/>
  <c r="N1303" i="1"/>
  <c r="M1303" i="1"/>
  <c r="O1303" i="1" s="1"/>
  <c r="P1303" i="1" s="1"/>
  <c r="E1303" i="1"/>
  <c r="N1302" i="1"/>
  <c r="M1302" i="1"/>
  <c r="E1302" i="1"/>
  <c r="N1301" i="1"/>
  <c r="M1301" i="1"/>
  <c r="O1301" i="1" s="1"/>
  <c r="P1301" i="1" s="1"/>
  <c r="E1301" i="1"/>
  <c r="N1300" i="1"/>
  <c r="M1300" i="1"/>
  <c r="O1300" i="1" s="1"/>
  <c r="P1300" i="1" s="1"/>
  <c r="E1300" i="1"/>
  <c r="N1299" i="1"/>
  <c r="M1299" i="1"/>
  <c r="O1299" i="1" s="1"/>
  <c r="P1299" i="1" s="1"/>
  <c r="E1299" i="1"/>
  <c r="N1298" i="1"/>
  <c r="M1298" i="1"/>
  <c r="E1298" i="1"/>
  <c r="N1297" i="1"/>
  <c r="M1297" i="1"/>
  <c r="O1297" i="1" s="1"/>
  <c r="P1297" i="1" s="1"/>
  <c r="E1297" i="1"/>
  <c r="N1296" i="1"/>
  <c r="M1296" i="1"/>
  <c r="O1296" i="1" s="1"/>
  <c r="P1296" i="1" s="1"/>
  <c r="E1296" i="1"/>
  <c r="N1295" i="1"/>
  <c r="M1295" i="1"/>
  <c r="O1295" i="1" s="1"/>
  <c r="P1295" i="1" s="1"/>
  <c r="E1295" i="1"/>
  <c r="N1294" i="1"/>
  <c r="M1294" i="1"/>
  <c r="E1294" i="1"/>
  <c r="N1293" i="1"/>
  <c r="M1293" i="1"/>
  <c r="O1293" i="1" s="1"/>
  <c r="P1293" i="1" s="1"/>
  <c r="E1293" i="1"/>
  <c r="N1292" i="1"/>
  <c r="M1292" i="1"/>
  <c r="O1292" i="1" s="1"/>
  <c r="P1292" i="1" s="1"/>
  <c r="E1292" i="1"/>
  <c r="N1291" i="1"/>
  <c r="M1291" i="1"/>
  <c r="O1291" i="1" s="1"/>
  <c r="P1291" i="1" s="1"/>
  <c r="E1291" i="1"/>
  <c r="N1290" i="1"/>
  <c r="M1290" i="1"/>
  <c r="O1290" i="1" s="1"/>
  <c r="P1290" i="1" s="1"/>
  <c r="E1290" i="1"/>
  <c r="N1289" i="1"/>
  <c r="M1289" i="1"/>
  <c r="O1289" i="1" s="1"/>
  <c r="P1289" i="1" s="1"/>
  <c r="E1289" i="1"/>
  <c r="N1288" i="1"/>
  <c r="M1288" i="1"/>
  <c r="O1288" i="1" s="1"/>
  <c r="P1288" i="1" s="1"/>
  <c r="E1288" i="1"/>
  <c r="N1287" i="1"/>
  <c r="M1287" i="1"/>
  <c r="O1287" i="1" s="1"/>
  <c r="P1287" i="1" s="1"/>
  <c r="E1287" i="1"/>
  <c r="N1286" i="1"/>
  <c r="M1286" i="1"/>
  <c r="E1286" i="1"/>
  <c r="N1285" i="1"/>
  <c r="M1285" i="1"/>
  <c r="O1285" i="1" s="1"/>
  <c r="P1285" i="1" s="1"/>
  <c r="E1285" i="1"/>
  <c r="N1284" i="1"/>
  <c r="M1284" i="1"/>
  <c r="O1284" i="1" s="1"/>
  <c r="P1284" i="1" s="1"/>
  <c r="E1284" i="1"/>
  <c r="N1283" i="1"/>
  <c r="M1283" i="1"/>
  <c r="O1283" i="1" s="1"/>
  <c r="P1283" i="1" s="1"/>
  <c r="E1283" i="1"/>
  <c r="N1282" i="1"/>
  <c r="M1282" i="1"/>
  <c r="E1282" i="1"/>
  <c r="N1281" i="1"/>
  <c r="M1281" i="1"/>
  <c r="O1281" i="1" s="1"/>
  <c r="P1281" i="1" s="1"/>
  <c r="E1281" i="1"/>
  <c r="N1280" i="1"/>
  <c r="M1280" i="1"/>
  <c r="O1280" i="1" s="1"/>
  <c r="P1280" i="1" s="1"/>
  <c r="E1280" i="1"/>
  <c r="N1279" i="1"/>
  <c r="M1279" i="1"/>
  <c r="O1279" i="1" s="1"/>
  <c r="P1279" i="1" s="1"/>
  <c r="E1279" i="1"/>
  <c r="N1278" i="1"/>
  <c r="M1278" i="1"/>
  <c r="E1278" i="1"/>
  <c r="N1277" i="1"/>
  <c r="M1277" i="1"/>
  <c r="O1277" i="1" s="1"/>
  <c r="P1277" i="1" s="1"/>
  <c r="E1277" i="1"/>
  <c r="N1276" i="1"/>
  <c r="M1276" i="1"/>
  <c r="O1276" i="1" s="1"/>
  <c r="P1276" i="1" s="1"/>
  <c r="E1276" i="1"/>
  <c r="N1275" i="1"/>
  <c r="M1275" i="1"/>
  <c r="O1275" i="1" s="1"/>
  <c r="P1275" i="1" s="1"/>
  <c r="E1275" i="1"/>
  <c r="N1274" i="1"/>
  <c r="M1274" i="1"/>
  <c r="O1274" i="1" s="1"/>
  <c r="P1274" i="1" s="1"/>
  <c r="E1274" i="1"/>
  <c r="N1273" i="1"/>
  <c r="M1273" i="1"/>
  <c r="O1273" i="1" s="1"/>
  <c r="P1273" i="1" s="1"/>
  <c r="E1273" i="1"/>
  <c r="N1272" i="1"/>
  <c r="M1272" i="1"/>
  <c r="O1272" i="1" s="1"/>
  <c r="P1272" i="1" s="1"/>
  <c r="E1272" i="1"/>
  <c r="N1271" i="1"/>
  <c r="M1271" i="1"/>
  <c r="O1271" i="1" s="1"/>
  <c r="P1271" i="1" s="1"/>
  <c r="E1271" i="1"/>
  <c r="N1270" i="1"/>
  <c r="M1270" i="1"/>
  <c r="E1270" i="1"/>
  <c r="N1269" i="1"/>
  <c r="M1269" i="1"/>
  <c r="O1269" i="1" s="1"/>
  <c r="P1269" i="1" s="1"/>
  <c r="E1269" i="1"/>
  <c r="N1268" i="1"/>
  <c r="M1268" i="1"/>
  <c r="O1268" i="1" s="1"/>
  <c r="P1268" i="1" s="1"/>
  <c r="E1268" i="1"/>
  <c r="N1267" i="1"/>
  <c r="M1267" i="1"/>
  <c r="O1267" i="1" s="1"/>
  <c r="P1267" i="1" s="1"/>
  <c r="E1267" i="1"/>
  <c r="N1266" i="1"/>
  <c r="M1266" i="1"/>
  <c r="E1266" i="1"/>
  <c r="N1265" i="1"/>
  <c r="M1265" i="1"/>
  <c r="O1265" i="1" s="1"/>
  <c r="P1265" i="1" s="1"/>
  <c r="E1265" i="1"/>
  <c r="N1264" i="1"/>
  <c r="M1264" i="1"/>
  <c r="O1264" i="1" s="1"/>
  <c r="P1264" i="1" s="1"/>
  <c r="E1264" i="1"/>
  <c r="N1263" i="1"/>
  <c r="M1263" i="1"/>
  <c r="O1263" i="1" s="1"/>
  <c r="P1263" i="1" s="1"/>
  <c r="E1263" i="1"/>
  <c r="N1262" i="1"/>
  <c r="M1262" i="1"/>
  <c r="E1262" i="1"/>
  <c r="N1261" i="1"/>
  <c r="M1261" i="1"/>
  <c r="O1261" i="1" s="1"/>
  <c r="P1261" i="1" s="1"/>
  <c r="E1261" i="1"/>
  <c r="N1260" i="1"/>
  <c r="M1260" i="1"/>
  <c r="O1260" i="1" s="1"/>
  <c r="P1260" i="1" s="1"/>
  <c r="E1260" i="1"/>
  <c r="N1259" i="1"/>
  <c r="M1259" i="1"/>
  <c r="O1259" i="1" s="1"/>
  <c r="P1259" i="1" s="1"/>
  <c r="E1259" i="1"/>
  <c r="N1258" i="1"/>
  <c r="M1258" i="1"/>
  <c r="O1258" i="1" s="1"/>
  <c r="P1258" i="1" s="1"/>
  <c r="E1258" i="1"/>
  <c r="N1257" i="1"/>
  <c r="M1257" i="1"/>
  <c r="O1257" i="1" s="1"/>
  <c r="P1257" i="1" s="1"/>
  <c r="E1257" i="1"/>
  <c r="N1256" i="1"/>
  <c r="M1256" i="1"/>
  <c r="O1256" i="1" s="1"/>
  <c r="P1256" i="1" s="1"/>
  <c r="E1256" i="1"/>
  <c r="N1255" i="1"/>
  <c r="M1255" i="1"/>
  <c r="O1255" i="1" s="1"/>
  <c r="P1255" i="1" s="1"/>
  <c r="E1255" i="1"/>
  <c r="N1254" i="1"/>
  <c r="M1254" i="1"/>
  <c r="E1254" i="1"/>
  <c r="N1253" i="1"/>
  <c r="M1253" i="1"/>
  <c r="O1253" i="1" s="1"/>
  <c r="P1253" i="1" s="1"/>
  <c r="E1253" i="1"/>
  <c r="N1252" i="1"/>
  <c r="M1252" i="1"/>
  <c r="O1252" i="1" s="1"/>
  <c r="P1252" i="1" s="1"/>
  <c r="E1252" i="1"/>
  <c r="N1251" i="1"/>
  <c r="M1251" i="1"/>
  <c r="O1251" i="1" s="1"/>
  <c r="P1251" i="1" s="1"/>
  <c r="E1251" i="1"/>
  <c r="N1250" i="1"/>
  <c r="M1250" i="1"/>
  <c r="E1250" i="1"/>
  <c r="N1249" i="1"/>
  <c r="M1249" i="1"/>
  <c r="O1249" i="1" s="1"/>
  <c r="P1249" i="1" s="1"/>
  <c r="E1249" i="1"/>
  <c r="N1248" i="1"/>
  <c r="M1248" i="1"/>
  <c r="O1248" i="1" s="1"/>
  <c r="P1248" i="1" s="1"/>
  <c r="E1248" i="1"/>
  <c r="N1247" i="1"/>
  <c r="M1247" i="1"/>
  <c r="O1247" i="1" s="1"/>
  <c r="P1247" i="1" s="1"/>
  <c r="E1247" i="1"/>
  <c r="N1246" i="1"/>
  <c r="M1246" i="1"/>
  <c r="E1246" i="1"/>
  <c r="N1245" i="1"/>
  <c r="M1245" i="1"/>
  <c r="O1245" i="1" s="1"/>
  <c r="P1245" i="1" s="1"/>
  <c r="E1245" i="1"/>
  <c r="N1244" i="1"/>
  <c r="M1244" i="1"/>
  <c r="O1244" i="1" s="1"/>
  <c r="P1244" i="1" s="1"/>
  <c r="E1244" i="1"/>
  <c r="N1243" i="1"/>
  <c r="M1243" i="1"/>
  <c r="O1243" i="1" s="1"/>
  <c r="P1243" i="1" s="1"/>
  <c r="E1243" i="1"/>
  <c r="N1242" i="1"/>
  <c r="M1242" i="1"/>
  <c r="O1242" i="1" s="1"/>
  <c r="P1242" i="1" s="1"/>
  <c r="E1242" i="1"/>
  <c r="N1241" i="1"/>
  <c r="M1241" i="1"/>
  <c r="O1241" i="1" s="1"/>
  <c r="P1241" i="1" s="1"/>
  <c r="E1241" i="1"/>
  <c r="N1240" i="1"/>
  <c r="M1240" i="1"/>
  <c r="O1240" i="1" s="1"/>
  <c r="P1240" i="1" s="1"/>
  <c r="E1240" i="1"/>
  <c r="N1239" i="1"/>
  <c r="M1239" i="1"/>
  <c r="O1239" i="1" s="1"/>
  <c r="P1239" i="1" s="1"/>
  <c r="E1239" i="1"/>
  <c r="N1238" i="1"/>
  <c r="M1238" i="1"/>
  <c r="E1238" i="1"/>
  <c r="N1237" i="1"/>
  <c r="M1237" i="1"/>
  <c r="O1237" i="1" s="1"/>
  <c r="P1237" i="1" s="1"/>
  <c r="E1237" i="1"/>
  <c r="N1236" i="1"/>
  <c r="M1236" i="1"/>
  <c r="O1236" i="1" s="1"/>
  <c r="P1236" i="1" s="1"/>
  <c r="E1236" i="1"/>
  <c r="N1235" i="1"/>
  <c r="M1235" i="1"/>
  <c r="O1235" i="1" s="1"/>
  <c r="P1235" i="1" s="1"/>
  <c r="E1235" i="1"/>
  <c r="N1234" i="1"/>
  <c r="M1234" i="1"/>
  <c r="E1234" i="1"/>
  <c r="N1233" i="1"/>
  <c r="M1233" i="1"/>
  <c r="O1233" i="1" s="1"/>
  <c r="P1233" i="1" s="1"/>
  <c r="E1233" i="1"/>
  <c r="N1232" i="1"/>
  <c r="M1232" i="1"/>
  <c r="O1232" i="1" s="1"/>
  <c r="P1232" i="1" s="1"/>
  <c r="E1232" i="1"/>
  <c r="N1231" i="1"/>
  <c r="M1231" i="1"/>
  <c r="O1231" i="1" s="1"/>
  <c r="P1231" i="1" s="1"/>
  <c r="E1231" i="1"/>
  <c r="N1230" i="1"/>
  <c r="M1230" i="1"/>
  <c r="E1230" i="1"/>
  <c r="N1229" i="1"/>
  <c r="M1229" i="1"/>
  <c r="O1229" i="1" s="1"/>
  <c r="P1229" i="1" s="1"/>
  <c r="E1229" i="1"/>
  <c r="N1228" i="1"/>
  <c r="M1228" i="1"/>
  <c r="O1228" i="1" s="1"/>
  <c r="P1228" i="1" s="1"/>
  <c r="E1228" i="1"/>
  <c r="N1227" i="1"/>
  <c r="M1227" i="1"/>
  <c r="O1227" i="1" s="1"/>
  <c r="P1227" i="1" s="1"/>
  <c r="E1227" i="1"/>
  <c r="N1226" i="1"/>
  <c r="M1226" i="1"/>
  <c r="O1226" i="1" s="1"/>
  <c r="P1226" i="1" s="1"/>
  <c r="E1226" i="1"/>
  <c r="N1225" i="1"/>
  <c r="M1225" i="1"/>
  <c r="O1225" i="1" s="1"/>
  <c r="P1225" i="1" s="1"/>
  <c r="E1225" i="1"/>
  <c r="N1224" i="1"/>
  <c r="M1224" i="1"/>
  <c r="O1224" i="1" s="1"/>
  <c r="P1224" i="1" s="1"/>
  <c r="E1224" i="1"/>
  <c r="N1223" i="1"/>
  <c r="M1223" i="1"/>
  <c r="O1223" i="1" s="1"/>
  <c r="P1223" i="1" s="1"/>
  <c r="E1223" i="1"/>
  <c r="N1222" i="1"/>
  <c r="M1222" i="1"/>
  <c r="E1222" i="1"/>
  <c r="N1221" i="1"/>
  <c r="M1221" i="1"/>
  <c r="O1221" i="1" s="1"/>
  <c r="P1221" i="1" s="1"/>
  <c r="E1221" i="1"/>
  <c r="N1220" i="1"/>
  <c r="M1220" i="1"/>
  <c r="O1220" i="1" s="1"/>
  <c r="P1220" i="1" s="1"/>
  <c r="E1220" i="1"/>
  <c r="N1219" i="1"/>
  <c r="M1219" i="1"/>
  <c r="O1219" i="1" s="1"/>
  <c r="P1219" i="1" s="1"/>
  <c r="E1219" i="1"/>
  <c r="N1218" i="1"/>
  <c r="M1218" i="1"/>
  <c r="E1218" i="1"/>
  <c r="N1217" i="1"/>
  <c r="M1217" i="1"/>
  <c r="O1217" i="1" s="1"/>
  <c r="P1217" i="1" s="1"/>
  <c r="E1217" i="1"/>
  <c r="N1216" i="1"/>
  <c r="M1216" i="1"/>
  <c r="O1216" i="1" s="1"/>
  <c r="P1216" i="1" s="1"/>
  <c r="E1216" i="1"/>
  <c r="N1215" i="1"/>
  <c r="M1215" i="1"/>
  <c r="O1215" i="1" s="1"/>
  <c r="P1215" i="1" s="1"/>
  <c r="E1215" i="1"/>
  <c r="N1214" i="1"/>
  <c r="M1214" i="1"/>
  <c r="E1214" i="1"/>
  <c r="N1213" i="1"/>
  <c r="M1213" i="1"/>
  <c r="O1213" i="1" s="1"/>
  <c r="P1213" i="1" s="1"/>
  <c r="E1213" i="1"/>
  <c r="N1212" i="1"/>
  <c r="M1212" i="1"/>
  <c r="O1212" i="1" s="1"/>
  <c r="P1212" i="1" s="1"/>
  <c r="E1212" i="1"/>
  <c r="N1211" i="1"/>
  <c r="M1211" i="1"/>
  <c r="O1211" i="1" s="1"/>
  <c r="P1211" i="1" s="1"/>
  <c r="E1211" i="1"/>
  <c r="N1210" i="1"/>
  <c r="M1210" i="1"/>
  <c r="O1210" i="1" s="1"/>
  <c r="P1210" i="1" s="1"/>
  <c r="E1210" i="1"/>
  <c r="N1209" i="1"/>
  <c r="M1209" i="1"/>
  <c r="O1209" i="1" s="1"/>
  <c r="P1209" i="1" s="1"/>
  <c r="E1209" i="1"/>
  <c r="N1208" i="1"/>
  <c r="M1208" i="1"/>
  <c r="O1208" i="1" s="1"/>
  <c r="P1208" i="1" s="1"/>
  <c r="E1208" i="1"/>
  <c r="N1207" i="1"/>
  <c r="M1207" i="1"/>
  <c r="O1207" i="1" s="1"/>
  <c r="P1207" i="1" s="1"/>
  <c r="E1207" i="1"/>
  <c r="N1206" i="1"/>
  <c r="M1206" i="1"/>
  <c r="E1206" i="1"/>
  <c r="N1205" i="1"/>
  <c r="M1205" i="1"/>
  <c r="O1205" i="1" s="1"/>
  <c r="P1205" i="1" s="1"/>
  <c r="E1205" i="1"/>
  <c r="N1204" i="1"/>
  <c r="M1204" i="1"/>
  <c r="O1204" i="1" s="1"/>
  <c r="P1204" i="1" s="1"/>
  <c r="E1204" i="1"/>
  <c r="N1203" i="1"/>
  <c r="M1203" i="1"/>
  <c r="O1203" i="1" s="1"/>
  <c r="P1203" i="1" s="1"/>
  <c r="E1203" i="1"/>
  <c r="N1202" i="1"/>
  <c r="M1202" i="1"/>
  <c r="E1202" i="1"/>
  <c r="N1201" i="1"/>
  <c r="M1201" i="1"/>
  <c r="O1201" i="1" s="1"/>
  <c r="P1201" i="1" s="1"/>
  <c r="E1201" i="1"/>
  <c r="N1200" i="1"/>
  <c r="M1200" i="1"/>
  <c r="O1200" i="1" s="1"/>
  <c r="P1200" i="1" s="1"/>
  <c r="E1200" i="1"/>
  <c r="N1199" i="1"/>
  <c r="M1199" i="1"/>
  <c r="O1199" i="1" s="1"/>
  <c r="P1199" i="1" s="1"/>
  <c r="E1199" i="1"/>
  <c r="N1198" i="1"/>
  <c r="M1198" i="1"/>
  <c r="E1198" i="1"/>
  <c r="N1197" i="1"/>
  <c r="M1197" i="1"/>
  <c r="O1197" i="1" s="1"/>
  <c r="P1197" i="1" s="1"/>
  <c r="E1197" i="1"/>
  <c r="N1196" i="1"/>
  <c r="M1196" i="1"/>
  <c r="O1196" i="1" s="1"/>
  <c r="P1196" i="1" s="1"/>
  <c r="E1196" i="1"/>
  <c r="N1195" i="1"/>
  <c r="M1195" i="1"/>
  <c r="O1195" i="1" s="1"/>
  <c r="P1195" i="1" s="1"/>
  <c r="E1195" i="1"/>
  <c r="N1194" i="1"/>
  <c r="M1194" i="1"/>
  <c r="O1194" i="1" s="1"/>
  <c r="P1194" i="1" s="1"/>
  <c r="E1194" i="1"/>
  <c r="N1193" i="1"/>
  <c r="M1193" i="1"/>
  <c r="O1193" i="1" s="1"/>
  <c r="P1193" i="1" s="1"/>
  <c r="E1193" i="1"/>
  <c r="N1192" i="1"/>
  <c r="M1192" i="1"/>
  <c r="O1192" i="1" s="1"/>
  <c r="P1192" i="1" s="1"/>
  <c r="E1192" i="1"/>
  <c r="N1191" i="1"/>
  <c r="M1191" i="1"/>
  <c r="O1191" i="1" s="1"/>
  <c r="P1191" i="1" s="1"/>
  <c r="E1191" i="1"/>
  <c r="N1190" i="1"/>
  <c r="M1190" i="1"/>
  <c r="E1190" i="1"/>
  <c r="N1189" i="1"/>
  <c r="M1189" i="1"/>
  <c r="O1189" i="1" s="1"/>
  <c r="P1189" i="1" s="1"/>
  <c r="E1189" i="1"/>
  <c r="N1188" i="1"/>
  <c r="M1188" i="1"/>
  <c r="O1188" i="1" s="1"/>
  <c r="P1188" i="1" s="1"/>
  <c r="E1188" i="1"/>
  <c r="N1187" i="1"/>
  <c r="M1187" i="1"/>
  <c r="O1187" i="1" s="1"/>
  <c r="P1187" i="1" s="1"/>
  <c r="E1187" i="1"/>
  <c r="N1186" i="1"/>
  <c r="M1186" i="1"/>
  <c r="E1186" i="1"/>
  <c r="N1185" i="1"/>
  <c r="M1185" i="1"/>
  <c r="O1185" i="1" s="1"/>
  <c r="P1185" i="1" s="1"/>
  <c r="E1185" i="1"/>
  <c r="N1184" i="1"/>
  <c r="M1184" i="1"/>
  <c r="O1184" i="1" s="1"/>
  <c r="P1184" i="1" s="1"/>
  <c r="E1184" i="1"/>
  <c r="N1183" i="1"/>
  <c r="M1183" i="1"/>
  <c r="O1183" i="1" s="1"/>
  <c r="P1183" i="1" s="1"/>
  <c r="E1183" i="1"/>
  <c r="N1182" i="1"/>
  <c r="M1182" i="1"/>
  <c r="E1182" i="1"/>
  <c r="N1181" i="1"/>
  <c r="M1181" i="1"/>
  <c r="O1181" i="1" s="1"/>
  <c r="P1181" i="1" s="1"/>
  <c r="E1181" i="1"/>
  <c r="N1180" i="1"/>
  <c r="M1180" i="1"/>
  <c r="O1180" i="1" s="1"/>
  <c r="P1180" i="1" s="1"/>
  <c r="E1180" i="1"/>
  <c r="N1179" i="1"/>
  <c r="M1179" i="1"/>
  <c r="O1179" i="1" s="1"/>
  <c r="P1179" i="1" s="1"/>
  <c r="E1179" i="1"/>
  <c r="N1178" i="1"/>
  <c r="M1178" i="1"/>
  <c r="O1178" i="1" s="1"/>
  <c r="P1178" i="1" s="1"/>
  <c r="E1178" i="1"/>
  <c r="N1177" i="1"/>
  <c r="M1177" i="1"/>
  <c r="O1177" i="1" s="1"/>
  <c r="P1177" i="1" s="1"/>
  <c r="E1177" i="1"/>
  <c r="N1176" i="1"/>
  <c r="M1176" i="1"/>
  <c r="O1176" i="1" s="1"/>
  <c r="P1176" i="1" s="1"/>
  <c r="E1176" i="1"/>
  <c r="N1175" i="1"/>
  <c r="M1175" i="1"/>
  <c r="O1175" i="1" s="1"/>
  <c r="P1175" i="1" s="1"/>
  <c r="E1175" i="1"/>
  <c r="N1174" i="1"/>
  <c r="M1174" i="1"/>
  <c r="E1174" i="1"/>
  <c r="N1173" i="1"/>
  <c r="M1173" i="1"/>
  <c r="O1173" i="1" s="1"/>
  <c r="P1173" i="1" s="1"/>
  <c r="E1173" i="1"/>
  <c r="N1172" i="1"/>
  <c r="M1172" i="1"/>
  <c r="O1172" i="1" s="1"/>
  <c r="P1172" i="1" s="1"/>
  <c r="E1172" i="1"/>
  <c r="N1171" i="1"/>
  <c r="M1171" i="1"/>
  <c r="O1171" i="1" s="1"/>
  <c r="P1171" i="1" s="1"/>
  <c r="E1171" i="1"/>
  <c r="N1170" i="1"/>
  <c r="M1170" i="1"/>
  <c r="E1170" i="1"/>
  <c r="N1169" i="1"/>
  <c r="M1169" i="1"/>
  <c r="O1169" i="1" s="1"/>
  <c r="P1169" i="1" s="1"/>
  <c r="E1169" i="1"/>
  <c r="N1168" i="1"/>
  <c r="M1168" i="1"/>
  <c r="O1168" i="1" s="1"/>
  <c r="P1168" i="1" s="1"/>
  <c r="E1168" i="1"/>
  <c r="N1167" i="1"/>
  <c r="M1167" i="1"/>
  <c r="O1167" i="1" s="1"/>
  <c r="P1167" i="1" s="1"/>
  <c r="E1167" i="1"/>
  <c r="N1166" i="1"/>
  <c r="M1166" i="1"/>
  <c r="E1166" i="1"/>
  <c r="N1165" i="1"/>
  <c r="M1165" i="1"/>
  <c r="O1165" i="1" s="1"/>
  <c r="P1165" i="1" s="1"/>
  <c r="E1165" i="1"/>
  <c r="N1164" i="1"/>
  <c r="M1164" i="1"/>
  <c r="O1164" i="1" s="1"/>
  <c r="P1164" i="1" s="1"/>
  <c r="E1164" i="1"/>
  <c r="N1163" i="1"/>
  <c r="M1163" i="1"/>
  <c r="O1163" i="1" s="1"/>
  <c r="P1163" i="1" s="1"/>
  <c r="E1163" i="1"/>
  <c r="N1162" i="1"/>
  <c r="M1162" i="1"/>
  <c r="O1162" i="1" s="1"/>
  <c r="P1162" i="1" s="1"/>
  <c r="E1162" i="1"/>
  <c r="N1161" i="1"/>
  <c r="M1161" i="1"/>
  <c r="O1161" i="1" s="1"/>
  <c r="P1161" i="1" s="1"/>
  <c r="E1161" i="1"/>
  <c r="N1160" i="1"/>
  <c r="M1160" i="1"/>
  <c r="O1160" i="1" s="1"/>
  <c r="P1160" i="1" s="1"/>
  <c r="E1160" i="1"/>
  <c r="N1159" i="1"/>
  <c r="M1159" i="1"/>
  <c r="O1159" i="1" s="1"/>
  <c r="P1159" i="1" s="1"/>
  <c r="E1159" i="1"/>
  <c r="N1158" i="1"/>
  <c r="M1158" i="1"/>
  <c r="E1158" i="1"/>
  <c r="N1157" i="1"/>
  <c r="M1157" i="1"/>
  <c r="O1157" i="1" s="1"/>
  <c r="P1157" i="1" s="1"/>
  <c r="E1157" i="1"/>
  <c r="N1156" i="1"/>
  <c r="M1156" i="1"/>
  <c r="O1156" i="1" s="1"/>
  <c r="P1156" i="1" s="1"/>
  <c r="E1156" i="1"/>
  <c r="N1155" i="1"/>
  <c r="M1155" i="1"/>
  <c r="O1155" i="1" s="1"/>
  <c r="P1155" i="1" s="1"/>
  <c r="E1155" i="1"/>
  <c r="N1154" i="1"/>
  <c r="M1154" i="1"/>
  <c r="E1154" i="1"/>
  <c r="N1153" i="1"/>
  <c r="M1153" i="1"/>
  <c r="O1153" i="1" s="1"/>
  <c r="P1153" i="1" s="1"/>
  <c r="E1153" i="1"/>
  <c r="N1152" i="1"/>
  <c r="M1152" i="1"/>
  <c r="O1152" i="1" s="1"/>
  <c r="P1152" i="1" s="1"/>
  <c r="E1152" i="1"/>
  <c r="N1151" i="1"/>
  <c r="M1151" i="1"/>
  <c r="O1151" i="1" s="1"/>
  <c r="P1151" i="1" s="1"/>
  <c r="E1151" i="1"/>
  <c r="N1150" i="1"/>
  <c r="M1150" i="1"/>
  <c r="E1150" i="1"/>
  <c r="N1149" i="1"/>
  <c r="M1149" i="1"/>
  <c r="O1149" i="1" s="1"/>
  <c r="P1149" i="1" s="1"/>
  <c r="E1149" i="1"/>
  <c r="N1148" i="1"/>
  <c r="M1148" i="1"/>
  <c r="O1148" i="1" s="1"/>
  <c r="P1148" i="1" s="1"/>
  <c r="E1148" i="1"/>
  <c r="N1147" i="1"/>
  <c r="M1147" i="1"/>
  <c r="O1147" i="1" s="1"/>
  <c r="P1147" i="1" s="1"/>
  <c r="E1147" i="1"/>
  <c r="N1146" i="1"/>
  <c r="M1146" i="1"/>
  <c r="O1146" i="1" s="1"/>
  <c r="P1146" i="1" s="1"/>
  <c r="E1146" i="1"/>
  <c r="N1145" i="1"/>
  <c r="M1145" i="1"/>
  <c r="O1145" i="1" s="1"/>
  <c r="P1145" i="1" s="1"/>
  <c r="E1145" i="1"/>
  <c r="N1144" i="1"/>
  <c r="M1144" i="1"/>
  <c r="O1144" i="1" s="1"/>
  <c r="P1144" i="1" s="1"/>
  <c r="E1144" i="1"/>
  <c r="N1143" i="1"/>
  <c r="M1143" i="1"/>
  <c r="O1143" i="1" s="1"/>
  <c r="P1143" i="1" s="1"/>
  <c r="E1143" i="1"/>
  <c r="N1142" i="1"/>
  <c r="M1142" i="1"/>
  <c r="E1142" i="1"/>
  <c r="N1141" i="1"/>
  <c r="M1141" i="1"/>
  <c r="O1141" i="1" s="1"/>
  <c r="P1141" i="1" s="1"/>
  <c r="E1141" i="1"/>
  <c r="N1140" i="1"/>
  <c r="M1140" i="1"/>
  <c r="O1140" i="1" s="1"/>
  <c r="P1140" i="1" s="1"/>
  <c r="E1140" i="1"/>
  <c r="N1139" i="1"/>
  <c r="M1139" i="1"/>
  <c r="O1139" i="1" s="1"/>
  <c r="P1139" i="1" s="1"/>
  <c r="E1139" i="1"/>
  <c r="N1138" i="1"/>
  <c r="M1138" i="1"/>
  <c r="E1138" i="1"/>
  <c r="N1137" i="1"/>
  <c r="M1137" i="1"/>
  <c r="O1137" i="1" s="1"/>
  <c r="P1137" i="1" s="1"/>
  <c r="E1137" i="1"/>
  <c r="N1136" i="1"/>
  <c r="M1136" i="1"/>
  <c r="O1136" i="1" s="1"/>
  <c r="P1136" i="1" s="1"/>
  <c r="E1136" i="1"/>
  <c r="N1135" i="1"/>
  <c r="M1135" i="1"/>
  <c r="O1135" i="1" s="1"/>
  <c r="P1135" i="1" s="1"/>
  <c r="E1135" i="1"/>
  <c r="N1134" i="1"/>
  <c r="M1134" i="1"/>
  <c r="E1134" i="1"/>
  <c r="N1133" i="1"/>
  <c r="M1133" i="1"/>
  <c r="O1133" i="1" s="1"/>
  <c r="P1133" i="1" s="1"/>
  <c r="E1133" i="1"/>
  <c r="N1132" i="1"/>
  <c r="M1132" i="1"/>
  <c r="O1132" i="1" s="1"/>
  <c r="P1132" i="1" s="1"/>
  <c r="E1132" i="1"/>
  <c r="N1131" i="1"/>
  <c r="M1131" i="1"/>
  <c r="O1131" i="1" s="1"/>
  <c r="P1131" i="1" s="1"/>
  <c r="E1131" i="1"/>
  <c r="N1130" i="1"/>
  <c r="M1130" i="1"/>
  <c r="O1130" i="1" s="1"/>
  <c r="P1130" i="1" s="1"/>
  <c r="E1130" i="1"/>
  <c r="N1129" i="1"/>
  <c r="M1129" i="1"/>
  <c r="O1129" i="1" s="1"/>
  <c r="P1129" i="1" s="1"/>
  <c r="E1129" i="1"/>
  <c r="N1128" i="1"/>
  <c r="M1128" i="1"/>
  <c r="O1128" i="1" s="1"/>
  <c r="P1128" i="1" s="1"/>
  <c r="E1128" i="1"/>
  <c r="N1127" i="1"/>
  <c r="M1127" i="1"/>
  <c r="O1127" i="1" s="1"/>
  <c r="P1127" i="1" s="1"/>
  <c r="E1127" i="1"/>
  <c r="N1126" i="1"/>
  <c r="M1126" i="1"/>
  <c r="E1126" i="1"/>
  <c r="N1125" i="1"/>
  <c r="M1125" i="1"/>
  <c r="O1125" i="1" s="1"/>
  <c r="P1125" i="1" s="1"/>
  <c r="E1125" i="1"/>
  <c r="N1124" i="1"/>
  <c r="M1124" i="1"/>
  <c r="O1124" i="1" s="1"/>
  <c r="P1124" i="1" s="1"/>
  <c r="E1124" i="1"/>
  <c r="N1123" i="1"/>
  <c r="M1123" i="1"/>
  <c r="O1123" i="1" s="1"/>
  <c r="P1123" i="1" s="1"/>
  <c r="E1123" i="1"/>
  <c r="N1122" i="1"/>
  <c r="M1122" i="1"/>
  <c r="E1122" i="1"/>
  <c r="N1121" i="1"/>
  <c r="M1121" i="1"/>
  <c r="O1121" i="1" s="1"/>
  <c r="P1121" i="1" s="1"/>
  <c r="E1121" i="1"/>
  <c r="N1120" i="1"/>
  <c r="M1120" i="1"/>
  <c r="O1120" i="1" s="1"/>
  <c r="P1120" i="1" s="1"/>
  <c r="E1120" i="1"/>
  <c r="N1119" i="1"/>
  <c r="M1119" i="1"/>
  <c r="O1119" i="1" s="1"/>
  <c r="P1119" i="1" s="1"/>
  <c r="E1119" i="1"/>
  <c r="N1118" i="1"/>
  <c r="M1118" i="1"/>
  <c r="E1118" i="1"/>
  <c r="N1117" i="1"/>
  <c r="M1117" i="1"/>
  <c r="O1117" i="1" s="1"/>
  <c r="P1117" i="1" s="1"/>
  <c r="E1117" i="1"/>
  <c r="N1116" i="1"/>
  <c r="M1116" i="1"/>
  <c r="O1116" i="1" s="1"/>
  <c r="P1116" i="1" s="1"/>
  <c r="E1116" i="1"/>
  <c r="N1115" i="1"/>
  <c r="M1115" i="1"/>
  <c r="O1115" i="1" s="1"/>
  <c r="P1115" i="1" s="1"/>
  <c r="E1115" i="1"/>
  <c r="N1114" i="1"/>
  <c r="M1114" i="1"/>
  <c r="O1114" i="1" s="1"/>
  <c r="P1114" i="1" s="1"/>
  <c r="E1114" i="1"/>
  <c r="N1113" i="1"/>
  <c r="M1113" i="1"/>
  <c r="O1113" i="1" s="1"/>
  <c r="P1113" i="1" s="1"/>
  <c r="E1113" i="1"/>
  <c r="N1112" i="1"/>
  <c r="M1112" i="1"/>
  <c r="O1112" i="1" s="1"/>
  <c r="P1112" i="1" s="1"/>
  <c r="E1112" i="1"/>
  <c r="N1111" i="1"/>
  <c r="M1111" i="1"/>
  <c r="O1111" i="1" s="1"/>
  <c r="P1111" i="1" s="1"/>
  <c r="E1111" i="1"/>
  <c r="N1110" i="1"/>
  <c r="M1110" i="1"/>
  <c r="E1110" i="1"/>
  <c r="N1109" i="1"/>
  <c r="M1109" i="1"/>
  <c r="O1109" i="1" s="1"/>
  <c r="P1109" i="1" s="1"/>
  <c r="E1109" i="1"/>
  <c r="N1108" i="1"/>
  <c r="M1108" i="1"/>
  <c r="O1108" i="1" s="1"/>
  <c r="P1108" i="1" s="1"/>
  <c r="E1108" i="1"/>
  <c r="N1107" i="1"/>
  <c r="M1107" i="1"/>
  <c r="O1107" i="1" s="1"/>
  <c r="P1107" i="1" s="1"/>
  <c r="E1107" i="1"/>
  <c r="N1106" i="1"/>
  <c r="M1106" i="1"/>
  <c r="E1106" i="1"/>
  <c r="N1105" i="1"/>
  <c r="M1105" i="1"/>
  <c r="O1105" i="1" s="1"/>
  <c r="P1105" i="1" s="1"/>
  <c r="E1105" i="1"/>
  <c r="N1104" i="1"/>
  <c r="M1104" i="1"/>
  <c r="O1104" i="1" s="1"/>
  <c r="P1104" i="1" s="1"/>
  <c r="E1104" i="1"/>
  <c r="N1103" i="1"/>
  <c r="M1103" i="1"/>
  <c r="O1103" i="1" s="1"/>
  <c r="P1103" i="1" s="1"/>
  <c r="E1103" i="1"/>
  <c r="N1102" i="1"/>
  <c r="M1102" i="1"/>
  <c r="E1102" i="1"/>
  <c r="N1101" i="1"/>
  <c r="M1101" i="1"/>
  <c r="O1101" i="1" s="1"/>
  <c r="P1101" i="1" s="1"/>
  <c r="E1101" i="1"/>
  <c r="N1100" i="1"/>
  <c r="M1100" i="1"/>
  <c r="O1100" i="1" s="1"/>
  <c r="P1100" i="1" s="1"/>
  <c r="E1100" i="1"/>
  <c r="N1099" i="1"/>
  <c r="M1099" i="1"/>
  <c r="O1099" i="1" s="1"/>
  <c r="P1099" i="1" s="1"/>
  <c r="E1099" i="1"/>
  <c r="N1098" i="1"/>
  <c r="M1098" i="1"/>
  <c r="E1098" i="1"/>
  <c r="N1097" i="1"/>
  <c r="M1097" i="1"/>
  <c r="O1097" i="1" s="1"/>
  <c r="P1097" i="1" s="1"/>
  <c r="E1097" i="1"/>
  <c r="N1096" i="1"/>
  <c r="M1096" i="1"/>
  <c r="O1096" i="1" s="1"/>
  <c r="P1096" i="1" s="1"/>
  <c r="E1096" i="1"/>
  <c r="N1095" i="1"/>
  <c r="M1095" i="1"/>
  <c r="O1095" i="1" s="1"/>
  <c r="P1095" i="1" s="1"/>
  <c r="E1095" i="1"/>
  <c r="N1094" i="1"/>
  <c r="M1094" i="1"/>
  <c r="E1094" i="1"/>
  <c r="N1093" i="1"/>
  <c r="M1093" i="1"/>
  <c r="O1093" i="1" s="1"/>
  <c r="P1093" i="1" s="1"/>
  <c r="E1093" i="1"/>
  <c r="N1092" i="1"/>
  <c r="M1092" i="1"/>
  <c r="O1092" i="1" s="1"/>
  <c r="P1092" i="1" s="1"/>
  <c r="E1092" i="1"/>
  <c r="N1091" i="1"/>
  <c r="M1091" i="1"/>
  <c r="O1091" i="1" s="1"/>
  <c r="P1091" i="1" s="1"/>
  <c r="E1091" i="1"/>
  <c r="N1090" i="1"/>
  <c r="M1090" i="1"/>
  <c r="E1090" i="1"/>
  <c r="N1089" i="1"/>
  <c r="M1089" i="1"/>
  <c r="O1089" i="1" s="1"/>
  <c r="P1089" i="1" s="1"/>
  <c r="E1089" i="1"/>
  <c r="N1088" i="1"/>
  <c r="M1088" i="1"/>
  <c r="O1088" i="1" s="1"/>
  <c r="P1088" i="1" s="1"/>
  <c r="E1088" i="1"/>
  <c r="N1087" i="1"/>
  <c r="M1087" i="1"/>
  <c r="O1087" i="1" s="1"/>
  <c r="P1087" i="1" s="1"/>
  <c r="E1087" i="1"/>
  <c r="N1086" i="1"/>
  <c r="M1086" i="1"/>
  <c r="E1086" i="1"/>
  <c r="N1085" i="1"/>
  <c r="M1085" i="1"/>
  <c r="O1085" i="1" s="1"/>
  <c r="P1085" i="1" s="1"/>
  <c r="E1085" i="1"/>
  <c r="N1084" i="1"/>
  <c r="M1084" i="1"/>
  <c r="O1084" i="1" s="1"/>
  <c r="P1084" i="1" s="1"/>
  <c r="E1084" i="1"/>
  <c r="N1083" i="1"/>
  <c r="M1083" i="1"/>
  <c r="O1083" i="1" s="1"/>
  <c r="P1083" i="1" s="1"/>
  <c r="E1083" i="1"/>
  <c r="N1082" i="1"/>
  <c r="M1082" i="1"/>
  <c r="E1082" i="1"/>
  <c r="N1081" i="1"/>
  <c r="M1081" i="1"/>
  <c r="O1081" i="1" s="1"/>
  <c r="P1081" i="1" s="1"/>
  <c r="E1081" i="1"/>
  <c r="N1080" i="1"/>
  <c r="M1080" i="1"/>
  <c r="O1080" i="1" s="1"/>
  <c r="P1080" i="1" s="1"/>
  <c r="E1080" i="1"/>
  <c r="N1079" i="1"/>
  <c r="M1079" i="1"/>
  <c r="O1079" i="1" s="1"/>
  <c r="P1079" i="1" s="1"/>
  <c r="E1079" i="1"/>
  <c r="N1078" i="1"/>
  <c r="M1078" i="1"/>
  <c r="E1078" i="1"/>
  <c r="N1077" i="1"/>
  <c r="M1077" i="1"/>
  <c r="O1077" i="1" s="1"/>
  <c r="P1077" i="1" s="1"/>
  <c r="E1077" i="1"/>
  <c r="N1076" i="1"/>
  <c r="M1076" i="1"/>
  <c r="O1076" i="1" s="1"/>
  <c r="P1076" i="1" s="1"/>
  <c r="E1076" i="1"/>
  <c r="N1075" i="1"/>
  <c r="M1075" i="1"/>
  <c r="O1075" i="1" s="1"/>
  <c r="P1075" i="1" s="1"/>
  <c r="E1075" i="1"/>
  <c r="N1074" i="1"/>
  <c r="M1074" i="1"/>
  <c r="E1074" i="1"/>
  <c r="N1073" i="1"/>
  <c r="M1073" i="1"/>
  <c r="O1073" i="1" s="1"/>
  <c r="P1073" i="1" s="1"/>
  <c r="E1073" i="1"/>
  <c r="N1072" i="1"/>
  <c r="M1072" i="1"/>
  <c r="O1072" i="1" s="1"/>
  <c r="P1072" i="1" s="1"/>
  <c r="E1072" i="1"/>
  <c r="N1071" i="1"/>
  <c r="M1071" i="1"/>
  <c r="O1071" i="1" s="1"/>
  <c r="P1071" i="1" s="1"/>
  <c r="E1071" i="1"/>
  <c r="N1070" i="1"/>
  <c r="M1070" i="1"/>
  <c r="E1070" i="1"/>
  <c r="N1069" i="1"/>
  <c r="M1069" i="1"/>
  <c r="O1069" i="1" s="1"/>
  <c r="P1069" i="1" s="1"/>
  <c r="E1069" i="1"/>
  <c r="N1068" i="1"/>
  <c r="M1068" i="1"/>
  <c r="O1068" i="1" s="1"/>
  <c r="P1068" i="1" s="1"/>
  <c r="E1068" i="1"/>
  <c r="N1067" i="1"/>
  <c r="M1067" i="1"/>
  <c r="O1067" i="1" s="1"/>
  <c r="P1067" i="1" s="1"/>
  <c r="E1067" i="1"/>
  <c r="N1066" i="1"/>
  <c r="M1066" i="1"/>
  <c r="E1066" i="1"/>
  <c r="N1065" i="1"/>
  <c r="M1065" i="1"/>
  <c r="O1065" i="1" s="1"/>
  <c r="P1065" i="1" s="1"/>
  <c r="E1065" i="1"/>
  <c r="N1064" i="1"/>
  <c r="M1064" i="1"/>
  <c r="O1064" i="1" s="1"/>
  <c r="P1064" i="1" s="1"/>
  <c r="E1064" i="1"/>
  <c r="N1063" i="1"/>
  <c r="M1063" i="1"/>
  <c r="O1063" i="1" s="1"/>
  <c r="P1063" i="1" s="1"/>
  <c r="E1063" i="1"/>
  <c r="N1062" i="1"/>
  <c r="M1062" i="1"/>
  <c r="E1062" i="1"/>
  <c r="N1061" i="1"/>
  <c r="M1061" i="1"/>
  <c r="O1061" i="1" s="1"/>
  <c r="P1061" i="1" s="1"/>
  <c r="E1061" i="1"/>
  <c r="N1060" i="1"/>
  <c r="M1060" i="1"/>
  <c r="O1060" i="1" s="1"/>
  <c r="P1060" i="1" s="1"/>
  <c r="E1060" i="1"/>
  <c r="N1059" i="1"/>
  <c r="M1059" i="1"/>
  <c r="O1059" i="1" s="1"/>
  <c r="P1059" i="1" s="1"/>
  <c r="E1059" i="1"/>
  <c r="N1058" i="1"/>
  <c r="M1058" i="1"/>
  <c r="E1058" i="1"/>
  <c r="N1057" i="1"/>
  <c r="M1057" i="1"/>
  <c r="O1057" i="1" s="1"/>
  <c r="P1057" i="1" s="1"/>
  <c r="E1057" i="1"/>
  <c r="N1056" i="1"/>
  <c r="M1056" i="1"/>
  <c r="O1056" i="1" s="1"/>
  <c r="P1056" i="1" s="1"/>
  <c r="E1056" i="1"/>
  <c r="N1055" i="1"/>
  <c r="M1055" i="1"/>
  <c r="O1055" i="1" s="1"/>
  <c r="P1055" i="1" s="1"/>
  <c r="E1055" i="1"/>
  <c r="N1054" i="1"/>
  <c r="M1054" i="1"/>
  <c r="O1054" i="1" s="1"/>
  <c r="P1054" i="1" s="1"/>
  <c r="E1054" i="1"/>
  <c r="N1053" i="1"/>
  <c r="M1053" i="1"/>
  <c r="O1053" i="1" s="1"/>
  <c r="P1053" i="1" s="1"/>
  <c r="E1053" i="1"/>
  <c r="N1052" i="1"/>
  <c r="M1052" i="1"/>
  <c r="E1052" i="1"/>
  <c r="N1051" i="1"/>
  <c r="M1051" i="1"/>
  <c r="O1051" i="1" s="1"/>
  <c r="P1051" i="1" s="1"/>
  <c r="E1051" i="1"/>
  <c r="N1050" i="1"/>
  <c r="M1050" i="1"/>
  <c r="E1050" i="1"/>
  <c r="N1049" i="1"/>
  <c r="M1049" i="1"/>
  <c r="O1049" i="1" s="1"/>
  <c r="P1049" i="1" s="1"/>
  <c r="E1049" i="1"/>
  <c r="N1048" i="1"/>
  <c r="M1048" i="1"/>
  <c r="O1048" i="1" s="1"/>
  <c r="P1048" i="1" s="1"/>
  <c r="E1048" i="1"/>
  <c r="N1047" i="1"/>
  <c r="M1047" i="1"/>
  <c r="E1047" i="1"/>
  <c r="N1046" i="1"/>
  <c r="M1046" i="1"/>
  <c r="O1046" i="1" s="1"/>
  <c r="P1046" i="1" s="1"/>
  <c r="E1046" i="1"/>
  <c r="N1045" i="1"/>
  <c r="M1045" i="1"/>
  <c r="O1045" i="1" s="1"/>
  <c r="P1045" i="1" s="1"/>
  <c r="E1045" i="1"/>
  <c r="N1044" i="1"/>
  <c r="M1044" i="1"/>
  <c r="O1044" i="1" s="1"/>
  <c r="P1044" i="1" s="1"/>
  <c r="E1044" i="1"/>
  <c r="N1043" i="1"/>
  <c r="M1043" i="1"/>
  <c r="E1043" i="1"/>
  <c r="N1042" i="1"/>
  <c r="M1042" i="1"/>
  <c r="O1042" i="1" s="1"/>
  <c r="P1042" i="1" s="1"/>
  <c r="E1042" i="1"/>
  <c r="N1041" i="1"/>
  <c r="M1041" i="1"/>
  <c r="O1041" i="1" s="1"/>
  <c r="P1041" i="1" s="1"/>
  <c r="E1041" i="1"/>
  <c r="N1040" i="1"/>
  <c r="M1040" i="1"/>
  <c r="O1040" i="1" s="1"/>
  <c r="P1040" i="1" s="1"/>
  <c r="E1040" i="1"/>
  <c r="N1039" i="1"/>
  <c r="M1039" i="1"/>
  <c r="O1039" i="1" s="1"/>
  <c r="P1039" i="1" s="1"/>
  <c r="E1039" i="1"/>
  <c r="N1038" i="1"/>
  <c r="M1038" i="1"/>
  <c r="O1038" i="1" s="1"/>
  <c r="P1038" i="1" s="1"/>
  <c r="E1038" i="1"/>
  <c r="N1037" i="1"/>
  <c r="M1037" i="1"/>
  <c r="O1037" i="1" s="1"/>
  <c r="P1037" i="1" s="1"/>
  <c r="E1037" i="1"/>
  <c r="N1036" i="1"/>
  <c r="M1036" i="1"/>
  <c r="O1036" i="1" s="1"/>
  <c r="P1036" i="1" s="1"/>
  <c r="E1036" i="1"/>
  <c r="N1035" i="1"/>
  <c r="M1035" i="1"/>
  <c r="E1035" i="1"/>
  <c r="N1034" i="1"/>
  <c r="M1034" i="1"/>
  <c r="O1034" i="1" s="1"/>
  <c r="P1034" i="1" s="1"/>
  <c r="E1034" i="1"/>
  <c r="N1033" i="1"/>
  <c r="M1033" i="1"/>
  <c r="O1033" i="1" s="1"/>
  <c r="P1033" i="1" s="1"/>
  <c r="E1033" i="1"/>
  <c r="N1032" i="1"/>
  <c r="M1032" i="1"/>
  <c r="O1032" i="1" s="1"/>
  <c r="P1032" i="1" s="1"/>
  <c r="E1032" i="1"/>
  <c r="N1031" i="1"/>
  <c r="M1031" i="1"/>
  <c r="E1031" i="1"/>
  <c r="N1030" i="1"/>
  <c r="M1030" i="1"/>
  <c r="O1030" i="1" s="1"/>
  <c r="P1030" i="1" s="1"/>
  <c r="E1030" i="1"/>
  <c r="N1029" i="1"/>
  <c r="M1029" i="1"/>
  <c r="O1029" i="1" s="1"/>
  <c r="P1029" i="1" s="1"/>
  <c r="E1029" i="1"/>
  <c r="N1028" i="1"/>
  <c r="M1028" i="1"/>
  <c r="O1028" i="1" s="1"/>
  <c r="P1028" i="1" s="1"/>
  <c r="E1028" i="1"/>
  <c r="N1027" i="1"/>
  <c r="M1027" i="1"/>
  <c r="E1027" i="1"/>
  <c r="N1026" i="1"/>
  <c r="M1026" i="1"/>
  <c r="O1026" i="1" s="1"/>
  <c r="P1026" i="1" s="1"/>
  <c r="E1026" i="1"/>
  <c r="N1025" i="1"/>
  <c r="M1025" i="1"/>
  <c r="O1025" i="1" s="1"/>
  <c r="P1025" i="1" s="1"/>
  <c r="E1025" i="1"/>
  <c r="N1024" i="1"/>
  <c r="M1024" i="1"/>
  <c r="O1024" i="1" s="1"/>
  <c r="P1024" i="1" s="1"/>
  <c r="E1024" i="1"/>
  <c r="N1023" i="1"/>
  <c r="M1023" i="1"/>
  <c r="O1023" i="1" s="1"/>
  <c r="P1023" i="1" s="1"/>
  <c r="E1023" i="1"/>
  <c r="N1022" i="1"/>
  <c r="M1022" i="1"/>
  <c r="O1022" i="1" s="1"/>
  <c r="P1022" i="1" s="1"/>
  <c r="E1022" i="1"/>
  <c r="N1021" i="1"/>
  <c r="M1021" i="1"/>
  <c r="O1021" i="1" s="1"/>
  <c r="P1021" i="1" s="1"/>
  <c r="E1021" i="1"/>
  <c r="N1020" i="1"/>
  <c r="M1020" i="1"/>
  <c r="O1020" i="1" s="1"/>
  <c r="P1020" i="1" s="1"/>
  <c r="E1020" i="1"/>
  <c r="N1019" i="1"/>
  <c r="M1019" i="1"/>
  <c r="E1019" i="1"/>
  <c r="N1018" i="1"/>
  <c r="M1018" i="1"/>
  <c r="O1018" i="1" s="1"/>
  <c r="P1018" i="1" s="1"/>
  <c r="E1018" i="1"/>
  <c r="N1017" i="1"/>
  <c r="M1017" i="1"/>
  <c r="O1017" i="1" s="1"/>
  <c r="P1017" i="1" s="1"/>
  <c r="E1017" i="1"/>
  <c r="N1016" i="1"/>
  <c r="M1016" i="1"/>
  <c r="O1016" i="1" s="1"/>
  <c r="P1016" i="1" s="1"/>
  <c r="E1016" i="1"/>
  <c r="N1015" i="1"/>
  <c r="M1015" i="1"/>
  <c r="E1015" i="1"/>
  <c r="N1014" i="1"/>
  <c r="M1014" i="1"/>
  <c r="O1014" i="1" s="1"/>
  <c r="P1014" i="1" s="1"/>
  <c r="E1014" i="1"/>
  <c r="N1013" i="1"/>
  <c r="M1013" i="1"/>
  <c r="O1013" i="1" s="1"/>
  <c r="P1013" i="1" s="1"/>
  <c r="E1013" i="1"/>
  <c r="N1012" i="1"/>
  <c r="M1012" i="1"/>
  <c r="O1012" i="1" s="1"/>
  <c r="P1012" i="1" s="1"/>
  <c r="E1012" i="1"/>
  <c r="N1011" i="1"/>
  <c r="M1011" i="1"/>
  <c r="E1011" i="1"/>
  <c r="N1010" i="1"/>
  <c r="M1010" i="1"/>
  <c r="O1010" i="1" s="1"/>
  <c r="P1010" i="1" s="1"/>
  <c r="E1010" i="1"/>
  <c r="N1009" i="1"/>
  <c r="M1009" i="1"/>
  <c r="O1009" i="1" s="1"/>
  <c r="P1009" i="1" s="1"/>
  <c r="E1009" i="1"/>
  <c r="N1008" i="1"/>
  <c r="M1008" i="1"/>
  <c r="O1008" i="1" s="1"/>
  <c r="P1008" i="1" s="1"/>
  <c r="E1008" i="1"/>
  <c r="N1007" i="1"/>
  <c r="M1007" i="1"/>
  <c r="O1007" i="1" s="1"/>
  <c r="P1007" i="1" s="1"/>
  <c r="E1007" i="1"/>
  <c r="N1006" i="1"/>
  <c r="M1006" i="1"/>
  <c r="O1006" i="1" s="1"/>
  <c r="P1006" i="1" s="1"/>
  <c r="E1006" i="1"/>
  <c r="N1005" i="1"/>
  <c r="M1005" i="1"/>
  <c r="O1005" i="1" s="1"/>
  <c r="P1005" i="1" s="1"/>
  <c r="E1005" i="1"/>
  <c r="N1004" i="1"/>
  <c r="M1004" i="1"/>
  <c r="O1004" i="1" s="1"/>
  <c r="P1004" i="1" s="1"/>
  <c r="E1004" i="1"/>
  <c r="N1003" i="1"/>
  <c r="M1003" i="1"/>
  <c r="E1003" i="1"/>
  <c r="N1002" i="1"/>
  <c r="M1002" i="1"/>
  <c r="O1002" i="1" s="1"/>
  <c r="P1002" i="1" s="1"/>
  <c r="E1002" i="1"/>
  <c r="N1001" i="1"/>
  <c r="M1001" i="1"/>
  <c r="O1001" i="1" s="1"/>
  <c r="P1001" i="1" s="1"/>
  <c r="E1001" i="1"/>
  <c r="N1000" i="1"/>
  <c r="M1000" i="1"/>
  <c r="O1000" i="1" s="1"/>
  <c r="P1000" i="1" s="1"/>
  <c r="E1000" i="1"/>
  <c r="N999" i="1"/>
  <c r="M999" i="1"/>
  <c r="O999" i="1" s="1"/>
  <c r="P999" i="1" s="1"/>
  <c r="E999" i="1"/>
  <c r="N998" i="1"/>
  <c r="M998" i="1"/>
  <c r="O998" i="1" s="1"/>
  <c r="P998" i="1" s="1"/>
  <c r="E998" i="1"/>
  <c r="N997" i="1"/>
  <c r="M997" i="1"/>
  <c r="O997" i="1" s="1"/>
  <c r="P997" i="1" s="1"/>
  <c r="E997" i="1"/>
  <c r="N996" i="1"/>
  <c r="M996" i="1"/>
  <c r="O996" i="1" s="1"/>
  <c r="P996" i="1" s="1"/>
  <c r="E996" i="1"/>
  <c r="N995" i="1"/>
  <c r="M995" i="1"/>
  <c r="E995" i="1"/>
  <c r="N994" i="1"/>
  <c r="M994" i="1"/>
  <c r="O994" i="1" s="1"/>
  <c r="P994" i="1" s="1"/>
  <c r="E994" i="1"/>
  <c r="N993" i="1"/>
  <c r="M993" i="1"/>
  <c r="O993" i="1" s="1"/>
  <c r="P993" i="1" s="1"/>
  <c r="E993" i="1"/>
  <c r="N992" i="1"/>
  <c r="M992" i="1"/>
  <c r="O992" i="1" s="1"/>
  <c r="P992" i="1" s="1"/>
  <c r="E992" i="1"/>
  <c r="N991" i="1"/>
  <c r="M991" i="1"/>
  <c r="O991" i="1" s="1"/>
  <c r="P991" i="1" s="1"/>
  <c r="E991" i="1"/>
  <c r="N990" i="1"/>
  <c r="M990" i="1"/>
  <c r="O990" i="1" s="1"/>
  <c r="P990" i="1" s="1"/>
  <c r="E990" i="1"/>
  <c r="N989" i="1"/>
  <c r="M989" i="1"/>
  <c r="O989" i="1" s="1"/>
  <c r="P989" i="1" s="1"/>
  <c r="E989" i="1"/>
  <c r="N988" i="1"/>
  <c r="M988" i="1"/>
  <c r="O988" i="1" s="1"/>
  <c r="P988" i="1" s="1"/>
  <c r="E988" i="1"/>
  <c r="N987" i="1"/>
  <c r="M987" i="1"/>
  <c r="E987" i="1"/>
  <c r="N986" i="1"/>
  <c r="M986" i="1"/>
  <c r="O986" i="1" s="1"/>
  <c r="P986" i="1" s="1"/>
  <c r="E986" i="1"/>
  <c r="N985" i="1"/>
  <c r="M985" i="1"/>
  <c r="O985" i="1" s="1"/>
  <c r="P985" i="1" s="1"/>
  <c r="E985" i="1"/>
  <c r="N984" i="1"/>
  <c r="M984" i="1"/>
  <c r="O984" i="1" s="1"/>
  <c r="P984" i="1" s="1"/>
  <c r="E984" i="1"/>
  <c r="N983" i="1"/>
  <c r="M983" i="1"/>
  <c r="O983" i="1" s="1"/>
  <c r="P983" i="1" s="1"/>
  <c r="E983" i="1"/>
  <c r="N982" i="1"/>
  <c r="M982" i="1"/>
  <c r="O982" i="1" s="1"/>
  <c r="P982" i="1" s="1"/>
  <c r="E982" i="1"/>
  <c r="N981" i="1"/>
  <c r="M981" i="1"/>
  <c r="O981" i="1" s="1"/>
  <c r="P981" i="1" s="1"/>
  <c r="E981" i="1"/>
  <c r="N980" i="1"/>
  <c r="M980" i="1"/>
  <c r="O980" i="1" s="1"/>
  <c r="P980" i="1" s="1"/>
  <c r="E980" i="1"/>
  <c r="N979" i="1"/>
  <c r="M979" i="1"/>
  <c r="E979" i="1"/>
  <c r="N978" i="1"/>
  <c r="M978" i="1"/>
  <c r="O978" i="1" s="1"/>
  <c r="P978" i="1" s="1"/>
  <c r="E978" i="1"/>
  <c r="N977" i="1"/>
  <c r="M977" i="1"/>
  <c r="O977" i="1" s="1"/>
  <c r="P977" i="1" s="1"/>
  <c r="E977" i="1"/>
  <c r="N976" i="1"/>
  <c r="M976" i="1"/>
  <c r="O976" i="1" s="1"/>
  <c r="P976" i="1" s="1"/>
  <c r="E976" i="1"/>
  <c r="N975" i="1"/>
  <c r="M975" i="1"/>
  <c r="O975" i="1" s="1"/>
  <c r="P975" i="1" s="1"/>
  <c r="E975" i="1"/>
  <c r="N974" i="1"/>
  <c r="M974" i="1"/>
  <c r="O974" i="1" s="1"/>
  <c r="P974" i="1" s="1"/>
  <c r="E974" i="1"/>
  <c r="N973" i="1"/>
  <c r="M973" i="1"/>
  <c r="O973" i="1" s="1"/>
  <c r="P973" i="1" s="1"/>
  <c r="E973" i="1"/>
  <c r="N972" i="1"/>
  <c r="M972" i="1"/>
  <c r="O972" i="1" s="1"/>
  <c r="P972" i="1" s="1"/>
  <c r="E972" i="1"/>
  <c r="N971" i="1"/>
  <c r="M971" i="1"/>
  <c r="E971" i="1"/>
  <c r="N970" i="1"/>
  <c r="M970" i="1"/>
  <c r="O970" i="1" s="1"/>
  <c r="P970" i="1" s="1"/>
  <c r="E970" i="1"/>
  <c r="N969" i="1"/>
  <c r="M969" i="1"/>
  <c r="O969" i="1" s="1"/>
  <c r="P969" i="1" s="1"/>
  <c r="E969" i="1"/>
  <c r="N968" i="1"/>
  <c r="M968" i="1"/>
  <c r="O968" i="1" s="1"/>
  <c r="P968" i="1" s="1"/>
  <c r="E968" i="1"/>
  <c r="N967" i="1"/>
  <c r="M967" i="1"/>
  <c r="O967" i="1" s="1"/>
  <c r="P967" i="1" s="1"/>
  <c r="E967" i="1"/>
  <c r="N966" i="1"/>
  <c r="M966" i="1"/>
  <c r="O966" i="1" s="1"/>
  <c r="P966" i="1" s="1"/>
  <c r="E966" i="1"/>
  <c r="N965" i="1"/>
  <c r="M965" i="1"/>
  <c r="O965" i="1" s="1"/>
  <c r="P965" i="1" s="1"/>
  <c r="E965" i="1"/>
  <c r="N964" i="1"/>
  <c r="M964" i="1"/>
  <c r="O964" i="1" s="1"/>
  <c r="P964" i="1" s="1"/>
  <c r="E964" i="1"/>
  <c r="N963" i="1"/>
  <c r="M963" i="1"/>
  <c r="E963" i="1"/>
  <c r="N962" i="1"/>
  <c r="M962" i="1"/>
  <c r="O962" i="1" s="1"/>
  <c r="P962" i="1" s="1"/>
  <c r="E962" i="1"/>
  <c r="N961" i="1"/>
  <c r="M961" i="1"/>
  <c r="O961" i="1" s="1"/>
  <c r="P961" i="1" s="1"/>
  <c r="E961" i="1"/>
  <c r="N960" i="1"/>
  <c r="M960" i="1"/>
  <c r="O960" i="1" s="1"/>
  <c r="P960" i="1" s="1"/>
  <c r="E960" i="1"/>
  <c r="N959" i="1"/>
  <c r="M959" i="1"/>
  <c r="O959" i="1" s="1"/>
  <c r="P959" i="1" s="1"/>
  <c r="E959" i="1"/>
  <c r="N958" i="1"/>
  <c r="M958" i="1"/>
  <c r="O958" i="1" s="1"/>
  <c r="P958" i="1" s="1"/>
  <c r="E958" i="1"/>
  <c r="N957" i="1"/>
  <c r="M957" i="1"/>
  <c r="O957" i="1" s="1"/>
  <c r="P957" i="1" s="1"/>
  <c r="E957" i="1"/>
  <c r="N956" i="1"/>
  <c r="M956" i="1"/>
  <c r="O956" i="1" s="1"/>
  <c r="P956" i="1" s="1"/>
  <c r="E956" i="1"/>
  <c r="N955" i="1"/>
  <c r="M955" i="1"/>
  <c r="E955" i="1"/>
  <c r="N954" i="1"/>
  <c r="M954" i="1"/>
  <c r="O954" i="1" s="1"/>
  <c r="P954" i="1" s="1"/>
  <c r="E954" i="1"/>
  <c r="N953" i="1"/>
  <c r="M953" i="1"/>
  <c r="O953" i="1" s="1"/>
  <c r="P953" i="1" s="1"/>
  <c r="E953" i="1"/>
  <c r="N952" i="1"/>
  <c r="M952" i="1"/>
  <c r="O952" i="1" s="1"/>
  <c r="P952" i="1" s="1"/>
  <c r="E952" i="1"/>
  <c r="N951" i="1"/>
  <c r="M951" i="1"/>
  <c r="O951" i="1" s="1"/>
  <c r="P951" i="1" s="1"/>
  <c r="E951" i="1"/>
  <c r="N950" i="1"/>
  <c r="M950" i="1"/>
  <c r="O950" i="1" s="1"/>
  <c r="P950" i="1" s="1"/>
  <c r="E950" i="1"/>
  <c r="N949" i="1"/>
  <c r="M949" i="1"/>
  <c r="O949" i="1" s="1"/>
  <c r="P949" i="1" s="1"/>
  <c r="E949" i="1"/>
  <c r="N948" i="1"/>
  <c r="M948" i="1"/>
  <c r="O948" i="1" s="1"/>
  <c r="P948" i="1" s="1"/>
  <c r="E948" i="1"/>
  <c r="N947" i="1"/>
  <c r="M947" i="1"/>
  <c r="E947" i="1"/>
  <c r="N946" i="1"/>
  <c r="M946" i="1"/>
  <c r="O946" i="1" s="1"/>
  <c r="P946" i="1" s="1"/>
  <c r="E946" i="1"/>
  <c r="N945" i="1"/>
  <c r="M945" i="1"/>
  <c r="O945" i="1" s="1"/>
  <c r="P945" i="1" s="1"/>
  <c r="E945" i="1"/>
  <c r="N944" i="1"/>
  <c r="M944" i="1"/>
  <c r="O944" i="1" s="1"/>
  <c r="P944" i="1" s="1"/>
  <c r="E944" i="1"/>
  <c r="N943" i="1"/>
  <c r="M943" i="1"/>
  <c r="O943" i="1" s="1"/>
  <c r="P943" i="1" s="1"/>
  <c r="E943" i="1"/>
  <c r="N942" i="1"/>
  <c r="M942" i="1"/>
  <c r="O942" i="1" s="1"/>
  <c r="P942" i="1" s="1"/>
  <c r="E942" i="1"/>
  <c r="N941" i="1"/>
  <c r="M941" i="1"/>
  <c r="O941" i="1" s="1"/>
  <c r="P941" i="1" s="1"/>
  <c r="E941" i="1"/>
  <c r="N940" i="1"/>
  <c r="M940" i="1"/>
  <c r="O940" i="1" s="1"/>
  <c r="P940" i="1" s="1"/>
  <c r="E940" i="1"/>
  <c r="N939" i="1"/>
  <c r="M939" i="1"/>
  <c r="E939" i="1"/>
  <c r="N938" i="1"/>
  <c r="M938" i="1"/>
  <c r="O938" i="1" s="1"/>
  <c r="P938" i="1" s="1"/>
  <c r="E938" i="1"/>
  <c r="N937" i="1"/>
  <c r="M937" i="1"/>
  <c r="O937" i="1" s="1"/>
  <c r="P937" i="1" s="1"/>
  <c r="E937" i="1"/>
  <c r="N936" i="1"/>
  <c r="M936" i="1"/>
  <c r="O936" i="1" s="1"/>
  <c r="P936" i="1" s="1"/>
  <c r="E936" i="1"/>
  <c r="N935" i="1"/>
  <c r="M935" i="1"/>
  <c r="O935" i="1" s="1"/>
  <c r="P935" i="1" s="1"/>
  <c r="E935" i="1"/>
  <c r="N934" i="1"/>
  <c r="M934" i="1"/>
  <c r="O934" i="1" s="1"/>
  <c r="P934" i="1" s="1"/>
  <c r="E934" i="1"/>
  <c r="N933" i="1"/>
  <c r="M933" i="1"/>
  <c r="O933" i="1" s="1"/>
  <c r="P933" i="1" s="1"/>
  <c r="E933" i="1"/>
  <c r="N932" i="1"/>
  <c r="M932" i="1"/>
  <c r="O932" i="1" s="1"/>
  <c r="P932" i="1" s="1"/>
  <c r="E932" i="1"/>
  <c r="N931" i="1"/>
  <c r="M931" i="1"/>
  <c r="E931" i="1"/>
  <c r="N930" i="1"/>
  <c r="M930" i="1"/>
  <c r="O930" i="1" s="1"/>
  <c r="P930" i="1" s="1"/>
  <c r="E930" i="1"/>
  <c r="N929" i="1"/>
  <c r="M929" i="1"/>
  <c r="O929" i="1" s="1"/>
  <c r="P929" i="1" s="1"/>
  <c r="E929" i="1"/>
  <c r="N928" i="1"/>
  <c r="M928" i="1"/>
  <c r="O928" i="1" s="1"/>
  <c r="P928" i="1" s="1"/>
  <c r="E928" i="1"/>
  <c r="N927" i="1"/>
  <c r="M927" i="1"/>
  <c r="O927" i="1" s="1"/>
  <c r="P927" i="1" s="1"/>
  <c r="E927" i="1"/>
  <c r="N926" i="1"/>
  <c r="M926" i="1"/>
  <c r="O926" i="1" s="1"/>
  <c r="P926" i="1" s="1"/>
  <c r="E926" i="1"/>
  <c r="N925" i="1"/>
  <c r="M925" i="1"/>
  <c r="O925" i="1" s="1"/>
  <c r="P925" i="1" s="1"/>
  <c r="E925" i="1"/>
  <c r="N924" i="1"/>
  <c r="M924" i="1"/>
  <c r="O924" i="1" s="1"/>
  <c r="P924" i="1" s="1"/>
  <c r="E924" i="1"/>
  <c r="N923" i="1"/>
  <c r="M923" i="1"/>
  <c r="E923" i="1"/>
  <c r="N922" i="1"/>
  <c r="M922" i="1"/>
  <c r="O922" i="1" s="1"/>
  <c r="P922" i="1" s="1"/>
  <c r="E922" i="1"/>
  <c r="N921" i="1"/>
  <c r="M921" i="1"/>
  <c r="O921" i="1" s="1"/>
  <c r="P921" i="1" s="1"/>
  <c r="E921" i="1"/>
  <c r="N920" i="1"/>
  <c r="M920" i="1"/>
  <c r="O920" i="1" s="1"/>
  <c r="P920" i="1" s="1"/>
  <c r="E920" i="1"/>
  <c r="N919" i="1"/>
  <c r="M919" i="1"/>
  <c r="O919" i="1" s="1"/>
  <c r="P919" i="1" s="1"/>
  <c r="E919" i="1"/>
  <c r="N918" i="1"/>
  <c r="M918" i="1"/>
  <c r="O918" i="1" s="1"/>
  <c r="P918" i="1" s="1"/>
  <c r="E918" i="1"/>
  <c r="N917" i="1"/>
  <c r="M917" i="1"/>
  <c r="O917" i="1" s="1"/>
  <c r="P917" i="1" s="1"/>
  <c r="E917" i="1"/>
  <c r="N916" i="1"/>
  <c r="M916" i="1"/>
  <c r="O916" i="1" s="1"/>
  <c r="P916" i="1" s="1"/>
  <c r="E916" i="1"/>
  <c r="N915" i="1"/>
  <c r="M915" i="1"/>
  <c r="E915" i="1"/>
  <c r="N914" i="1"/>
  <c r="M914" i="1"/>
  <c r="O914" i="1" s="1"/>
  <c r="P914" i="1" s="1"/>
  <c r="E914" i="1"/>
  <c r="N913" i="1"/>
  <c r="M913" i="1"/>
  <c r="O913" i="1" s="1"/>
  <c r="P913" i="1" s="1"/>
  <c r="E913" i="1"/>
  <c r="N912" i="1"/>
  <c r="M912" i="1"/>
  <c r="O912" i="1" s="1"/>
  <c r="P912" i="1" s="1"/>
  <c r="E912" i="1"/>
  <c r="N911" i="1"/>
  <c r="M911" i="1"/>
  <c r="O911" i="1" s="1"/>
  <c r="P911" i="1" s="1"/>
  <c r="E911" i="1"/>
  <c r="N910" i="1"/>
  <c r="M910" i="1"/>
  <c r="O910" i="1" s="1"/>
  <c r="P910" i="1" s="1"/>
  <c r="E910" i="1"/>
  <c r="N909" i="1"/>
  <c r="M909" i="1"/>
  <c r="O909" i="1" s="1"/>
  <c r="P909" i="1" s="1"/>
  <c r="E909" i="1"/>
  <c r="N908" i="1"/>
  <c r="M908" i="1"/>
  <c r="O908" i="1" s="1"/>
  <c r="P908" i="1" s="1"/>
  <c r="E908" i="1"/>
  <c r="N907" i="1"/>
  <c r="M907" i="1"/>
  <c r="E907" i="1"/>
  <c r="N906" i="1"/>
  <c r="M906" i="1"/>
  <c r="O906" i="1" s="1"/>
  <c r="P906" i="1" s="1"/>
  <c r="E906" i="1"/>
  <c r="N905" i="1"/>
  <c r="M905" i="1"/>
  <c r="O905" i="1" s="1"/>
  <c r="P905" i="1" s="1"/>
  <c r="E905" i="1"/>
  <c r="N904" i="1"/>
  <c r="M904" i="1"/>
  <c r="O904" i="1" s="1"/>
  <c r="P904" i="1" s="1"/>
  <c r="E904" i="1"/>
  <c r="N903" i="1"/>
  <c r="M903" i="1"/>
  <c r="O903" i="1" s="1"/>
  <c r="P903" i="1" s="1"/>
  <c r="E903" i="1"/>
  <c r="N902" i="1"/>
  <c r="M902" i="1"/>
  <c r="O902" i="1" s="1"/>
  <c r="P902" i="1" s="1"/>
  <c r="E902" i="1"/>
  <c r="N901" i="1"/>
  <c r="M901" i="1"/>
  <c r="O901" i="1" s="1"/>
  <c r="P901" i="1" s="1"/>
  <c r="E901" i="1"/>
  <c r="N900" i="1"/>
  <c r="M900" i="1"/>
  <c r="O900" i="1" s="1"/>
  <c r="P900" i="1" s="1"/>
  <c r="E900" i="1"/>
  <c r="N899" i="1"/>
  <c r="M899" i="1"/>
  <c r="E899" i="1"/>
  <c r="N898" i="1"/>
  <c r="M898" i="1"/>
  <c r="O898" i="1" s="1"/>
  <c r="P898" i="1" s="1"/>
  <c r="E898" i="1"/>
  <c r="N897" i="1"/>
  <c r="M897" i="1"/>
  <c r="O897" i="1" s="1"/>
  <c r="P897" i="1" s="1"/>
  <c r="E897" i="1"/>
  <c r="N896" i="1"/>
  <c r="M896" i="1"/>
  <c r="O896" i="1" s="1"/>
  <c r="P896" i="1" s="1"/>
  <c r="E896" i="1"/>
  <c r="N895" i="1"/>
  <c r="M895" i="1"/>
  <c r="O895" i="1" s="1"/>
  <c r="P895" i="1" s="1"/>
  <c r="E895" i="1"/>
  <c r="N894" i="1"/>
  <c r="M894" i="1"/>
  <c r="O894" i="1" s="1"/>
  <c r="P894" i="1" s="1"/>
  <c r="E894" i="1"/>
  <c r="N893" i="1"/>
  <c r="M893" i="1"/>
  <c r="O893" i="1" s="1"/>
  <c r="P893" i="1" s="1"/>
  <c r="E893" i="1"/>
  <c r="N892" i="1"/>
  <c r="M892" i="1"/>
  <c r="O892" i="1" s="1"/>
  <c r="P892" i="1" s="1"/>
  <c r="E892" i="1"/>
  <c r="N891" i="1"/>
  <c r="M891" i="1"/>
  <c r="E891" i="1"/>
  <c r="N890" i="1"/>
  <c r="M890" i="1"/>
  <c r="O890" i="1" s="1"/>
  <c r="P890" i="1" s="1"/>
  <c r="E890" i="1"/>
  <c r="N889" i="1"/>
  <c r="M889" i="1"/>
  <c r="O889" i="1" s="1"/>
  <c r="P889" i="1" s="1"/>
  <c r="E889" i="1"/>
  <c r="N888" i="1"/>
  <c r="M888" i="1"/>
  <c r="O888" i="1" s="1"/>
  <c r="P888" i="1" s="1"/>
  <c r="E888" i="1"/>
  <c r="N887" i="1"/>
  <c r="M887" i="1"/>
  <c r="O887" i="1" s="1"/>
  <c r="P887" i="1" s="1"/>
  <c r="E887" i="1"/>
  <c r="N886" i="1"/>
  <c r="M886" i="1"/>
  <c r="O886" i="1" s="1"/>
  <c r="P886" i="1" s="1"/>
  <c r="E886" i="1"/>
  <c r="N885" i="1"/>
  <c r="M885" i="1"/>
  <c r="O885" i="1" s="1"/>
  <c r="P885" i="1" s="1"/>
  <c r="E885" i="1"/>
  <c r="N884" i="1"/>
  <c r="M884" i="1"/>
  <c r="O884" i="1" s="1"/>
  <c r="P884" i="1" s="1"/>
  <c r="E884" i="1"/>
  <c r="N883" i="1"/>
  <c r="M883" i="1"/>
  <c r="E883" i="1"/>
  <c r="N882" i="1"/>
  <c r="M882" i="1"/>
  <c r="O882" i="1" s="1"/>
  <c r="P882" i="1" s="1"/>
  <c r="E882" i="1"/>
  <c r="N881" i="1"/>
  <c r="M881" i="1"/>
  <c r="O881" i="1" s="1"/>
  <c r="P881" i="1" s="1"/>
  <c r="E881" i="1"/>
  <c r="N880" i="1"/>
  <c r="M880" i="1"/>
  <c r="O880" i="1" s="1"/>
  <c r="P880" i="1" s="1"/>
  <c r="E880" i="1"/>
  <c r="N879" i="1"/>
  <c r="M879" i="1"/>
  <c r="O879" i="1" s="1"/>
  <c r="P879" i="1" s="1"/>
  <c r="E879" i="1"/>
  <c r="N878" i="1"/>
  <c r="M878" i="1"/>
  <c r="O878" i="1" s="1"/>
  <c r="P878" i="1" s="1"/>
  <c r="E878" i="1"/>
  <c r="N877" i="1"/>
  <c r="M877" i="1"/>
  <c r="O877" i="1" s="1"/>
  <c r="P877" i="1" s="1"/>
  <c r="E877" i="1"/>
  <c r="N876" i="1"/>
  <c r="M876" i="1"/>
  <c r="O876" i="1" s="1"/>
  <c r="P876" i="1" s="1"/>
  <c r="E876" i="1"/>
  <c r="N875" i="1"/>
  <c r="M875" i="1"/>
  <c r="E875" i="1"/>
  <c r="N874" i="1"/>
  <c r="M874" i="1"/>
  <c r="O874" i="1" s="1"/>
  <c r="P874" i="1" s="1"/>
  <c r="E874" i="1"/>
  <c r="N873" i="1"/>
  <c r="M873" i="1"/>
  <c r="O873" i="1" s="1"/>
  <c r="P873" i="1" s="1"/>
  <c r="E873" i="1"/>
  <c r="N872" i="1"/>
  <c r="M872" i="1"/>
  <c r="O872" i="1" s="1"/>
  <c r="P872" i="1" s="1"/>
  <c r="E872" i="1"/>
  <c r="N871" i="1"/>
  <c r="M871" i="1"/>
  <c r="O871" i="1" s="1"/>
  <c r="P871" i="1" s="1"/>
  <c r="E871" i="1"/>
  <c r="N870" i="1"/>
  <c r="M870" i="1"/>
  <c r="O870" i="1" s="1"/>
  <c r="P870" i="1" s="1"/>
  <c r="E870" i="1"/>
  <c r="N869" i="1"/>
  <c r="M869" i="1"/>
  <c r="O869" i="1" s="1"/>
  <c r="P869" i="1" s="1"/>
  <c r="E869" i="1"/>
  <c r="N868" i="1"/>
  <c r="M868" i="1"/>
  <c r="O868" i="1" s="1"/>
  <c r="P868" i="1" s="1"/>
  <c r="E868" i="1"/>
  <c r="N867" i="1"/>
  <c r="M867" i="1"/>
  <c r="E867" i="1"/>
  <c r="N866" i="1"/>
  <c r="M866" i="1"/>
  <c r="O866" i="1" s="1"/>
  <c r="P866" i="1" s="1"/>
  <c r="E866" i="1"/>
  <c r="N865" i="1"/>
  <c r="M865" i="1"/>
  <c r="O865" i="1" s="1"/>
  <c r="P865" i="1" s="1"/>
  <c r="E865" i="1"/>
  <c r="N864" i="1"/>
  <c r="M864" i="1"/>
  <c r="O864" i="1" s="1"/>
  <c r="P864" i="1" s="1"/>
  <c r="E864" i="1"/>
  <c r="N863" i="1"/>
  <c r="M863" i="1"/>
  <c r="O863" i="1" s="1"/>
  <c r="P863" i="1" s="1"/>
  <c r="E863" i="1"/>
  <c r="N862" i="1"/>
  <c r="M862" i="1"/>
  <c r="O862" i="1" s="1"/>
  <c r="P862" i="1" s="1"/>
  <c r="E862" i="1"/>
  <c r="N861" i="1"/>
  <c r="M861" i="1"/>
  <c r="O861" i="1" s="1"/>
  <c r="P861" i="1" s="1"/>
  <c r="E861" i="1"/>
  <c r="N860" i="1"/>
  <c r="M860" i="1"/>
  <c r="O860" i="1" s="1"/>
  <c r="P860" i="1" s="1"/>
  <c r="E860" i="1"/>
  <c r="N859" i="1"/>
  <c r="M859" i="1"/>
  <c r="E859" i="1"/>
  <c r="N858" i="1"/>
  <c r="M858" i="1"/>
  <c r="O858" i="1" s="1"/>
  <c r="P858" i="1" s="1"/>
  <c r="E858" i="1"/>
  <c r="N857" i="1"/>
  <c r="M857" i="1"/>
  <c r="O857" i="1" s="1"/>
  <c r="P857" i="1" s="1"/>
  <c r="E857" i="1"/>
  <c r="N856" i="1"/>
  <c r="M856" i="1"/>
  <c r="O856" i="1" s="1"/>
  <c r="P856" i="1" s="1"/>
  <c r="E856" i="1"/>
  <c r="N855" i="1"/>
  <c r="M855" i="1"/>
  <c r="O855" i="1" s="1"/>
  <c r="P855" i="1" s="1"/>
  <c r="E855" i="1"/>
  <c r="N854" i="1"/>
  <c r="M854" i="1"/>
  <c r="O854" i="1" s="1"/>
  <c r="P854" i="1" s="1"/>
  <c r="E854" i="1"/>
  <c r="N853" i="1"/>
  <c r="M853" i="1"/>
  <c r="O853" i="1" s="1"/>
  <c r="P853" i="1" s="1"/>
  <c r="E853" i="1"/>
  <c r="N852" i="1"/>
  <c r="M852" i="1"/>
  <c r="O852" i="1" s="1"/>
  <c r="P852" i="1" s="1"/>
  <c r="E852" i="1"/>
  <c r="N851" i="1"/>
  <c r="M851" i="1"/>
  <c r="E851" i="1"/>
  <c r="N850" i="1"/>
  <c r="M850" i="1"/>
  <c r="O850" i="1" s="1"/>
  <c r="P850" i="1" s="1"/>
  <c r="E850" i="1"/>
  <c r="N849" i="1"/>
  <c r="M849" i="1"/>
  <c r="O849" i="1" s="1"/>
  <c r="P849" i="1" s="1"/>
  <c r="E849" i="1"/>
  <c r="N848" i="1"/>
  <c r="M848" i="1"/>
  <c r="O848" i="1" s="1"/>
  <c r="P848" i="1" s="1"/>
  <c r="E848" i="1"/>
  <c r="N847" i="1"/>
  <c r="M847" i="1"/>
  <c r="O847" i="1" s="1"/>
  <c r="P847" i="1" s="1"/>
  <c r="E847" i="1"/>
  <c r="N846" i="1"/>
  <c r="M846" i="1"/>
  <c r="O846" i="1" s="1"/>
  <c r="P846" i="1" s="1"/>
  <c r="E846" i="1"/>
  <c r="N845" i="1"/>
  <c r="M845" i="1"/>
  <c r="O845" i="1" s="1"/>
  <c r="P845" i="1" s="1"/>
  <c r="E845" i="1"/>
  <c r="N844" i="1"/>
  <c r="M844" i="1"/>
  <c r="O844" i="1" s="1"/>
  <c r="P844" i="1" s="1"/>
  <c r="E844" i="1"/>
  <c r="N843" i="1"/>
  <c r="M843" i="1"/>
  <c r="E843" i="1"/>
  <c r="N842" i="1"/>
  <c r="M842" i="1"/>
  <c r="O842" i="1" s="1"/>
  <c r="P842" i="1" s="1"/>
  <c r="E842" i="1"/>
  <c r="N841" i="1"/>
  <c r="M841" i="1"/>
  <c r="O841" i="1" s="1"/>
  <c r="P841" i="1" s="1"/>
  <c r="E841" i="1"/>
  <c r="N840" i="1"/>
  <c r="M840" i="1"/>
  <c r="O840" i="1" s="1"/>
  <c r="P840" i="1" s="1"/>
  <c r="E840" i="1"/>
  <c r="N839" i="1"/>
  <c r="M839" i="1"/>
  <c r="O839" i="1" s="1"/>
  <c r="P839" i="1" s="1"/>
  <c r="E839" i="1"/>
  <c r="N838" i="1"/>
  <c r="M838" i="1"/>
  <c r="O838" i="1" s="1"/>
  <c r="P838" i="1" s="1"/>
  <c r="E838" i="1"/>
  <c r="N837" i="1"/>
  <c r="M837" i="1"/>
  <c r="O837" i="1" s="1"/>
  <c r="P837" i="1" s="1"/>
  <c r="E837" i="1"/>
  <c r="N836" i="1"/>
  <c r="M836" i="1"/>
  <c r="O836" i="1" s="1"/>
  <c r="P836" i="1" s="1"/>
  <c r="E836" i="1"/>
  <c r="N835" i="1"/>
  <c r="M835" i="1"/>
  <c r="E835" i="1"/>
  <c r="N834" i="1"/>
  <c r="M834" i="1"/>
  <c r="O834" i="1" s="1"/>
  <c r="P834" i="1" s="1"/>
  <c r="E834" i="1"/>
  <c r="N833" i="1"/>
  <c r="M833" i="1"/>
  <c r="O833" i="1" s="1"/>
  <c r="P833" i="1" s="1"/>
  <c r="E833" i="1"/>
  <c r="N832" i="1"/>
  <c r="M832" i="1"/>
  <c r="O832" i="1" s="1"/>
  <c r="P832" i="1" s="1"/>
  <c r="E832" i="1"/>
  <c r="N831" i="1"/>
  <c r="M831" i="1"/>
  <c r="O831" i="1" s="1"/>
  <c r="P831" i="1" s="1"/>
  <c r="E831" i="1"/>
  <c r="N830" i="1"/>
  <c r="M830" i="1"/>
  <c r="O830" i="1" s="1"/>
  <c r="P830" i="1" s="1"/>
  <c r="E830" i="1"/>
  <c r="N829" i="1"/>
  <c r="M829" i="1"/>
  <c r="O829" i="1" s="1"/>
  <c r="P829" i="1" s="1"/>
  <c r="E829" i="1"/>
  <c r="N828" i="1"/>
  <c r="M828" i="1"/>
  <c r="O828" i="1" s="1"/>
  <c r="P828" i="1" s="1"/>
  <c r="E828" i="1"/>
  <c r="N827" i="1"/>
  <c r="M827" i="1"/>
  <c r="E827" i="1"/>
  <c r="N826" i="1"/>
  <c r="M826" i="1"/>
  <c r="E826" i="1"/>
  <c r="N825" i="1"/>
  <c r="M825" i="1"/>
  <c r="O825" i="1" s="1"/>
  <c r="P825" i="1" s="1"/>
  <c r="E825" i="1"/>
  <c r="N824" i="1"/>
  <c r="M824" i="1"/>
  <c r="O824" i="1" s="1"/>
  <c r="P824" i="1" s="1"/>
  <c r="E824" i="1"/>
  <c r="N823" i="1"/>
  <c r="M823" i="1"/>
  <c r="E823" i="1"/>
  <c r="N822" i="1"/>
  <c r="M822" i="1"/>
  <c r="E822" i="1"/>
  <c r="N821" i="1"/>
  <c r="M821" i="1"/>
  <c r="O821" i="1" s="1"/>
  <c r="P821" i="1" s="1"/>
  <c r="E821" i="1"/>
  <c r="N820" i="1"/>
  <c r="M820" i="1"/>
  <c r="O820" i="1" s="1"/>
  <c r="P820" i="1" s="1"/>
  <c r="E820" i="1"/>
  <c r="N819" i="1"/>
  <c r="M819" i="1"/>
  <c r="E819" i="1"/>
  <c r="N818" i="1"/>
  <c r="M818" i="1"/>
  <c r="E818" i="1"/>
  <c r="N817" i="1"/>
  <c r="M817" i="1"/>
  <c r="O817" i="1" s="1"/>
  <c r="P817" i="1" s="1"/>
  <c r="E817" i="1"/>
  <c r="N816" i="1"/>
  <c r="M816" i="1"/>
  <c r="O816" i="1" s="1"/>
  <c r="P816" i="1" s="1"/>
  <c r="E816" i="1"/>
  <c r="N815" i="1"/>
  <c r="M815" i="1"/>
  <c r="E815" i="1"/>
  <c r="N814" i="1"/>
  <c r="M814" i="1"/>
  <c r="E814" i="1"/>
  <c r="N813" i="1"/>
  <c r="M813" i="1"/>
  <c r="O813" i="1" s="1"/>
  <c r="P813" i="1" s="1"/>
  <c r="E813" i="1"/>
  <c r="N812" i="1"/>
  <c r="M812" i="1"/>
  <c r="O812" i="1" s="1"/>
  <c r="P812" i="1" s="1"/>
  <c r="E812" i="1"/>
  <c r="N811" i="1"/>
  <c r="M811" i="1"/>
  <c r="E811" i="1"/>
  <c r="N810" i="1"/>
  <c r="M810" i="1"/>
  <c r="E810" i="1"/>
  <c r="N809" i="1"/>
  <c r="M809" i="1"/>
  <c r="O809" i="1" s="1"/>
  <c r="P809" i="1" s="1"/>
  <c r="E809" i="1"/>
  <c r="N808" i="1"/>
  <c r="M808" i="1"/>
  <c r="O808" i="1" s="1"/>
  <c r="P808" i="1" s="1"/>
  <c r="E808" i="1"/>
  <c r="N807" i="1"/>
  <c r="M807" i="1"/>
  <c r="E807" i="1"/>
  <c r="N806" i="1"/>
  <c r="M806" i="1"/>
  <c r="E806" i="1"/>
  <c r="N805" i="1"/>
  <c r="M805" i="1"/>
  <c r="O805" i="1" s="1"/>
  <c r="P805" i="1" s="1"/>
  <c r="E805" i="1"/>
  <c r="N804" i="1"/>
  <c r="M804" i="1"/>
  <c r="O804" i="1" s="1"/>
  <c r="P804" i="1" s="1"/>
  <c r="E804" i="1"/>
  <c r="N803" i="1"/>
  <c r="M803" i="1"/>
  <c r="E803" i="1"/>
  <c r="N802" i="1"/>
  <c r="M802" i="1"/>
  <c r="E802" i="1"/>
  <c r="N801" i="1"/>
  <c r="M801" i="1"/>
  <c r="O801" i="1" s="1"/>
  <c r="P801" i="1" s="1"/>
  <c r="E801" i="1"/>
  <c r="N800" i="1"/>
  <c r="M800" i="1"/>
  <c r="O800" i="1" s="1"/>
  <c r="P800" i="1" s="1"/>
  <c r="E800" i="1"/>
  <c r="N799" i="1"/>
  <c r="M799" i="1"/>
  <c r="E799" i="1"/>
  <c r="N798" i="1"/>
  <c r="M798" i="1"/>
  <c r="E798" i="1"/>
  <c r="N797" i="1"/>
  <c r="M797" i="1"/>
  <c r="O797" i="1" s="1"/>
  <c r="P797" i="1" s="1"/>
  <c r="E797" i="1"/>
  <c r="N796" i="1"/>
  <c r="M796" i="1"/>
  <c r="O796" i="1" s="1"/>
  <c r="P796" i="1" s="1"/>
  <c r="E796" i="1"/>
  <c r="N795" i="1"/>
  <c r="M795" i="1"/>
  <c r="E795" i="1"/>
  <c r="N794" i="1"/>
  <c r="M794" i="1"/>
  <c r="E794" i="1"/>
  <c r="N793" i="1"/>
  <c r="M793" i="1"/>
  <c r="O793" i="1" s="1"/>
  <c r="P793" i="1" s="1"/>
  <c r="E793" i="1"/>
  <c r="N792" i="1"/>
  <c r="M792" i="1"/>
  <c r="O792" i="1" s="1"/>
  <c r="P792" i="1" s="1"/>
  <c r="E792" i="1"/>
  <c r="N791" i="1"/>
  <c r="M791" i="1"/>
  <c r="E791" i="1"/>
  <c r="N790" i="1"/>
  <c r="M790" i="1"/>
  <c r="E790" i="1"/>
  <c r="N789" i="1"/>
  <c r="M789" i="1"/>
  <c r="O789" i="1" s="1"/>
  <c r="P789" i="1" s="1"/>
  <c r="E789" i="1"/>
  <c r="N788" i="1"/>
  <c r="M788" i="1"/>
  <c r="O788" i="1" s="1"/>
  <c r="P788" i="1" s="1"/>
  <c r="E788" i="1"/>
  <c r="N787" i="1"/>
  <c r="M787" i="1"/>
  <c r="E787" i="1"/>
  <c r="N786" i="1"/>
  <c r="M786" i="1"/>
  <c r="E786" i="1"/>
  <c r="N785" i="1"/>
  <c r="M785" i="1"/>
  <c r="O785" i="1" s="1"/>
  <c r="P785" i="1" s="1"/>
  <c r="E785" i="1"/>
  <c r="N784" i="1"/>
  <c r="M784" i="1"/>
  <c r="O784" i="1" s="1"/>
  <c r="P784" i="1" s="1"/>
  <c r="E784" i="1"/>
  <c r="N783" i="1"/>
  <c r="M783" i="1"/>
  <c r="E783" i="1"/>
  <c r="N782" i="1"/>
  <c r="M782" i="1"/>
  <c r="E782" i="1"/>
  <c r="N781" i="1"/>
  <c r="M781" i="1"/>
  <c r="O781" i="1" s="1"/>
  <c r="P781" i="1" s="1"/>
  <c r="E781" i="1"/>
  <c r="N780" i="1"/>
  <c r="M780" i="1"/>
  <c r="O780" i="1" s="1"/>
  <c r="P780" i="1" s="1"/>
  <c r="E780" i="1"/>
  <c r="N779" i="1"/>
  <c r="M779" i="1"/>
  <c r="E779" i="1"/>
  <c r="N778" i="1"/>
  <c r="M778" i="1"/>
  <c r="E778" i="1"/>
  <c r="N777" i="1"/>
  <c r="M777" i="1"/>
  <c r="O777" i="1" s="1"/>
  <c r="P777" i="1" s="1"/>
  <c r="E777" i="1"/>
  <c r="N776" i="1"/>
  <c r="M776" i="1"/>
  <c r="O776" i="1" s="1"/>
  <c r="P776" i="1" s="1"/>
  <c r="E776" i="1"/>
  <c r="N775" i="1"/>
  <c r="M775" i="1"/>
  <c r="E775" i="1"/>
  <c r="N774" i="1"/>
  <c r="M774" i="1"/>
  <c r="E774" i="1"/>
  <c r="N773" i="1"/>
  <c r="M773" i="1"/>
  <c r="O773" i="1" s="1"/>
  <c r="P773" i="1" s="1"/>
  <c r="E773" i="1"/>
  <c r="N772" i="1"/>
  <c r="M772" i="1"/>
  <c r="O772" i="1" s="1"/>
  <c r="P772" i="1" s="1"/>
  <c r="E772" i="1"/>
  <c r="N771" i="1"/>
  <c r="M771" i="1"/>
  <c r="E771" i="1"/>
  <c r="N770" i="1"/>
  <c r="M770" i="1"/>
  <c r="O770" i="1" s="1"/>
  <c r="P770" i="1" s="1"/>
  <c r="E770" i="1"/>
  <c r="N769" i="1"/>
  <c r="M769" i="1"/>
  <c r="E769" i="1"/>
  <c r="N768" i="1"/>
  <c r="M768" i="1"/>
  <c r="O768" i="1" s="1"/>
  <c r="P768" i="1" s="1"/>
  <c r="E768" i="1"/>
  <c r="N767" i="1"/>
  <c r="M767" i="1"/>
  <c r="E767" i="1"/>
  <c r="N766" i="1"/>
  <c r="M766" i="1"/>
  <c r="O766" i="1" s="1"/>
  <c r="P766" i="1" s="1"/>
  <c r="E766" i="1"/>
  <c r="N765" i="1"/>
  <c r="M765" i="1"/>
  <c r="E765" i="1"/>
  <c r="N764" i="1"/>
  <c r="M764" i="1"/>
  <c r="O764" i="1" s="1"/>
  <c r="P764" i="1" s="1"/>
  <c r="E764" i="1"/>
  <c r="N763" i="1"/>
  <c r="M763" i="1"/>
  <c r="E763" i="1"/>
  <c r="N762" i="1"/>
  <c r="M762" i="1"/>
  <c r="O762" i="1" s="1"/>
  <c r="P762" i="1" s="1"/>
  <c r="E762" i="1"/>
  <c r="N761" i="1"/>
  <c r="M761" i="1"/>
  <c r="E761" i="1"/>
  <c r="N760" i="1"/>
  <c r="M760" i="1"/>
  <c r="O760" i="1" s="1"/>
  <c r="P760" i="1" s="1"/>
  <c r="E760" i="1"/>
  <c r="N759" i="1"/>
  <c r="M759" i="1"/>
  <c r="E759" i="1"/>
  <c r="N758" i="1"/>
  <c r="M758" i="1"/>
  <c r="O758" i="1" s="1"/>
  <c r="P758" i="1" s="1"/>
  <c r="E758" i="1"/>
  <c r="N757" i="1"/>
  <c r="M757" i="1"/>
  <c r="E757" i="1"/>
  <c r="N756" i="1"/>
  <c r="M756" i="1"/>
  <c r="O756" i="1" s="1"/>
  <c r="P756" i="1" s="1"/>
  <c r="E756" i="1"/>
  <c r="N755" i="1"/>
  <c r="M755" i="1"/>
  <c r="E755" i="1"/>
  <c r="N754" i="1"/>
  <c r="M754" i="1"/>
  <c r="O754" i="1" s="1"/>
  <c r="P754" i="1" s="1"/>
  <c r="E754" i="1"/>
  <c r="N753" i="1"/>
  <c r="M753" i="1"/>
  <c r="E753" i="1"/>
  <c r="N752" i="1"/>
  <c r="M752" i="1"/>
  <c r="O752" i="1" s="1"/>
  <c r="P752" i="1" s="1"/>
  <c r="E752" i="1"/>
  <c r="N751" i="1"/>
  <c r="M751" i="1"/>
  <c r="E751" i="1"/>
  <c r="N750" i="1"/>
  <c r="M750" i="1"/>
  <c r="O750" i="1" s="1"/>
  <c r="P750" i="1" s="1"/>
  <c r="E750" i="1"/>
  <c r="N749" i="1"/>
  <c r="M749" i="1"/>
  <c r="E749" i="1"/>
  <c r="N748" i="1"/>
  <c r="M748" i="1"/>
  <c r="O748" i="1" s="1"/>
  <c r="P748" i="1" s="1"/>
  <c r="E748" i="1"/>
  <c r="N747" i="1"/>
  <c r="M747" i="1"/>
  <c r="E747" i="1"/>
  <c r="N746" i="1"/>
  <c r="M746" i="1"/>
  <c r="O746" i="1" s="1"/>
  <c r="P746" i="1" s="1"/>
  <c r="E746" i="1"/>
  <c r="N745" i="1"/>
  <c r="M745" i="1"/>
  <c r="E745" i="1"/>
  <c r="N744" i="1"/>
  <c r="M744" i="1"/>
  <c r="O744" i="1" s="1"/>
  <c r="P744" i="1" s="1"/>
  <c r="E744" i="1"/>
  <c r="N743" i="1"/>
  <c r="M743" i="1"/>
  <c r="E743" i="1"/>
  <c r="N742" i="1"/>
  <c r="M742" i="1"/>
  <c r="O742" i="1" s="1"/>
  <c r="P742" i="1" s="1"/>
  <c r="E742" i="1"/>
  <c r="N741" i="1"/>
  <c r="M741" i="1"/>
  <c r="E741" i="1"/>
  <c r="N740" i="1"/>
  <c r="M740" i="1"/>
  <c r="O740" i="1" s="1"/>
  <c r="P740" i="1" s="1"/>
  <c r="E740" i="1"/>
  <c r="N739" i="1"/>
  <c r="M739" i="1"/>
  <c r="E739" i="1"/>
  <c r="N738" i="1"/>
  <c r="M738" i="1"/>
  <c r="O738" i="1" s="1"/>
  <c r="P738" i="1" s="1"/>
  <c r="E738" i="1"/>
  <c r="N737" i="1"/>
  <c r="M737" i="1"/>
  <c r="E737" i="1"/>
  <c r="N736" i="1"/>
  <c r="M736" i="1"/>
  <c r="O736" i="1" s="1"/>
  <c r="P736" i="1" s="1"/>
  <c r="E736" i="1"/>
  <c r="N735" i="1"/>
  <c r="M735" i="1"/>
  <c r="E735" i="1"/>
  <c r="N734" i="1"/>
  <c r="M734" i="1"/>
  <c r="O734" i="1" s="1"/>
  <c r="P734" i="1" s="1"/>
  <c r="E734" i="1"/>
  <c r="N733" i="1"/>
  <c r="M733" i="1"/>
  <c r="E733" i="1"/>
  <c r="N732" i="1"/>
  <c r="M732" i="1"/>
  <c r="O732" i="1" s="1"/>
  <c r="P732" i="1" s="1"/>
  <c r="E732" i="1"/>
  <c r="N731" i="1"/>
  <c r="M731" i="1"/>
  <c r="E731" i="1"/>
  <c r="N730" i="1"/>
  <c r="M730" i="1"/>
  <c r="O730" i="1" s="1"/>
  <c r="P730" i="1" s="1"/>
  <c r="E730" i="1"/>
  <c r="N729" i="1"/>
  <c r="M729" i="1"/>
  <c r="E729" i="1"/>
  <c r="N728" i="1"/>
  <c r="M728" i="1"/>
  <c r="O728" i="1" s="1"/>
  <c r="P728" i="1" s="1"/>
  <c r="E728" i="1"/>
  <c r="N727" i="1"/>
  <c r="M727" i="1"/>
  <c r="E727" i="1"/>
  <c r="N726" i="1"/>
  <c r="M726" i="1"/>
  <c r="O726" i="1" s="1"/>
  <c r="P726" i="1" s="1"/>
  <c r="E726" i="1"/>
  <c r="N725" i="1"/>
  <c r="M725" i="1"/>
  <c r="E725" i="1"/>
  <c r="N724" i="1"/>
  <c r="M724" i="1"/>
  <c r="O724" i="1" s="1"/>
  <c r="P724" i="1" s="1"/>
  <c r="E724" i="1"/>
  <c r="N723" i="1"/>
  <c r="M723" i="1"/>
  <c r="E723" i="1"/>
  <c r="N722" i="1"/>
  <c r="M722" i="1"/>
  <c r="O722" i="1" s="1"/>
  <c r="P722" i="1" s="1"/>
  <c r="E722" i="1"/>
  <c r="N721" i="1"/>
  <c r="M721" i="1"/>
  <c r="E721" i="1"/>
  <c r="N720" i="1"/>
  <c r="M720" i="1"/>
  <c r="O720" i="1" s="1"/>
  <c r="P720" i="1" s="1"/>
  <c r="E720" i="1"/>
  <c r="N719" i="1"/>
  <c r="M719" i="1"/>
  <c r="E719" i="1"/>
  <c r="N718" i="1"/>
  <c r="M718" i="1"/>
  <c r="O718" i="1" s="1"/>
  <c r="P718" i="1" s="1"/>
  <c r="E718" i="1"/>
  <c r="N717" i="1"/>
  <c r="M717" i="1"/>
  <c r="E717" i="1"/>
  <c r="N716" i="1"/>
  <c r="M716" i="1"/>
  <c r="O716" i="1" s="1"/>
  <c r="P716" i="1" s="1"/>
  <c r="E716" i="1"/>
  <c r="N715" i="1"/>
  <c r="M715" i="1"/>
  <c r="E715" i="1"/>
  <c r="N714" i="1"/>
  <c r="M714" i="1"/>
  <c r="O714" i="1" s="1"/>
  <c r="P714" i="1" s="1"/>
  <c r="E714" i="1"/>
  <c r="N713" i="1"/>
  <c r="M713" i="1"/>
  <c r="E713" i="1"/>
  <c r="N712" i="1"/>
  <c r="M712" i="1"/>
  <c r="O712" i="1" s="1"/>
  <c r="P712" i="1" s="1"/>
  <c r="E712" i="1"/>
  <c r="N711" i="1"/>
  <c r="M711" i="1"/>
  <c r="E711" i="1"/>
  <c r="N710" i="1"/>
  <c r="M710" i="1"/>
  <c r="O710" i="1" s="1"/>
  <c r="P710" i="1" s="1"/>
  <c r="E710" i="1"/>
  <c r="N709" i="1"/>
  <c r="M709" i="1"/>
  <c r="E709" i="1"/>
  <c r="N708" i="1"/>
  <c r="M708" i="1"/>
  <c r="O708" i="1" s="1"/>
  <c r="P708" i="1" s="1"/>
  <c r="E708" i="1"/>
  <c r="N707" i="1"/>
  <c r="M707" i="1"/>
  <c r="E707" i="1"/>
  <c r="N706" i="1"/>
  <c r="M706" i="1"/>
  <c r="O706" i="1" s="1"/>
  <c r="P706" i="1" s="1"/>
  <c r="E706" i="1"/>
  <c r="N705" i="1"/>
  <c r="M705" i="1"/>
  <c r="E705" i="1"/>
  <c r="N704" i="1"/>
  <c r="M704" i="1"/>
  <c r="O704" i="1" s="1"/>
  <c r="P704" i="1" s="1"/>
  <c r="E704" i="1"/>
  <c r="N703" i="1"/>
  <c r="M703" i="1"/>
  <c r="E703" i="1"/>
  <c r="N702" i="1"/>
  <c r="M702" i="1"/>
  <c r="O702" i="1" s="1"/>
  <c r="P702" i="1" s="1"/>
  <c r="E702" i="1"/>
  <c r="N701" i="1"/>
  <c r="M701" i="1"/>
  <c r="E701" i="1"/>
  <c r="N700" i="1"/>
  <c r="M700" i="1"/>
  <c r="O700" i="1" s="1"/>
  <c r="P700" i="1" s="1"/>
  <c r="E700" i="1"/>
  <c r="N699" i="1"/>
  <c r="M699" i="1"/>
  <c r="E699" i="1"/>
  <c r="N698" i="1"/>
  <c r="M698" i="1"/>
  <c r="O698" i="1" s="1"/>
  <c r="P698" i="1" s="1"/>
  <c r="E698" i="1"/>
  <c r="N697" i="1"/>
  <c r="M697" i="1"/>
  <c r="E697" i="1"/>
  <c r="N696" i="1"/>
  <c r="M696" i="1"/>
  <c r="O696" i="1" s="1"/>
  <c r="P696" i="1" s="1"/>
  <c r="E696" i="1"/>
  <c r="N695" i="1"/>
  <c r="M695" i="1"/>
  <c r="E695" i="1"/>
  <c r="N694" i="1"/>
  <c r="M694" i="1"/>
  <c r="O694" i="1" s="1"/>
  <c r="P694" i="1" s="1"/>
  <c r="E694" i="1"/>
  <c r="N693" i="1"/>
  <c r="M693" i="1"/>
  <c r="E693" i="1"/>
  <c r="N692" i="1"/>
  <c r="M692" i="1"/>
  <c r="O692" i="1" s="1"/>
  <c r="P692" i="1" s="1"/>
  <c r="E692" i="1"/>
  <c r="N691" i="1"/>
  <c r="M691" i="1"/>
  <c r="E691" i="1"/>
  <c r="N690" i="1"/>
  <c r="M690" i="1"/>
  <c r="O690" i="1" s="1"/>
  <c r="P690" i="1" s="1"/>
  <c r="E690" i="1"/>
  <c r="N689" i="1"/>
  <c r="M689" i="1"/>
  <c r="E689" i="1"/>
  <c r="N688" i="1"/>
  <c r="M688" i="1"/>
  <c r="O688" i="1" s="1"/>
  <c r="P688" i="1" s="1"/>
  <c r="E688" i="1"/>
  <c r="N687" i="1"/>
  <c r="M687" i="1"/>
  <c r="E687" i="1"/>
  <c r="N686" i="1"/>
  <c r="M686" i="1"/>
  <c r="O686" i="1" s="1"/>
  <c r="P686" i="1" s="1"/>
  <c r="E686" i="1"/>
  <c r="N685" i="1"/>
  <c r="M685" i="1"/>
  <c r="E685" i="1"/>
  <c r="N684" i="1"/>
  <c r="M684" i="1"/>
  <c r="O684" i="1" s="1"/>
  <c r="P684" i="1" s="1"/>
  <c r="E684" i="1"/>
  <c r="N683" i="1"/>
  <c r="M683" i="1"/>
  <c r="E683" i="1"/>
  <c r="N682" i="1"/>
  <c r="M682" i="1"/>
  <c r="O682" i="1" s="1"/>
  <c r="P682" i="1" s="1"/>
  <c r="E682" i="1"/>
  <c r="N681" i="1"/>
  <c r="M681" i="1"/>
  <c r="E681" i="1"/>
  <c r="N680" i="1"/>
  <c r="M680" i="1"/>
  <c r="O680" i="1" s="1"/>
  <c r="P680" i="1" s="1"/>
  <c r="E680" i="1"/>
  <c r="N679" i="1"/>
  <c r="M679" i="1"/>
  <c r="E679" i="1"/>
  <c r="N678" i="1"/>
  <c r="M678" i="1"/>
  <c r="O678" i="1" s="1"/>
  <c r="P678" i="1" s="1"/>
  <c r="E678" i="1"/>
  <c r="N677" i="1"/>
  <c r="M677" i="1"/>
  <c r="E677" i="1"/>
  <c r="N676" i="1"/>
  <c r="M676" i="1"/>
  <c r="O676" i="1" s="1"/>
  <c r="P676" i="1" s="1"/>
  <c r="E676" i="1"/>
  <c r="N675" i="1"/>
  <c r="M675" i="1"/>
  <c r="E675" i="1"/>
  <c r="N674" i="1"/>
  <c r="M674" i="1"/>
  <c r="E674" i="1"/>
  <c r="N673" i="1"/>
  <c r="M673" i="1"/>
  <c r="O673" i="1" s="1"/>
  <c r="P673" i="1" s="1"/>
  <c r="E673" i="1"/>
  <c r="N672" i="1"/>
  <c r="M672" i="1"/>
  <c r="O672" i="1" s="1"/>
  <c r="P672" i="1" s="1"/>
  <c r="E672" i="1"/>
  <c r="N671" i="1"/>
  <c r="M671" i="1"/>
  <c r="E671" i="1"/>
  <c r="N670" i="1"/>
  <c r="M670" i="1"/>
  <c r="O670" i="1" s="1"/>
  <c r="P670" i="1" s="1"/>
  <c r="E670" i="1"/>
  <c r="N669" i="1"/>
  <c r="M669" i="1"/>
  <c r="O669" i="1" s="1"/>
  <c r="P669" i="1" s="1"/>
  <c r="E669" i="1"/>
  <c r="N668" i="1"/>
  <c r="M668" i="1"/>
  <c r="O668" i="1" s="1"/>
  <c r="P668" i="1" s="1"/>
  <c r="E668" i="1"/>
  <c r="N667" i="1"/>
  <c r="M667" i="1"/>
  <c r="E667" i="1"/>
  <c r="N666" i="1"/>
  <c r="M666" i="1"/>
  <c r="E666" i="1"/>
  <c r="N665" i="1"/>
  <c r="M665" i="1"/>
  <c r="O665" i="1" s="1"/>
  <c r="P665" i="1" s="1"/>
  <c r="E665" i="1"/>
  <c r="N664" i="1"/>
  <c r="M664" i="1"/>
  <c r="O664" i="1" s="1"/>
  <c r="P664" i="1" s="1"/>
  <c r="E664" i="1"/>
  <c r="N663" i="1"/>
  <c r="M663" i="1"/>
  <c r="E663" i="1"/>
  <c r="N662" i="1"/>
  <c r="M662" i="1"/>
  <c r="O662" i="1" s="1"/>
  <c r="P662" i="1" s="1"/>
  <c r="E662" i="1"/>
  <c r="N661" i="1"/>
  <c r="M661" i="1"/>
  <c r="O661" i="1" s="1"/>
  <c r="P661" i="1" s="1"/>
  <c r="E661" i="1"/>
  <c r="N660" i="1"/>
  <c r="M660" i="1"/>
  <c r="O660" i="1" s="1"/>
  <c r="P660" i="1" s="1"/>
  <c r="E660" i="1"/>
  <c r="N659" i="1"/>
  <c r="M659" i="1"/>
  <c r="E659" i="1"/>
  <c r="N658" i="1"/>
  <c r="M658" i="1"/>
  <c r="E658" i="1"/>
  <c r="N657" i="1"/>
  <c r="M657" i="1"/>
  <c r="O657" i="1" s="1"/>
  <c r="P657" i="1" s="1"/>
  <c r="E657" i="1"/>
  <c r="N656" i="1"/>
  <c r="M656" i="1"/>
  <c r="O656" i="1" s="1"/>
  <c r="P656" i="1" s="1"/>
  <c r="E656" i="1"/>
  <c r="N655" i="1"/>
  <c r="M655" i="1"/>
  <c r="O655" i="1" s="1"/>
  <c r="P655" i="1" s="1"/>
  <c r="E655" i="1"/>
  <c r="N654" i="1"/>
  <c r="M654" i="1"/>
  <c r="E654" i="1"/>
  <c r="N653" i="1"/>
  <c r="M653" i="1"/>
  <c r="O653" i="1" s="1"/>
  <c r="P653" i="1" s="1"/>
  <c r="E653" i="1"/>
  <c r="N652" i="1"/>
  <c r="M652" i="1"/>
  <c r="O652" i="1" s="1"/>
  <c r="P652" i="1" s="1"/>
  <c r="E652" i="1"/>
  <c r="N651" i="1"/>
  <c r="M651" i="1"/>
  <c r="O651" i="1" s="1"/>
  <c r="P651" i="1" s="1"/>
  <c r="E651" i="1"/>
  <c r="N650" i="1"/>
  <c r="M650" i="1"/>
  <c r="E650" i="1"/>
  <c r="N649" i="1"/>
  <c r="M649" i="1"/>
  <c r="O649" i="1" s="1"/>
  <c r="P649" i="1" s="1"/>
  <c r="E649" i="1"/>
  <c r="N648" i="1"/>
  <c r="M648" i="1"/>
  <c r="O648" i="1" s="1"/>
  <c r="P648" i="1" s="1"/>
  <c r="E648" i="1"/>
  <c r="N647" i="1"/>
  <c r="M647" i="1"/>
  <c r="O647" i="1" s="1"/>
  <c r="P647" i="1" s="1"/>
  <c r="E647" i="1"/>
  <c r="N646" i="1"/>
  <c r="M646" i="1"/>
  <c r="E646" i="1"/>
  <c r="N645" i="1"/>
  <c r="M645" i="1"/>
  <c r="O645" i="1" s="1"/>
  <c r="P645" i="1" s="1"/>
  <c r="E645" i="1"/>
  <c r="N644" i="1"/>
  <c r="M644" i="1"/>
  <c r="O644" i="1" s="1"/>
  <c r="P644" i="1" s="1"/>
  <c r="E644" i="1"/>
  <c r="N643" i="1"/>
  <c r="M643" i="1"/>
  <c r="O643" i="1" s="1"/>
  <c r="P643" i="1" s="1"/>
  <c r="E643" i="1"/>
  <c r="N642" i="1"/>
  <c r="M642" i="1"/>
  <c r="E642" i="1"/>
  <c r="N641" i="1"/>
  <c r="M641" i="1"/>
  <c r="O641" i="1" s="1"/>
  <c r="P641" i="1" s="1"/>
  <c r="E641" i="1"/>
  <c r="N640" i="1"/>
  <c r="M640" i="1"/>
  <c r="O640" i="1" s="1"/>
  <c r="P640" i="1" s="1"/>
  <c r="E640" i="1"/>
  <c r="N639" i="1"/>
  <c r="M639" i="1"/>
  <c r="O639" i="1" s="1"/>
  <c r="P639" i="1" s="1"/>
  <c r="E639" i="1"/>
  <c r="N638" i="1"/>
  <c r="M638" i="1"/>
  <c r="E638" i="1"/>
  <c r="N637" i="1"/>
  <c r="M637" i="1"/>
  <c r="O637" i="1" s="1"/>
  <c r="P637" i="1" s="1"/>
  <c r="E637" i="1"/>
  <c r="N636" i="1"/>
  <c r="M636" i="1"/>
  <c r="O636" i="1" s="1"/>
  <c r="P636" i="1" s="1"/>
  <c r="E636" i="1"/>
  <c r="N635" i="1"/>
  <c r="M635" i="1"/>
  <c r="O635" i="1" s="1"/>
  <c r="P635" i="1" s="1"/>
  <c r="E635" i="1"/>
  <c r="N634" i="1"/>
  <c r="M634" i="1"/>
  <c r="E634" i="1"/>
  <c r="N633" i="1"/>
  <c r="M633" i="1"/>
  <c r="O633" i="1" s="1"/>
  <c r="P633" i="1" s="1"/>
  <c r="E633" i="1"/>
  <c r="N632" i="1"/>
  <c r="M632" i="1"/>
  <c r="O632" i="1" s="1"/>
  <c r="P632" i="1" s="1"/>
  <c r="E632" i="1"/>
  <c r="N631" i="1"/>
  <c r="M631" i="1"/>
  <c r="O631" i="1" s="1"/>
  <c r="P631" i="1" s="1"/>
  <c r="E631" i="1"/>
  <c r="N630" i="1"/>
  <c r="M630" i="1"/>
  <c r="E630" i="1"/>
  <c r="N629" i="1"/>
  <c r="M629" i="1"/>
  <c r="O629" i="1" s="1"/>
  <c r="P629" i="1" s="1"/>
  <c r="E629" i="1"/>
  <c r="N628" i="1"/>
  <c r="M628" i="1"/>
  <c r="O628" i="1" s="1"/>
  <c r="P628" i="1" s="1"/>
  <c r="E628" i="1"/>
  <c r="N627" i="1"/>
  <c r="M627" i="1"/>
  <c r="O627" i="1" s="1"/>
  <c r="P627" i="1" s="1"/>
  <c r="E627" i="1"/>
  <c r="N626" i="1"/>
  <c r="M626" i="1"/>
  <c r="E626" i="1"/>
  <c r="N625" i="1"/>
  <c r="M625" i="1"/>
  <c r="O625" i="1" s="1"/>
  <c r="P625" i="1" s="1"/>
  <c r="E625" i="1"/>
  <c r="N624" i="1"/>
  <c r="M624" i="1"/>
  <c r="O624" i="1" s="1"/>
  <c r="P624" i="1" s="1"/>
  <c r="E624" i="1"/>
  <c r="N623" i="1"/>
  <c r="M623" i="1"/>
  <c r="O623" i="1" s="1"/>
  <c r="P623" i="1" s="1"/>
  <c r="E623" i="1"/>
  <c r="N622" i="1"/>
  <c r="M622" i="1"/>
  <c r="E622" i="1"/>
  <c r="N621" i="1"/>
  <c r="M621" i="1"/>
  <c r="O621" i="1" s="1"/>
  <c r="P621" i="1" s="1"/>
  <c r="E621" i="1"/>
  <c r="N620" i="1"/>
  <c r="M620" i="1"/>
  <c r="O620" i="1" s="1"/>
  <c r="P620" i="1" s="1"/>
  <c r="E620" i="1"/>
  <c r="N619" i="1"/>
  <c r="M619" i="1"/>
  <c r="O619" i="1" s="1"/>
  <c r="P619" i="1" s="1"/>
  <c r="E619" i="1"/>
  <c r="N618" i="1"/>
  <c r="M618" i="1"/>
  <c r="E618" i="1"/>
  <c r="N617" i="1"/>
  <c r="M617" i="1"/>
  <c r="O617" i="1" s="1"/>
  <c r="P617" i="1" s="1"/>
  <c r="E617" i="1"/>
  <c r="N616" i="1"/>
  <c r="M616" i="1"/>
  <c r="O616" i="1" s="1"/>
  <c r="P616" i="1" s="1"/>
  <c r="E616" i="1"/>
  <c r="N615" i="1"/>
  <c r="M615" i="1"/>
  <c r="O615" i="1" s="1"/>
  <c r="P615" i="1" s="1"/>
  <c r="E615" i="1"/>
  <c r="N614" i="1"/>
  <c r="M614" i="1"/>
  <c r="E614" i="1"/>
  <c r="N613" i="1"/>
  <c r="M613" i="1"/>
  <c r="O613" i="1" s="1"/>
  <c r="P613" i="1" s="1"/>
  <c r="E613" i="1"/>
  <c r="N612" i="1"/>
  <c r="M612" i="1"/>
  <c r="O612" i="1" s="1"/>
  <c r="P612" i="1" s="1"/>
  <c r="E612" i="1"/>
  <c r="N611" i="1"/>
  <c r="M611" i="1"/>
  <c r="O611" i="1" s="1"/>
  <c r="P611" i="1" s="1"/>
  <c r="E611" i="1"/>
  <c r="N610" i="1"/>
  <c r="M610" i="1"/>
  <c r="E610" i="1"/>
  <c r="N609" i="1"/>
  <c r="M609" i="1"/>
  <c r="O609" i="1" s="1"/>
  <c r="P609" i="1" s="1"/>
  <c r="E609" i="1"/>
  <c r="N608" i="1"/>
  <c r="M608" i="1"/>
  <c r="O608" i="1" s="1"/>
  <c r="P608" i="1" s="1"/>
  <c r="E608" i="1"/>
  <c r="N607" i="1"/>
  <c r="M607" i="1"/>
  <c r="O607" i="1" s="1"/>
  <c r="P607" i="1" s="1"/>
  <c r="E607" i="1"/>
  <c r="N606" i="1"/>
  <c r="M606" i="1"/>
  <c r="E606" i="1"/>
  <c r="N605" i="1"/>
  <c r="M605" i="1"/>
  <c r="O605" i="1" s="1"/>
  <c r="P605" i="1" s="1"/>
  <c r="E605" i="1"/>
  <c r="N604" i="1"/>
  <c r="M604" i="1"/>
  <c r="O604" i="1" s="1"/>
  <c r="P604" i="1" s="1"/>
  <c r="E604" i="1"/>
  <c r="N603" i="1"/>
  <c r="M603" i="1"/>
  <c r="O603" i="1" s="1"/>
  <c r="P603" i="1" s="1"/>
  <c r="E603" i="1"/>
  <c r="N602" i="1"/>
  <c r="M602" i="1"/>
  <c r="E602" i="1"/>
  <c r="N601" i="1"/>
  <c r="M601" i="1"/>
  <c r="O601" i="1" s="1"/>
  <c r="P601" i="1" s="1"/>
  <c r="E601" i="1"/>
  <c r="N600" i="1"/>
  <c r="M600" i="1"/>
  <c r="O600" i="1" s="1"/>
  <c r="P600" i="1" s="1"/>
  <c r="E600" i="1"/>
  <c r="N599" i="1"/>
  <c r="M599" i="1"/>
  <c r="O599" i="1" s="1"/>
  <c r="P599" i="1" s="1"/>
  <c r="E599" i="1"/>
  <c r="N598" i="1"/>
  <c r="M598" i="1"/>
  <c r="E598" i="1"/>
  <c r="N597" i="1"/>
  <c r="M597" i="1"/>
  <c r="O597" i="1" s="1"/>
  <c r="P597" i="1" s="1"/>
  <c r="E597" i="1"/>
  <c r="N596" i="1"/>
  <c r="M596" i="1"/>
  <c r="O596" i="1" s="1"/>
  <c r="P596" i="1" s="1"/>
  <c r="E596" i="1"/>
  <c r="N595" i="1"/>
  <c r="M595" i="1"/>
  <c r="O595" i="1" s="1"/>
  <c r="P595" i="1" s="1"/>
  <c r="E595" i="1"/>
  <c r="N594" i="1"/>
  <c r="M594" i="1"/>
  <c r="E594" i="1"/>
  <c r="N593" i="1"/>
  <c r="M593" i="1"/>
  <c r="O593" i="1" s="1"/>
  <c r="P593" i="1" s="1"/>
  <c r="E593" i="1"/>
  <c r="N592" i="1"/>
  <c r="M592" i="1"/>
  <c r="O592" i="1" s="1"/>
  <c r="P592" i="1" s="1"/>
  <c r="E592" i="1"/>
  <c r="N591" i="1"/>
  <c r="M591" i="1"/>
  <c r="O591" i="1" s="1"/>
  <c r="P591" i="1" s="1"/>
  <c r="E591" i="1"/>
  <c r="N590" i="1"/>
  <c r="M590" i="1"/>
  <c r="E590" i="1"/>
  <c r="N589" i="1"/>
  <c r="M589" i="1"/>
  <c r="O589" i="1" s="1"/>
  <c r="P589" i="1" s="1"/>
  <c r="E589" i="1"/>
  <c r="N588" i="1"/>
  <c r="M588" i="1"/>
  <c r="O588" i="1" s="1"/>
  <c r="P588" i="1" s="1"/>
  <c r="E588" i="1"/>
  <c r="N587" i="1"/>
  <c r="M587" i="1"/>
  <c r="O587" i="1" s="1"/>
  <c r="P587" i="1" s="1"/>
  <c r="E587" i="1"/>
  <c r="N586" i="1"/>
  <c r="M586" i="1"/>
  <c r="E586" i="1"/>
  <c r="N585" i="1"/>
  <c r="M585" i="1"/>
  <c r="O585" i="1" s="1"/>
  <c r="P585" i="1" s="1"/>
  <c r="E585" i="1"/>
  <c r="N584" i="1"/>
  <c r="M584" i="1"/>
  <c r="O584" i="1" s="1"/>
  <c r="P584" i="1" s="1"/>
  <c r="E584" i="1"/>
  <c r="N583" i="1"/>
  <c r="M583" i="1"/>
  <c r="O583" i="1" s="1"/>
  <c r="P583" i="1" s="1"/>
  <c r="E583" i="1"/>
  <c r="N582" i="1"/>
  <c r="M582" i="1"/>
  <c r="E582" i="1"/>
  <c r="N581" i="1"/>
  <c r="M581" i="1"/>
  <c r="O581" i="1" s="1"/>
  <c r="P581" i="1" s="1"/>
  <c r="E581" i="1"/>
  <c r="N580" i="1"/>
  <c r="M580" i="1"/>
  <c r="O580" i="1" s="1"/>
  <c r="P580" i="1" s="1"/>
  <c r="E580" i="1"/>
  <c r="N579" i="1"/>
  <c r="M579" i="1"/>
  <c r="O579" i="1" s="1"/>
  <c r="P579" i="1" s="1"/>
  <c r="E579" i="1"/>
  <c r="N578" i="1"/>
  <c r="M578" i="1"/>
  <c r="E578" i="1"/>
  <c r="N577" i="1"/>
  <c r="M577" i="1"/>
  <c r="O577" i="1" s="1"/>
  <c r="P577" i="1" s="1"/>
  <c r="E577" i="1"/>
  <c r="N576" i="1"/>
  <c r="M576" i="1"/>
  <c r="O576" i="1" s="1"/>
  <c r="P576" i="1" s="1"/>
  <c r="E576" i="1"/>
  <c r="N575" i="1"/>
  <c r="M575" i="1"/>
  <c r="O575" i="1" s="1"/>
  <c r="P575" i="1" s="1"/>
  <c r="E575" i="1"/>
  <c r="N574" i="1"/>
  <c r="M574" i="1"/>
  <c r="E574" i="1"/>
  <c r="N573" i="1"/>
  <c r="M573" i="1"/>
  <c r="O573" i="1" s="1"/>
  <c r="P573" i="1" s="1"/>
  <c r="E573" i="1"/>
  <c r="N572" i="1"/>
  <c r="M572" i="1"/>
  <c r="O572" i="1" s="1"/>
  <c r="P572" i="1" s="1"/>
  <c r="E572" i="1"/>
  <c r="N571" i="1"/>
  <c r="M571" i="1"/>
  <c r="O571" i="1" s="1"/>
  <c r="P571" i="1" s="1"/>
  <c r="E571" i="1"/>
  <c r="N570" i="1"/>
  <c r="M570" i="1"/>
  <c r="E570" i="1"/>
  <c r="N569" i="1"/>
  <c r="M569" i="1"/>
  <c r="O569" i="1" s="1"/>
  <c r="P569" i="1" s="1"/>
  <c r="E569" i="1"/>
  <c r="N568" i="1"/>
  <c r="M568" i="1"/>
  <c r="O568" i="1" s="1"/>
  <c r="P568" i="1" s="1"/>
  <c r="E568" i="1"/>
  <c r="N567" i="1"/>
  <c r="M567" i="1"/>
  <c r="O567" i="1" s="1"/>
  <c r="P567" i="1" s="1"/>
  <c r="E567" i="1"/>
  <c r="N566" i="1"/>
  <c r="M566" i="1"/>
  <c r="E566" i="1"/>
  <c r="N565" i="1"/>
  <c r="M565" i="1"/>
  <c r="O565" i="1" s="1"/>
  <c r="P565" i="1" s="1"/>
  <c r="E565" i="1"/>
  <c r="N564" i="1"/>
  <c r="M564" i="1"/>
  <c r="O564" i="1" s="1"/>
  <c r="P564" i="1" s="1"/>
  <c r="E564" i="1"/>
  <c r="N563" i="1"/>
  <c r="M563" i="1"/>
  <c r="O563" i="1" s="1"/>
  <c r="P563" i="1" s="1"/>
  <c r="E563" i="1"/>
  <c r="N562" i="1"/>
  <c r="M562" i="1"/>
  <c r="E562" i="1"/>
  <c r="N561" i="1"/>
  <c r="M561" i="1"/>
  <c r="O561" i="1" s="1"/>
  <c r="P561" i="1" s="1"/>
  <c r="E561" i="1"/>
  <c r="N560" i="1"/>
  <c r="M560" i="1"/>
  <c r="O560" i="1" s="1"/>
  <c r="P560" i="1" s="1"/>
  <c r="E560" i="1"/>
  <c r="N559" i="1"/>
  <c r="M559" i="1"/>
  <c r="O559" i="1" s="1"/>
  <c r="P559" i="1" s="1"/>
  <c r="E559" i="1"/>
  <c r="N558" i="1"/>
  <c r="M558" i="1"/>
  <c r="E558" i="1"/>
  <c r="N557" i="1"/>
  <c r="M557" i="1"/>
  <c r="O557" i="1" s="1"/>
  <c r="P557" i="1" s="1"/>
  <c r="E557" i="1"/>
  <c r="N556" i="1"/>
  <c r="M556" i="1"/>
  <c r="O556" i="1" s="1"/>
  <c r="P556" i="1" s="1"/>
  <c r="E556" i="1"/>
  <c r="N555" i="1"/>
  <c r="M555" i="1"/>
  <c r="O555" i="1" s="1"/>
  <c r="P555" i="1" s="1"/>
  <c r="E555" i="1"/>
  <c r="N554" i="1"/>
  <c r="M554" i="1"/>
  <c r="E554" i="1"/>
  <c r="N553" i="1"/>
  <c r="M553" i="1"/>
  <c r="O553" i="1" s="1"/>
  <c r="P553" i="1" s="1"/>
  <c r="E553" i="1"/>
  <c r="N552" i="1"/>
  <c r="M552" i="1"/>
  <c r="O552" i="1" s="1"/>
  <c r="P552" i="1" s="1"/>
  <c r="E552" i="1"/>
  <c r="N551" i="1"/>
  <c r="M551" i="1"/>
  <c r="O551" i="1" s="1"/>
  <c r="P551" i="1" s="1"/>
  <c r="E551" i="1"/>
  <c r="N550" i="1"/>
  <c r="M550" i="1"/>
  <c r="E550" i="1"/>
  <c r="N549" i="1"/>
  <c r="M549" i="1"/>
  <c r="O549" i="1" s="1"/>
  <c r="P549" i="1" s="1"/>
  <c r="E549" i="1"/>
  <c r="N548" i="1"/>
  <c r="M548" i="1"/>
  <c r="O548" i="1" s="1"/>
  <c r="P548" i="1" s="1"/>
  <c r="E548" i="1"/>
  <c r="N547" i="1"/>
  <c r="M547" i="1"/>
  <c r="O547" i="1" s="1"/>
  <c r="P547" i="1" s="1"/>
  <c r="E547" i="1"/>
  <c r="N546" i="1"/>
  <c r="M546" i="1"/>
  <c r="E546" i="1"/>
  <c r="N545" i="1"/>
  <c r="M545" i="1"/>
  <c r="O545" i="1" s="1"/>
  <c r="P545" i="1" s="1"/>
  <c r="E545" i="1"/>
  <c r="N544" i="1"/>
  <c r="M544" i="1"/>
  <c r="O544" i="1" s="1"/>
  <c r="P544" i="1" s="1"/>
  <c r="E544" i="1"/>
  <c r="N543" i="1"/>
  <c r="M543" i="1"/>
  <c r="O543" i="1" s="1"/>
  <c r="P543" i="1" s="1"/>
  <c r="E543" i="1"/>
  <c r="N542" i="1"/>
  <c r="M542" i="1"/>
  <c r="E542" i="1"/>
  <c r="N541" i="1"/>
  <c r="M541" i="1"/>
  <c r="O541" i="1" s="1"/>
  <c r="P541" i="1" s="1"/>
  <c r="E541" i="1"/>
  <c r="N540" i="1"/>
  <c r="M540" i="1"/>
  <c r="O540" i="1" s="1"/>
  <c r="P540" i="1" s="1"/>
  <c r="E540" i="1"/>
  <c r="N539" i="1"/>
  <c r="M539" i="1"/>
  <c r="O539" i="1" s="1"/>
  <c r="P539" i="1" s="1"/>
  <c r="E539" i="1"/>
  <c r="N538" i="1"/>
  <c r="M538" i="1"/>
  <c r="E538" i="1"/>
  <c r="N537" i="1"/>
  <c r="M537" i="1"/>
  <c r="O537" i="1" s="1"/>
  <c r="P537" i="1" s="1"/>
  <c r="E537" i="1"/>
  <c r="N536" i="1"/>
  <c r="M536" i="1"/>
  <c r="O536" i="1" s="1"/>
  <c r="P536" i="1" s="1"/>
  <c r="E536" i="1"/>
  <c r="N535" i="1"/>
  <c r="M535" i="1"/>
  <c r="O535" i="1" s="1"/>
  <c r="P535" i="1" s="1"/>
  <c r="E535" i="1"/>
  <c r="N534" i="1"/>
  <c r="M534" i="1"/>
  <c r="E534" i="1"/>
  <c r="N533" i="1"/>
  <c r="M533" i="1"/>
  <c r="O533" i="1" s="1"/>
  <c r="P533" i="1" s="1"/>
  <c r="E533" i="1"/>
  <c r="N532" i="1"/>
  <c r="M532" i="1"/>
  <c r="O532" i="1" s="1"/>
  <c r="P532" i="1" s="1"/>
  <c r="E532" i="1"/>
  <c r="N531" i="1"/>
  <c r="M531" i="1"/>
  <c r="O531" i="1" s="1"/>
  <c r="P531" i="1" s="1"/>
  <c r="E531" i="1"/>
  <c r="N530" i="1"/>
  <c r="M530" i="1"/>
  <c r="E530" i="1"/>
  <c r="N529" i="1"/>
  <c r="M529" i="1"/>
  <c r="O529" i="1" s="1"/>
  <c r="P529" i="1" s="1"/>
  <c r="E529" i="1"/>
  <c r="N528" i="1"/>
  <c r="M528" i="1"/>
  <c r="O528" i="1" s="1"/>
  <c r="P528" i="1" s="1"/>
  <c r="E528" i="1"/>
  <c r="N527" i="1"/>
  <c r="M527" i="1"/>
  <c r="O527" i="1" s="1"/>
  <c r="P527" i="1" s="1"/>
  <c r="E527" i="1"/>
  <c r="N526" i="1"/>
  <c r="M526" i="1"/>
  <c r="E526" i="1"/>
  <c r="N525" i="1"/>
  <c r="M525" i="1"/>
  <c r="O525" i="1" s="1"/>
  <c r="P525" i="1" s="1"/>
  <c r="E525" i="1"/>
  <c r="N524" i="1"/>
  <c r="M524" i="1"/>
  <c r="O524" i="1" s="1"/>
  <c r="P524" i="1" s="1"/>
  <c r="E524" i="1"/>
  <c r="N523" i="1"/>
  <c r="M523" i="1"/>
  <c r="O523" i="1" s="1"/>
  <c r="P523" i="1" s="1"/>
  <c r="E523" i="1"/>
  <c r="N522" i="1"/>
  <c r="M522" i="1"/>
  <c r="E522" i="1"/>
  <c r="N521" i="1"/>
  <c r="M521" i="1"/>
  <c r="O521" i="1" s="1"/>
  <c r="P521" i="1" s="1"/>
  <c r="E521" i="1"/>
  <c r="N520" i="1"/>
  <c r="M520" i="1"/>
  <c r="O520" i="1" s="1"/>
  <c r="P520" i="1" s="1"/>
  <c r="E520" i="1"/>
  <c r="N519" i="1"/>
  <c r="M519" i="1"/>
  <c r="O519" i="1" s="1"/>
  <c r="P519" i="1" s="1"/>
  <c r="E519" i="1"/>
  <c r="N518" i="1"/>
  <c r="M518" i="1"/>
  <c r="E518" i="1"/>
  <c r="N517" i="1"/>
  <c r="M517" i="1"/>
  <c r="O517" i="1" s="1"/>
  <c r="P517" i="1" s="1"/>
  <c r="E517" i="1"/>
  <c r="N516" i="1"/>
  <c r="M516" i="1"/>
  <c r="O516" i="1" s="1"/>
  <c r="P516" i="1" s="1"/>
  <c r="E516" i="1"/>
  <c r="N515" i="1"/>
  <c r="M515" i="1"/>
  <c r="O515" i="1" s="1"/>
  <c r="P515" i="1" s="1"/>
  <c r="E515" i="1"/>
  <c r="N514" i="1"/>
  <c r="M514" i="1"/>
  <c r="E514" i="1"/>
  <c r="N513" i="1"/>
  <c r="M513" i="1"/>
  <c r="O513" i="1" s="1"/>
  <c r="P513" i="1" s="1"/>
  <c r="E513" i="1"/>
  <c r="N512" i="1"/>
  <c r="M512" i="1"/>
  <c r="O512" i="1" s="1"/>
  <c r="P512" i="1" s="1"/>
  <c r="E512" i="1"/>
  <c r="N511" i="1"/>
  <c r="M511" i="1"/>
  <c r="O511" i="1" s="1"/>
  <c r="P511" i="1" s="1"/>
  <c r="E511" i="1"/>
  <c r="N510" i="1"/>
  <c r="M510" i="1"/>
  <c r="E510" i="1"/>
  <c r="N509" i="1"/>
  <c r="M509" i="1"/>
  <c r="O509" i="1" s="1"/>
  <c r="P509" i="1" s="1"/>
  <c r="E509" i="1"/>
  <c r="N508" i="1"/>
  <c r="M508" i="1"/>
  <c r="O508" i="1" s="1"/>
  <c r="P508" i="1" s="1"/>
  <c r="E508" i="1"/>
  <c r="N507" i="1"/>
  <c r="M507" i="1"/>
  <c r="O507" i="1" s="1"/>
  <c r="P507" i="1" s="1"/>
  <c r="E507" i="1"/>
  <c r="N506" i="1"/>
  <c r="M506" i="1"/>
  <c r="E506" i="1"/>
  <c r="N505" i="1"/>
  <c r="M505" i="1"/>
  <c r="O505" i="1" s="1"/>
  <c r="P505" i="1" s="1"/>
  <c r="E505" i="1"/>
  <c r="N504" i="1"/>
  <c r="M504" i="1"/>
  <c r="O504" i="1" s="1"/>
  <c r="P504" i="1" s="1"/>
  <c r="E504" i="1"/>
  <c r="N503" i="1"/>
  <c r="M503" i="1"/>
  <c r="O503" i="1" s="1"/>
  <c r="P503" i="1" s="1"/>
  <c r="E503" i="1"/>
  <c r="N502" i="1"/>
  <c r="M502" i="1"/>
  <c r="E502" i="1"/>
  <c r="N501" i="1"/>
  <c r="M501" i="1"/>
  <c r="O501" i="1" s="1"/>
  <c r="P501" i="1" s="1"/>
  <c r="E501" i="1"/>
  <c r="N500" i="1"/>
  <c r="M500" i="1"/>
  <c r="O500" i="1" s="1"/>
  <c r="P500" i="1" s="1"/>
  <c r="E500" i="1"/>
  <c r="N499" i="1"/>
  <c r="M499" i="1"/>
  <c r="O499" i="1" s="1"/>
  <c r="P499" i="1" s="1"/>
  <c r="E499" i="1"/>
  <c r="N498" i="1"/>
  <c r="M498" i="1"/>
  <c r="E498" i="1"/>
  <c r="N497" i="1"/>
  <c r="M497" i="1"/>
  <c r="O497" i="1" s="1"/>
  <c r="P497" i="1" s="1"/>
  <c r="E497" i="1"/>
  <c r="N496" i="1"/>
  <c r="M496" i="1"/>
  <c r="O496" i="1" s="1"/>
  <c r="P496" i="1" s="1"/>
  <c r="E496" i="1"/>
  <c r="N495" i="1"/>
  <c r="M495" i="1"/>
  <c r="O495" i="1" s="1"/>
  <c r="P495" i="1" s="1"/>
  <c r="E495" i="1"/>
  <c r="N494" i="1"/>
  <c r="M494" i="1"/>
  <c r="E494" i="1"/>
  <c r="N493" i="1"/>
  <c r="M493" i="1"/>
  <c r="O493" i="1" s="1"/>
  <c r="P493" i="1" s="1"/>
  <c r="E493" i="1"/>
  <c r="N492" i="1"/>
  <c r="M492" i="1"/>
  <c r="O492" i="1" s="1"/>
  <c r="P492" i="1" s="1"/>
  <c r="E492" i="1"/>
  <c r="N491" i="1"/>
  <c r="M491" i="1"/>
  <c r="O491" i="1" s="1"/>
  <c r="P491" i="1" s="1"/>
  <c r="E491" i="1"/>
  <c r="N490" i="1"/>
  <c r="M490" i="1"/>
  <c r="E490" i="1"/>
  <c r="N489" i="1"/>
  <c r="M489" i="1"/>
  <c r="O489" i="1" s="1"/>
  <c r="P489" i="1" s="1"/>
  <c r="E489" i="1"/>
  <c r="N488" i="1"/>
  <c r="M488" i="1"/>
  <c r="O488" i="1" s="1"/>
  <c r="P488" i="1" s="1"/>
  <c r="E488" i="1"/>
  <c r="N487" i="1"/>
  <c r="M487" i="1"/>
  <c r="O487" i="1" s="1"/>
  <c r="P487" i="1" s="1"/>
  <c r="E487" i="1"/>
  <c r="N486" i="1"/>
  <c r="M486" i="1"/>
  <c r="E486" i="1"/>
  <c r="N485" i="1"/>
  <c r="M485" i="1"/>
  <c r="O485" i="1" s="1"/>
  <c r="P485" i="1" s="1"/>
  <c r="E485" i="1"/>
  <c r="N484" i="1"/>
  <c r="M484" i="1"/>
  <c r="O484" i="1" s="1"/>
  <c r="P484" i="1" s="1"/>
  <c r="E484" i="1"/>
  <c r="N483" i="1"/>
  <c r="M483" i="1"/>
  <c r="O483" i="1" s="1"/>
  <c r="P483" i="1" s="1"/>
  <c r="E483" i="1"/>
  <c r="N482" i="1"/>
  <c r="M482" i="1"/>
  <c r="E482" i="1"/>
  <c r="N481" i="1"/>
  <c r="M481" i="1"/>
  <c r="O481" i="1" s="1"/>
  <c r="P481" i="1" s="1"/>
  <c r="E481" i="1"/>
  <c r="N480" i="1"/>
  <c r="M480" i="1"/>
  <c r="O480" i="1" s="1"/>
  <c r="P480" i="1" s="1"/>
  <c r="E480" i="1"/>
  <c r="N479" i="1"/>
  <c r="M479" i="1"/>
  <c r="O479" i="1" s="1"/>
  <c r="P479" i="1" s="1"/>
  <c r="E479" i="1"/>
  <c r="N478" i="1"/>
  <c r="M478" i="1"/>
  <c r="E478" i="1"/>
  <c r="N477" i="1"/>
  <c r="M477" i="1"/>
  <c r="O477" i="1" s="1"/>
  <c r="P477" i="1" s="1"/>
  <c r="E477" i="1"/>
  <c r="N476" i="1"/>
  <c r="M476" i="1"/>
  <c r="O476" i="1" s="1"/>
  <c r="P476" i="1" s="1"/>
  <c r="E476" i="1"/>
  <c r="N475" i="1"/>
  <c r="M475" i="1"/>
  <c r="O475" i="1" s="1"/>
  <c r="P475" i="1" s="1"/>
  <c r="E475" i="1"/>
  <c r="N474" i="1"/>
  <c r="M474" i="1"/>
  <c r="E474" i="1"/>
  <c r="N473" i="1"/>
  <c r="M473" i="1"/>
  <c r="O473" i="1" s="1"/>
  <c r="P473" i="1" s="1"/>
  <c r="E473" i="1"/>
  <c r="N472" i="1"/>
  <c r="M472" i="1"/>
  <c r="O472" i="1" s="1"/>
  <c r="P472" i="1" s="1"/>
  <c r="E472" i="1"/>
  <c r="N471" i="1"/>
  <c r="M471" i="1"/>
  <c r="O471" i="1" s="1"/>
  <c r="P471" i="1" s="1"/>
  <c r="E471" i="1"/>
  <c r="N470" i="1"/>
  <c r="M470" i="1"/>
  <c r="E470" i="1"/>
  <c r="N469" i="1"/>
  <c r="M469" i="1"/>
  <c r="O469" i="1" s="1"/>
  <c r="P469" i="1" s="1"/>
  <c r="E469" i="1"/>
  <c r="N468" i="1"/>
  <c r="M468" i="1"/>
  <c r="O468" i="1" s="1"/>
  <c r="P468" i="1" s="1"/>
  <c r="E468" i="1"/>
  <c r="N467" i="1"/>
  <c r="M467" i="1"/>
  <c r="O467" i="1" s="1"/>
  <c r="P467" i="1" s="1"/>
  <c r="E467" i="1"/>
  <c r="N466" i="1"/>
  <c r="M466" i="1"/>
  <c r="E466" i="1"/>
  <c r="N465" i="1"/>
  <c r="M465" i="1"/>
  <c r="O465" i="1" s="1"/>
  <c r="P465" i="1" s="1"/>
  <c r="E465" i="1"/>
  <c r="N464" i="1"/>
  <c r="M464" i="1"/>
  <c r="O464" i="1" s="1"/>
  <c r="P464" i="1" s="1"/>
  <c r="E464" i="1"/>
  <c r="N463" i="1"/>
  <c r="M463" i="1"/>
  <c r="O463" i="1" s="1"/>
  <c r="P463" i="1" s="1"/>
  <c r="E463" i="1"/>
  <c r="N462" i="1"/>
  <c r="M462" i="1"/>
  <c r="E462" i="1"/>
  <c r="N461" i="1"/>
  <c r="M461" i="1"/>
  <c r="O461" i="1" s="1"/>
  <c r="P461" i="1" s="1"/>
  <c r="E461" i="1"/>
  <c r="N460" i="1"/>
  <c r="M460" i="1"/>
  <c r="O460" i="1" s="1"/>
  <c r="P460" i="1" s="1"/>
  <c r="E460" i="1"/>
  <c r="N459" i="1"/>
  <c r="M459" i="1"/>
  <c r="O459" i="1" s="1"/>
  <c r="P459" i="1" s="1"/>
  <c r="E459" i="1"/>
  <c r="N458" i="1"/>
  <c r="M458" i="1"/>
  <c r="E458" i="1"/>
  <c r="N457" i="1"/>
  <c r="M457" i="1"/>
  <c r="O457" i="1" s="1"/>
  <c r="P457" i="1" s="1"/>
  <c r="E457" i="1"/>
  <c r="N456" i="1"/>
  <c r="M456" i="1"/>
  <c r="O456" i="1" s="1"/>
  <c r="P456" i="1" s="1"/>
  <c r="E456" i="1"/>
  <c r="N455" i="1"/>
  <c r="M455" i="1"/>
  <c r="O455" i="1" s="1"/>
  <c r="P455" i="1" s="1"/>
  <c r="E455" i="1"/>
  <c r="N454" i="1"/>
  <c r="M454" i="1"/>
  <c r="E454" i="1"/>
  <c r="N453" i="1"/>
  <c r="M453" i="1"/>
  <c r="O453" i="1" s="1"/>
  <c r="P453" i="1" s="1"/>
  <c r="E453" i="1"/>
  <c r="N452" i="1"/>
  <c r="M452" i="1"/>
  <c r="O452" i="1" s="1"/>
  <c r="P452" i="1" s="1"/>
  <c r="E452" i="1"/>
  <c r="N451" i="1"/>
  <c r="M451" i="1"/>
  <c r="O451" i="1" s="1"/>
  <c r="P451" i="1" s="1"/>
  <c r="E451" i="1"/>
  <c r="N450" i="1"/>
  <c r="M450" i="1"/>
  <c r="O450" i="1" s="1"/>
  <c r="P450" i="1" s="1"/>
  <c r="E450" i="1"/>
  <c r="N449" i="1"/>
  <c r="M449" i="1"/>
  <c r="O449" i="1" s="1"/>
  <c r="P449" i="1" s="1"/>
  <c r="E449" i="1"/>
  <c r="N448" i="1"/>
  <c r="M448" i="1"/>
  <c r="O448" i="1" s="1"/>
  <c r="P448" i="1" s="1"/>
  <c r="E448" i="1"/>
  <c r="N447" i="1"/>
  <c r="M447" i="1"/>
  <c r="O447" i="1" s="1"/>
  <c r="P447" i="1" s="1"/>
  <c r="E447" i="1"/>
  <c r="N446" i="1"/>
  <c r="M446" i="1"/>
  <c r="O446" i="1" s="1"/>
  <c r="P446" i="1" s="1"/>
  <c r="E446" i="1"/>
  <c r="N445" i="1"/>
  <c r="M445" i="1"/>
  <c r="O445" i="1" s="1"/>
  <c r="P445" i="1" s="1"/>
  <c r="E445" i="1"/>
  <c r="N444" i="1"/>
  <c r="M444" i="1"/>
  <c r="O444" i="1" s="1"/>
  <c r="P444" i="1" s="1"/>
  <c r="E444" i="1"/>
  <c r="N443" i="1"/>
  <c r="M443" i="1"/>
  <c r="O443" i="1" s="1"/>
  <c r="P443" i="1" s="1"/>
  <c r="E443" i="1"/>
  <c r="N442" i="1"/>
  <c r="M442" i="1"/>
  <c r="O442" i="1" s="1"/>
  <c r="P442" i="1" s="1"/>
  <c r="E442" i="1"/>
  <c r="N441" i="1"/>
  <c r="M441" i="1"/>
  <c r="O441" i="1" s="1"/>
  <c r="P441" i="1" s="1"/>
  <c r="E441" i="1"/>
  <c r="N440" i="1"/>
  <c r="M440" i="1"/>
  <c r="O440" i="1" s="1"/>
  <c r="P440" i="1" s="1"/>
  <c r="E440" i="1"/>
  <c r="N439" i="1"/>
  <c r="M439" i="1"/>
  <c r="O439" i="1" s="1"/>
  <c r="P439" i="1" s="1"/>
  <c r="E439" i="1"/>
  <c r="N438" i="1"/>
  <c r="M438" i="1"/>
  <c r="O438" i="1" s="1"/>
  <c r="P438" i="1" s="1"/>
  <c r="E438" i="1"/>
  <c r="N437" i="1"/>
  <c r="M437" i="1"/>
  <c r="O437" i="1" s="1"/>
  <c r="P437" i="1" s="1"/>
  <c r="E437" i="1"/>
  <c r="N436" i="1"/>
  <c r="M436" i="1"/>
  <c r="O436" i="1" s="1"/>
  <c r="P436" i="1" s="1"/>
  <c r="E436" i="1"/>
  <c r="N435" i="1"/>
  <c r="M435" i="1"/>
  <c r="O435" i="1" s="1"/>
  <c r="P435" i="1" s="1"/>
  <c r="E435" i="1"/>
  <c r="N434" i="1"/>
  <c r="M434" i="1"/>
  <c r="O434" i="1" s="1"/>
  <c r="P434" i="1" s="1"/>
  <c r="E434" i="1"/>
  <c r="N433" i="1"/>
  <c r="M433" i="1"/>
  <c r="O433" i="1" s="1"/>
  <c r="P433" i="1" s="1"/>
  <c r="E433" i="1"/>
  <c r="N432" i="1"/>
  <c r="M432" i="1"/>
  <c r="O432" i="1" s="1"/>
  <c r="P432" i="1" s="1"/>
  <c r="E432" i="1"/>
  <c r="N431" i="1"/>
  <c r="M431" i="1"/>
  <c r="O431" i="1" s="1"/>
  <c r="P431" i="1" s="1"/>
  <c r="E431" i="1"/>
  <c r="N430" i="1"/>
  <c r="M430" i="1"/>
  <c r="O430" i="1" s="1"/>
  <c r="P430" i="1" s="1"/>
  <c r="E430" i="1"/>
  <c r="N429" i="1"/>
  <c r="M429" i="1"/>
  <c r="O429" i="1" s="1"/>
  <c r="P429" i="1" s="1"/>
  <c r="E429" i="1"/>
  <c r="N428" i="1"/>
  <c r="M428" i="1"/>
  <c r="O428" i="1" s="1"/>
  <c r="P428" i="1" s="1"/>
  <c r="E428" i="1"/>
  <c r="N427" i="1"/>
  <c r="M427" i="1"/>
  <c r="O427" i="1" s="1"/>
  <c r="P427" i="1" s="1"/>
  <c r="E427" i="1"/>
  <c r="N426" i="1"/>
  <c r="M426" i="1"/>
  <c r="O426" i="1" s="1"/>
  <c r="P426" i="1" s="1"/>
  <c r="E426" i="1"/>
  <c r="N425" i="1"/>
  <c r="M425" i="1"/>
  <c r="O425" i="1" s="1"/>
  <c r="P425" i="1" s="1"/>
  <c r="E425" i="1"/>
  <c r="N424" i="1"/>
  <c r="M424" i="1"/>
  <c r="O424" i="1" s="1"/>
  <c r="P424" i="1" s="1"/>
  <c r="E424" i="1"/>
  <c r="N423" i="1"/>
  <c r="M423" i="1"/>
  <c r="O423" i="1" s="1"/>
  <c r="P423" i="1" s="1"/>
  <c r="E423" i="1"/>
  <c r="N422" i="1"/>
  <c r="M422" i="1"/>
  <c r="O422" i="1" s="1"/>
  <c r="P422" i="1" s="1"/>
  <c r="E422" i="1"/>
  <c r="N421" i="1"/>
  <c r="M421" i="1"/>
  <c r="O421" i="1" s="1"/>
  <c r="P421" i="1" s="1"/>
  <c r="E421" i="1"/>
  <c r="N420" i="1"/>
  <c r="M420" i="1"/>
  <c r="O420" i="1" s="1"/>
  <c r="P420" i="1" s="1"/>
  <c r="E420" i="1"/>
  <c r="N419" i="1"/>
  <c r="M419" i="1"/>
  <c r="O419" i="1" s="1"/>
  <c r="P419" i="1" s="1"/>
  <c r="E419" i="1"/>
  <c r="N418" i="1"/>
  <c r="M418" i="1"/>
  <c r="O418" i="1" s="1"/>
  <c r="P418" i="1" s="1"/>
  <c r="E418" i="1"/>
  <c r="N417" i="1"/>
  <c r="M417" i="1"/>
  <c r="O417" i="1" s="1"/>
  <c r="P417" i="1" s="1"/>
  <c r="E417" i="1"/>
  <c r="N416" i="1"/>
  <c r="M416" i="1"/>
  <c r="O416" i="1" s="1"/>
  <c r="P416" i="1" s="1"/>
  <c r="E416" i="1"/>
  <c r="N415" i="1"/>
  <c r="M415" i="1"/>
  <c r="O415" i="1" s="1"/>
  <c r="P415" i="1" s="1"/>
  <c r="E415" i="1"/>
  <c r="N414" i="1"/>
  <c r="M414" i="1"/>
  <c r="O414" i="1" s="1"/>
  <c r="P414" i="1" s="1"/>
  <c r="E414" i="1"/>
  <c r="N413" i="1"/>
  <c r="M413" i="1"/>
  <c r="O413" i="1" s="1"/>
  <c r="P413" i="1" s="1"/>
  <c r="E413" i="1"/>
  <c r="N412" i="1"/>
  <c r="M412" i="1"/>
  <c r="O412" i="1" s="1"/>
  <c r="P412" i="1" s="1"/>
  <c r="E412" i="1"/>
  <c r="N411" i="1"/>
  <c r="M411" i="1"/>
  <c r="O411" i="1" s="1"/>
  <c r="P411" i="1" s="1"/>
  <c r="E411" i="1"/>
  <c r="N410" i="1"/>
  <c r="M410" i="1"/>
  <c r="O410" i="1" s="1"/>
  <c r="P410" i="1" s="1"/>
  <c r="E410" i="1"/>
  <c r="N409" i="1"/>
  <c r="M409" i="1"/>
  <c r="O409" i="1" s="1"/>
  <c r="P409" i="1" s="1"/>
  <c r="E409" i="1"/>
  <c r="N408" i="1"/>
  <c r="M408" i="1"/>
  <c r="O408" i="1" s="1"/>
  <c r="P408" i="1" s="1"/>
  <c r="E408" i="1"/>
  <c r="N407" i="1"/>
  <c r="M407" i="1"/>
  <c r="O407" i="1" s="1"/>
  <c r="P407" i="1" s="1"/>
  <c r="E407" i="1"/>
  <c r="N406" i="1"/>
  <c r="M406" i="1"/>
  <c r="O406" i="1" s="1"/>
  <c r="P406" i="1" s="1"/>
  <c r="E406" i="1"/>
  <c r="N405" i="1"/>
  <c r="M405" i="1"/>
  <c r="O405" i="1" s="1"/>
  <c r="P405" i="1" s="1"/>
  <c r="E405" i="1"/>
  <c r="N404" i="1"/>
  <c r="M404" i="1"/>
  <c r="O404" i="1" s="1"/>
  <c r="P404" i="1" s="1"/>
  <c r="E404" i="1"/>
  <c r="N403" i="1"/>
  <c r="M403" i="1"/>
  <c r="O403" i="1" s="1"/>
  <c r="P403" i="1" s="1"/>
  <c r="E403" i="1"/>
  <c r="N402" i="1"/>
  <c r="M402" i="1"/>
  <c r="O402" i="1" s="1"/>
  <c r="P402" i="1" s="1"/>
  <c r="E402" i="1"/>
  <c r="N401" i="1"/>
  <c r="M401" i="1"/>
  <c r="O401" i="1" s="1"/>
  <c r="P401" i="1" s="1"/>
  <c r="E401" i="1"/>
  <c r="N400" i="1"/>
  <c r="M400" i="1"/>
  <c r="E400" i="1"/>
  <c r="N399" i="1"/>
  <c r="M399" i="1"/>
  <c r="O399" i="1" s="1"/>
  <c r="P399" i="1" s="1"/>
  <c r="E399" i="1"/>
  <c r="N398" i="1"/>
  <c r="M398" i="1"/>
  <c r="O398" i="1" s="1"/>
  <c r="P398" i="1" s="1"/>
  <c r="E398" i="1"/>
  <c r="N397" i="1"/>
  <c r="M397" i="1"/>
  <c r="O397" i="1" s="1"/>
  <c r="P397" i="1" s="1"/>
  <c r="E397" i="1"/>
  <c r="N396" i="1"/>
  <c r="M396" i="1"/>
  <c r="O396" i="1" s="1"/>
  <c r="P396" i="1" s="1"/>
  <c r="E396" i="1"/>
  <c r="N395" i="1"/>
  <c r="M395" i="1"/>
  <c r="O395" i="1" s="1"/>
  <c r="P395" i="1" s="1"/>
  <c r="E395" i="1"/>
  <c r="N394" i="1"/>
  <c r="M394" i="1"/>
  <c r="O394" i="1" s="1"/>
  <c r="P394" i="1" s="1"/>
  <c r="E394" i="1"/>
  <c r="N393" i="1"/>
  <c r="M393" i="1"/>
  <c r="O393" i="1" s="1"/>
  <c r="P393" i="1" s="1"/>
  <c r="E393" i="1"/>
  <c r="N392" i="1"/>
  <c r="M392" i="1"/>
  <c r="E392" i="1"/>
  <c r="N391" i="1"/>
  <c r="M391" i="1"/>
  <c r="O391" i="1" s="1"/>
  <c r="P391" i="1" s="1"/>
  <c r="E391" i="1"/>
  <c r="N390" i="1"/>
  <c r="M390" i="1"/>
  <c r="O390" i="1" s="1"/>
  <c r="P390" i="1" s="1"/>
  <c r="E390" i="1"/>
  <c r="N389" i="1"/>
  <c r="M389" i="1"/>
  <c r="O389" i="1" s="1"/>
  <c r="P389" i="1" s="1"/>
  <c r="E389" i="1"/>
  <c r="N388" i="1"/>
  <c r="M388" i="1"/>
  <c r="O388" i="1" s="1"/>
  <c r="P388" i="1" s="1"/>
  <c r="E388" i="1"/>
  <c r="N387" i="1"/>
  <c r="M387" i="1"/>
  <c r="O387" i="1" s="1"/>
  <c r="P387" i="1" s="1"/>
  <c r="E387" i="1"/>
  <c r="N386" i="1"/>
  <c r="M386" i="1"/>
  <c r="O386" i="1" s="1"/>
  <c r="P386" i="1" s="1"/>
  <c r="E386" i="1"/>
  <c r="N385" i="1"/>
  <c r="M385" i="1"/>
  <c r="O385" i="1" s="1"/>
  <c r="P385" i="1" s="1"/>
  <c r="E385" i="1"/>
  <c r="N384" i="1"/>
  <c r="M384" i="1"/>
  <c r="E384" i="1"/>
  <c r="N383" i="1"/>
  <c r="M383" i="1"/>
  <c r="O383" i="1" s="1"/>
  <c r="P383" i="1" s="1"/>
  <c r="E383" i="1"/>
  <c r="N382" i="1"/>
  <c r="M382" i="1"/>
  <c r="O382" i="1" s="1"/>
  <c r="P382" i="1" s="1"/>
  <c r="E382" i="1"/>
  <c r="N381" i="1"/>
  <c r="M381" i="1"/>
  <c r="O381" i="1" s="1"/>
  <c r="P381" i="1" s="1"/>
  <c r="E381" i="1"/>
  <c r="N380" i="1"/>
  <c r="M380" i="1"/>
  <c r="O380" i="1" s="1"/>
  <c r="P380" i="1" s="1"/>
  <c r="E380" i="1"/>
  <c r="N379" i="1"/>
  <c r="M379" i="1"/>
  <c r="O379" i="1" s="1"/>
  <c r="P379" i="1" s="1"/>
  <c r="E379" i="1"/>
  <c r="N378" i="1"/>
  <c r="M378" i="1"/>
  <c r="O378" i="1" s="1"/>
  <c r="P378" i="1" s="1"/>
  <c r="E378" i="1"/>
  <c r="N377" i="1"/>
  <c r="M377" i="1"/>
  <c r="O377" i="1" s="1"/>
  <c r="P377" i="1" s="1"/>
  <c r="E377" i="1"/>
  <c r="N376" i="1"/>
  <c r="M376" i="1"/>
  <c r="E376" i="1"/>
  <c r="N375" i="1"/>
  <c r="M375" i="1"/>
  <c r="O375" i="1" s="1"/>
  <c r="P375" i="1" s="1"/>
  <c r="E375" i="1"/>
  <c r="N374" i="1"/>
  <c r="M374" i="1"/>
  <c r="O374" i="1" s="1"/>
  <c r="P374" i="1" s="1"/>
  <c r="E374" i="1"/>
  <c r="N373" i="1"/>
  <c r="M373" i="1"/>
  <c r="O373" i="1" s="1"/>
  <c r="P373" i="1" s="1"/>
  <c r="E373" i="1"/>
  <c r="N372" i="1"/>
  <c r="M372" i="1"/>
  <c r="O372" i="1" s="1"/>
  <c r="P372" i="1" s="1"/>
  <c r="E372" i="1"/>
  <c r="N371" i="1"/>
  <c r="M371" i="1"/>
  <c r="O371" i="1" s="1"/>
  <c r="P371" i="1" s="1"/>
  <c r="E371" i="1"/>
  <c r="N370" i="1"/>
  <c r="M370" i="1"/>
  <c r="O370" i="1" s="1"/>
  <c r="P370" i="1" s="1"/>
  <c r="E370" i="1"/>
  <c r="N369" i="1"/>
  <c r="M369" i="1"/>
  <c r="O369" i="1" s="1"/>
  <c r="P369" i="1" s="1"/>
  <c r="E369" i="1"/>
  <c r="N368" i="1"/>
  <c r="M368" i="1"/>
  <c r="E368" i="1"/>
  <c r="N367" i="1"/>
  <c r="M367" i="1"/>
  <c r="O367" i="1" s="1"/>
  <c r="P367" i="1" s="1"/>
  <c r="E367" i="1"/>
  <c r="N366" i="1"/>
  <c r="M366" i="1"/>
  <c r="O366" i="1" s="1"/>
  <c r="P366" i="1" s="1"/>
  <c r="E366" i="1"/>
  <c r="N365" i="1"/>
  <c r="M365" i="1"/>
  <c r="O365" i="1" s="1"/>
  <c r="P365" i="1" s="1"/>
  <c r="E365" i="1"/>
  <c r="N364" i="1"/>
  <c r="M364" i="1"/>
  <c r="O364" i="1" s="1"/>
  <c r="P364" i="1" s="1"/>
  <c r="E364" i="1"/>
  <c r="N363" i="1"/>
  <c r="M363" i="1"/>
  <c r="O363" i="1" s="1"/>
  <c r="P363" i="1" s="1"/>
  <c r="E363" i="1"/>
  <c r="N362" i="1"/>
  <c r="M362" i="1"/>
  <c r="O362" i="1" s="1"/>
  <c r="P362" i="1" s="1"/>
  <c r="E362" i="1"/>
  <c r="N361" i="1"/>
  <c r="M361" i="1"/>
  <c r="O361" i="1" s="1"/>
  <c r="P361" i="1" s="1"/>
  <c r="E361" i="1"/>
  <c r="N360" i="1"/>
  <c r="M360" i="1"/>
  <c r="E360" i="1"/>
  <c r="N359" i="1"/>
  <c r="M359" i="1"/>
  <c r="O359" i="1" s="1"/>
  <c r="P359" i="1" s="1"/>
  <c r="E359" i="1"/>
  <c r="N358" i="1"/>
  <c r="M358" i="1"/>
  <c r="O358" i="1" s="1"/>
  <c r="P358" i="1" s="1"/>
  <c r="E358" i="1"/>
  <c r="N357" i="1"/>
  <c r="M357" i="1"/>
  <c r="O357" i="1" s="1"/>
  <c r="P357" i="1" s="1"/>
  <c r="E357" i="1"/>
  <c r="N356" i="1"/>
  <c r="M356" i="1"/>
  <c r="O356" i="1" s="1"/>
  <c r="P356" i="1" s="1"/>
  <c r="E356" i="1"/>
  <c r="N355" i="1"/>
  <c r="M355" i="1"/>
  <c r="O355" i="1" s="1"/>
  <c r="P355" i="1" s="1"/>
  <c r="E355" i="1"/>
  <c r="N354" i="1"/>
  <c r="M354" i="1"/>
  <c r="O354" i="1" s="1"/>
  <c r="P354" i="1" s="1"/>
  <c r="E354" i="1"/>
  <c r="N353" i="1"/>
  <c r="M353" i="1"/>
  <c r="O353" i="1" s="1"/>
  <c r="P353" i="1" s="1"/>
  <c r="E353" i="1"/>
  <c r="N352" i="1"/>
  <c r="M352" i="1"/>
  <c r="E352" i="1"/>
  <c r="N351" i="1"/>
  <c r="M351" i="1"/>
  <c r="E351" i="1"/>
  <c r="N350" i="1"/>
  <c r="M350" i="1"/>
  <c r="O350" i="1" s="1"/>
  <c r="P350" i="1" s="1"/>
  <c r="E350" i="1"/>
  <c r="N349" i="1"/>
  <c r="M349" i="1"/>
  <c r="O349" i="1" s="1"/>
  <c r="P349" i="1" s="1"/>
  <c r="E349" i="1"/>
  <c r="N348" i="1"/>
  <c r="M348" i="1"/>
  <c r="O348" i="1" s="1"/>
  <c r="P348" i="1" s="1"/>
  <c r="E348" i="1"/>
  <c r="N347" i="1"/>
  <c r="M347" i="1"/>
  <c r="E347" i="1"/>
  <c r="N346" i="1"/>
  <c r="M346" i="1"/>
  <c r="O346" i="1" s="1"/>
  <c r="P346" i="1" s="1"/>
  <c r="E346" i="1"/>
  <c r="N345" i="1"/>
  <c r="M345" i="1"/>
  <c r="O345" i="1" s="1"/>
  <c r="P345" i="1" s="1"/>
  <c r="E345" i="1"/>
  <c r="N344" i="1"/>
  <c r="M344" i="1"/>
  <c r="O344" i="1" s="1"/>
  <c r="P344" i="1" s="1"/>
  <c r="E344" i="1"/>
  <c r="N343" i="1"/>
  <c r="M343" i="1"/>
  <c r="E343" i="1"/>
  <c r="N342" i="1"/>
  <c r="M342" i="1"/>
  <c r="O342" i="1" s="1"/>
  <c r="P342" i="1" s="1"/>
  <c r="E342" i="1"/>
  <c r="N341" i="1"/>
  <c r="M341" i="1"/>
  <c r="O341" i="1" s="1"/>
  <c r="P341" i="1" s="1"/>
  <c r="E341" i="1"/>
  <c r="N340" i="1"/>
  <c r="M340" i="1"/>
  <c r="O340" i="1" s="1"/>
  <c r="P340" i="1" s="1"/>
  <c r="E340" i="1"/>
  <c r="N339" i="1"/>
  <c r="M339" i="1"/>
  <c r="O339" i="1" s="1"/>
  <c r="P339" i="1" s="1"/>
  <c r="E339" i="1"/>
  <c r="N338" i="1"/>
  <c r="M338" i="1"/>
  <c r="O338" i="1" s="1"/>
  <c r="P338" i="1" s="1"/>
  <c r="E338" i="1"/>
  <c r="N337" i="1"/>
  <c r="M337" i="1"/>
  <c r="O337" i="1" s="1"/>
  <c r="P337" i="1" s="1"/>
  <c r="E337" i="1"/>
  <c r="N336" i="1"/>
  <c r="M336" i="1"/>
  <c r="O336" i="1" s="1"/>
  <c r="P336" i="1" s="1"/>
  <c r="E336" i="1"/>
  <c r="N335" i="1"/>
  <c r="M335" i="1"/>
  <c r="O335" i="1" s="1"/>
  <c r="P335" i="1" s="1"/>
  <c r="E335" i="1"/>
  <c r="N334" i="1"/>
  <c r="M334" i="1"/>
  <c r="O334" i="1" s="1"/>
  <c r="P334" i="1" s="1"/>
  <c r="E334" i="1"/>
  <c r="N333" i="1"/>
  <c r="M333" i="1"/>
  <c r="O333" i="1" s="1"/>
  <c r="P333" i="1" s="1"/>
  <c r="E333" i="1"/>
  <c r="N332" i="1"/>
  <c r="M332" i="1"/>
  <c r="O332" i="1" s="1"/>
  <c r="P332" i="1" s="1"/>
  <c r="E332" i="1"/>
  <c r="N331" i="1"/>
  <c r="M331" i="1"/>
  <c r="O331" i="1" s="1"/>
  <c r="P331" i="1" s="1"/>
  <c r="E331" i="1"/>
  <c r="N330" i="1"/>
  <c r="M330" i="1"/>
  <c r="O330" i="1" s="1"/>
  <c r="P330" i="1" s="1"/>
  <c r="E330" i="1"/>
  <c r="N329" i="1"/>
  <c r="M329" i="1"/>
  <c r="O329" i="1" s="1"/>
  <c r="P329" i="1" s="1"/>
  <c r="E329" i="1"/>
  <c r="N328" i="1"/>
  <c r="M328" i="1"/>
  <c r="O328" i="1" s="1"/>
  <c r="P328" i="1" s="1"/>
  <c r="E328" i="1"/>
  <c r="N327" i="1"/>
  <c r="M327" i="1"/>
  <c r="O327" i="1" s="1"/>
  <c r="P327" i="1" s="1"/>
  <c r="E327" i="1"/>
  <c r="N326" i="1"/>
  <c r="M326" i="1"/>
  <c r="O326" i="1" s="1"/>
  <c r="P326" i="1" s="1"/>
  <c r="E326" i="1"/>
  <c r="N325" i="1"/>
  <c r="M325" i="1"/>
  <c r="O325" i="1" s="1"/>
  <c r="P325" i="1" s="1"/>
  <c r="E325" i="1"/>
  <c r="N324" i="1"/>
  <c r="M324" i="1"/>
  <c r="O324" i="1" s="1"/>
  <c r="P324" i="1" s="1"/>
  <c r="E324" i="1"/>
  <c r="N323" i="1"/>
  <c r="M323" i="1"/>
  <c r="O323" i="1" s="1"/>
  <c r="P323" i="1" s="1"/>
  <c r="E323" i="1"/>
  <c r="N322" i="1"/>
  <c r="M322" i="1"/>
  <c r="O322" i="1" s="1"/>
  <c r="P322" i="1" s="1"/>
  <c r="E322" i="1"/>
  <c r="N321" i="1"/>
  <c r="M321" i="1"/>
  <c r="O321" i="1" s="1"/>
  <c r="P321" i="1" s="1"/>
  <c r="E321" i="1"/>
  <c r="N320" i="1"/>
  <c r="M320" i="1"/>
  <c r="O320" i="1" s="1"/>
  <c r="P320" i="1" s="1"/>
  <c r="E320" i="1"/>
  <c r="N319" i="1"/>
  <c r="M319" i="1"/>
  <c r="O319" i="1" s="1"/>
  <c r="P319" i="1" s="1"/>
  <c r="E319" i="1"/>
  <c r="N318" i="1"/>
  <c r="M318" i="1"/>
  <c r="O318" i="1" s="1"/>
  <c r="P318" i="1" s="1"/>
  <c r="E318" i="1"/>
  <c r="N317" i="1"/>
  <c r="M317" i="1"/>
  <c r="O317" i="1" s="1"/>
  <c r="P317" i="1" s="1"/>
  <c r="E317" i="1"/>
  <c r="N316" i="1"/>
  <c r="M316" i="1"/>
  <c r="O316" i="1" s="1"/>
  <c r="P316" i="1" s="1"/>
  <c r="E316" i="1"/>
  <c r="N315" i="1"/>
  <c r="M315" i="1"/>
  <c r="O315" i="1" s="1"/>
  <c r="P315" i="1" s="1"/>
  <c r="E315" i="1"/>
  <c r="N314" i="1"/>
  <c r="M314" i="1"/>
  <c r="O314" i="1" s="1"/>
  <c r="P314" i="1" s="1"/>
  <c r="E314" i="1"/>
  <c r="N313" i="1"/>
  <c r="M313" i="1"/>
  <c r="O313" i="1" s="1"/>
  <c r="P313" i="1" s="1"/>
  <c r="E313" i="1"/>
  <c r="N312" i="1"/>
  <c r="M312" i="1"/>
  <c r="O312" i="1" s="1"/>
  <c r="P312" i="1" s="1"/>
  <c r="E312" i="1"/>
  <c r="N311" i="1"/>
  <c r="M311" i="1"/>
  <c r="O311" i="1" s="1"/>
  <c r="P311" i="1" s="1"/>
  <c r="E311" i="1"/>
  <c r="N310" i="1"/>
  <c r="M310" i="1"/>
  <c r="O310" i="1" s="1"/>
  <c r="P310" i="1" s="1"/>
  <c r="E310" i="1"/>
  <c r="N309" i="1"/>
  <c r="M309" i="1"/>
  <c r="O309" i="1" s="1"/>
  <c r="P309" i="1" s="1"/>
  <c r="E309" i="1"/>
  <c r="N308" i="1"/>
  <c r="M308" i="1"/>
  <c r="O308" i="1" s="1"/>
  <c r="P308" i="1" s="1"/>
  <c r="E308" i="1"/>
  <c r="N307" i="1"/>
  <c r="M307" i="1"/>
  <c r="O307" i="1" s="1"/>
  <c r="P307" i="1" s="1"/>
  <c r="E307" i="1"/>
  <c r="N306" i="1"/>
  <c r="M306" i="1"/>
  <c r="O306" i="1" s="1"/>
  <c r="P306" i="1" s="1"/>
  <c r="E306" i="1"/>
  <c r="N305" i="1"/>
  <c r="M305" i="1"/>
  <c r="O305" i="1" s="1"/>
  <c r="P305" i="1" s="1"/>
  <c r="E305" i="1"/>
  <c r="N304" i="1"/>
  <c r="M304" i="1"/>
  <c r="O304" i="1" s="1"/>
  <c r="P304" i="1" s="1"/>
  <c r="E304" i="1"/>
  <c r="N303" i="1"/>
  <c r="M303" i="1"/>
  <c r="O303" i="1" s="1"/>
  <c r="P303" i="1" s="1"/>
  <c r="E303" i="1"/>
  <c r="N302" i="1"/>
  <c r="M302" i="1"/>
  <c r="O302" i="1" s="1"/>
  <c r="P302" i="1" s="1"/>
  <c r="E302" i="1"/>
  <c r="N301" i="1"/>
  <c r="M301" i="1"/>
  <c r="O301" i="1" s="1"/>
  <c r="P301" i="1" s="1"/>
  <c r="E301" i="1"/>
  <c r="N300" i="1"/>
  <c r="M300" i="1"/>
  <c r="O300" i="1" s="1"/>
  <c r="P300" i="1" s="1"/>
  <c r="E300" i="1"/>
  <c r="N299" i="1"/>
  <c r="M299" i="1"/>
  <c r="O299" i="1" s="1"/>
  <c r="P299" i="1" s="1"/>
  <c r="E299" i="1"/>
  <c r="N298" i="1"/>
  <c r="M298" i="1"/>
  <c r="O298" i="1" s="1"/>
  <c r="P298" i="1" s="1"/>
  <c r="E298" i="1"/>
  <c r="N297" i="1"/>
  <c r="M297" i="1"/>
  <c r="O297" i="1" s="1"/>
  <c r="P297" i="1" s="1"/>
  <c r="E297" i="1"/>
  <c r="N296" i="1"/>
  <c r="M296" i="1"/>
  <c r="O296" i="1" s="1"/>
  <c r="P296" i="1" s="1"/>
  <c r="E296" i="1"/>
  <c r="N295" i="1"/>
  <c r="M295" i="1"/>
  <c r="O295" i="1" s="1"/>
  <c r="P295" i="1" s="1"/>
  <c r="E295" i="1"/>
  <c r="N294" i="1"/>
  <c r="M294" i="1"/>
  <c r="O294" i="1" s="1"/>
  <c r="P294" i="1" s="1"/>
  <c r="E294" i="1"/>
  <c r="N293" i="1"/>
  <c r="M293" i="1"/>
  <c r="O293" i="1" s="1"/>
  <c r="P293" i="1" s="1"/>
  <c r="E293" i="1"/>
  <c r="N292" i="1"/>
  <c r="M292" i="1"/>
  <c r="O292" i="1" s="1"/>
  <c r="P292" i="1" s="1"/>
  <c r="E292" i="1"/>
  <c r="N291" i="1"/>
  <c r="M291" i="1"/>
  <c r="O291" i="1" s="1"/>
  <c r="P291" i="1" s="1"/>
  <c r="E291" i="1"/>
  <c r="N290" i="1"/>
  <c r="M290" i="1"/>
  <c r="O290" i="1" s="1"/>
  <c r="P290" i="1" s="1"/>
  <c r="E290" i="1"/>
  <c r="N289" i="1"/>
  <c r="M289" i="1"/>
  <c r="O289" i="1" s="1"/>
  <c r="P289" i="1" s="1"/>
  <c r="E289" i="1"/>
  <c r="N288" i="1"/>
  <c r="M288" i="1"/>
  <c r="O288" i="1" s="1"/>
  <c r="P288" i="1" s="1"/>
  <c r="E288" i="1"/>
  <c r="N287" i="1"/>
  <c r="M287" i="1"/>
  <c r="O287" i="1" s="1"/>
  <c r="P287" i="1" s="1"/>
  <c r="E287" i="1"/>
  <c r="N286" i="1"/>
  <c r="M286" i="1"/>
  <c r="O286" i="1" s="1"/>
  <c r="P286" i="1" s="1"/>
  <c r="E286" i="1"/>
  <c r="N285" i="1"/>
  <c r="M285" i="1"/>
  <c r="O285" i="1" s="1"/>
  <c r="P285" i="1" s="1"/>
  <c r="E285" i="1"/>
  <c r="N284" i="1"/>
  <c r="M284" i="1"/>
  <c r="O284" i="1" s="1"/>
  <c r="P284" i="1" s="1"/>
  <c r="E284" i="1"/>
  <c r="N283" i="1"/>
  <c r="M283" i="1"/>
  <c r="O283" i="1" s="1"/>
  <c r="P283" i="1" s="1"/>
  <c r="E283" i="1"/>
  <c r="N282" i="1"/>
  <c r="M282" i="1"/>
  <c r="O282" i="1" s="1"/>
  <c r="P282" i="1" s="1"/>
  <c r="E282" i="1"/>
  <c r="N281" i="1"/>
  <c r="M281" i="1"/>
  <c r="O281" i="1" s="1"/>
  <c r="P281" i="1" s="1"/>
  <c r="E281" i="1"/>
  <c r="N280" i="1"/>
  <c r="M280" i="1"/>
  <c r="O280" i="1" s="1"/>
  <c r="P280" i="1" s="1"/>
  <c r="E280" i="1"/>
  <c r="N279" i="1"/>
  <c r="M279" i="1"/>
  <c r="O279" i="1" s="1"/>
  <c r="P279" i="1" s="1"/>
  <c r="E279" i="1"/>
  <c r="N278" i="1"/>
  <c r="M278" i="1"/>
  <c r="O278" i="1" s="1"/>
  <c r="P278" i="1" s="1"/>
  <c r="E278" i="1"/>
  <c r="N277" i="1"/>
  <c r="M277" i="1"/>
  <c r="O277" i="1" s="1"/>
  <c r="P277" i="1" s="1"/>
  <c r="E277" i="1"/>
  <c r="N276" i="1"/>
  <c r="M276" i="1"/>
  <c r="O276" i="1" s="1"/>
  <c r="P276" i="1" s="1"/>
  <c r="E276" i="1"/>
  <c r="N275" i="1"/>
  <c r="M275" i="1"/>
  <c r="O275" i="1" s="1"/>
  <c r="P275" i="1" s="1"/>
  <c r="E275" i="1"/>
  <c r="N274" i="1"/>
  <c r="M274" i="1"/>
  <c r="O274" i="1" s="1"/>
  <c r="P274" i="1" s="1"/>
  <c r="E274" i="1"/>
  <c r="N273" i="1"/>
  <c r="M273" i="1"/>
  <c r="O273" i="1" s="1"/>
  <c r="P273" i="1" s="1"/>
  <c r="E273" i="1"/>
  <c r="N272" i="1"/>
  <c r="M272" i="1"/>
  <c r="O272" i="1" s="1"/>
  <c r="P272" i="1" s="1"/>
  <c r="E272" i="1"/>
  <c r="N271" i="1"/>
  <c r="M271" i="1"/>
  <c r="O271" i="1" s="1"/>
  <c r="P271" i="1" s="1"/>
  <c r="E271" i="1"/>
  <c r="N270" i="1"/>
  <c r="M270" i="1"/>
  <c r="O270" i="1" s="1"/>
  <c r="P270" i="1" s="1"/>
  <c r="E270" i="1"/>
  <c r="N269" i="1"/>
  <c r="M269" i="1"/>
  <c r="O269" i="1" s="1"/>
  <c r="P269" i="1" s="1"/>
  <c r="E269" i="1"/>
  <c r="N268" i="1"/>
  <c r="M268" i="1"/>
  <c r="O268" i="1" s="1"/>
  <c r="P268" i="1" s="1"/>
  <c r="E268" i="1"/>
  <c r="N267" i="1"/>
  <c r="M267" i="1"/>
  <c r="O267" i="1" s="1"/>
  <c r="P267" i="1" s="1"/>
  <c r="E267" i="1"/>
  <c r="N266" i="1"/>
  <c r="M266" i="1"/>
  <c r="O266" i="1" s="1"/>
  <c r="P266" i="1" s="1"/>
  <c r="E266" i="1"/>
  <c r="N265" i="1"/>
  <c r="M265" i="1"/>
  <c r="O265" i="1" s="1"/>
  <c r="P265" i="1" s="1"/>
  <c r="E265" i="1"/>
  <c r="N264" i="1"/>
  <c r="M264" i="1"/>
  <c r="O264" i="1" s="1"/>
  <c r="P264" i="1" s="1"/>
  <c r="E264" i="1"/>
  <c r="N263" i="1"/>
  <c r="M263" i="1"/>
  <c r="O263" i="1" s="1"/>
  <c r="P263" i="1" s="1"/>
  <c r="E263" i="1"/>
  <c r="N262" i="1"/>
  <c r="M262" i="1"/>
  <c r="O262" i="1" s="1"/>
  <c r="P262" i="1" s="1"/>
  <c r="E262" i="1"/>
  <c r="N261" i="1"/>
  <c r="M261" i="1"/>
  <c r="O261" i="1" s="1"/>
  <c r="P261" i="1" s="1"/>
  <c r="E261" i="1"/>
  <c r="N260" i="1"/>
  <c r="M260" i="1"/>
  <c r="O260" i="1" s="1"/>
  <c r="P260" i="1" s="1"/>
  <c r="E260" i="1"/>
  <c r="N259" i="1"/>
  <c r="M259" i="1"/>
  <c r="O259" i="1" s="1"/>
  <c r="P259" i="1" s="1"/>
  <c r="E259" i="1"/>
  <c r="N258" i="1"/>
  <c r="M258" i="1"/>
  <c r="O258" i="1" s="1"/>
  <c r="P258" i="1" s="1"/>
  <c r="E258" i="1"/>
  <c r="N257" i="1"/>
  <c r="M257" i="1"/>
  <c r="O257" i="1" s="1"/>
  <c r="P257" i="1" s="1"/>
  <c r="E257" i="1"/>
  <c r="N256" i="1"/>
  <c r="M256" i="1"/>
  <c r="O256" i="1" s="1"/>
  <c r="P256" i="1" s="1"/>
  <c r="E256" i="1"/>
  <c r="N255" i="1"/>
  <c r="M255" i="1"/>
  <c r="O255" i="1" s="1"/>
  <c r="P255" i="1" s="1"/>
  <c r="E255" i="1"/>
  <c r="N254" i="1"/>
  <c r="M254" i="1"/>
  <c r="O254" i="1" s="1"/>
  <c r="P254" i="1" s="1"/>
  <c r="E254" i="1"/>
  <c r="N253" i="1"/>
  <c r="M253" i="1"/>
  <c r="O253" i="1" s="1"/>
  <c r="P253" i="1" s="1"/>
  <c r="E253" i="1"/>
  <c r="N252" i="1"/>
  <c r="M252" i="1"/>
  <c r="O252" i="1" s="1"/>
  <c r="P252" i="1" s="1"/>
  <c r="E252" i="1"/>
  <c r="N251" i="1"/>
  <c r="M251" i="1"/>
  <c r="O251" i="1" s="1"/>
  <c r="P251" i="1" s="1"/>
  <c r="E251" i="1"/>
  <c r="N250" i="1"/>
  <c r="M250" i="1"/>
  <c r="O250" i="1" s="1"/>
  <c r="P250" i="1" s="1"/>
  <c r="E250" i="1"/>
  <c r="N249" i="1"/>
  <c r="M249" i="1"/>
  <c r="O249" i="1" s="1"/>
  <c r="P249" i="1" s="1"/>
  <c r="E249" i="1"/>
  <c r="N248" i="1"/>
  <c r="M248" i="1"/>
  <c r="O248" i="1" s="1"/>
  <c r="P248" i="1" s="1"/>
  <c r="E248" i="1"/>
  <c r="N247" i="1"/>
  <c r="M247" i="1"/>
  <c r="O247" i="1" s="1"/>
  <c r="P247" i="1" s="1"/>
  <c r="E247" i="1"/>
  <c r="N246" i="1"/>
  <c r="M246" i="1"/>
  <c r="O246" i="1" s="1"/>
  <c r="P246" i="1" s="1"/>
  <c r="E246" i="1"/>
  <c r="N245" i="1"/>
  <c r="M245" i="1"/>
  <c r="O245" i="1" s="1"/>
  <c r="P245" i="1" s="1"/>
  <c r="E245" i="1"/>
  <c r="N244" i="1"/>
  <c r="M244" i="1"/>
  <c r="O244" i="1" s="1"/>
  <c r="P244" i="1" s="1"/>
  <c r="E244" i="1"/>
  <c r="N243" i="1"/>
  <c r="M243" i="1"/>
  <c r="O243" i="1" s="1"/>
  <c r="P243" i="1" s="1"/>
  <c r="E243" i="1"/>
  <c r="N242" i="1"/>
  <c r="M242" i="1"/>
  <c r="O242" i="1" s="1"/>
  <c r="P242" i="1" s="1"/>
  <c r="E242" i="1"/>
  <c r="N241" i="1"/>
  <c r="M241" i="1"/>
  <c r="O241" i="1" s="1"/>
  <c r="P241" i="1" s="1"/>
  <c r="E241" i="1"/>
  <c r="N240" i="1"/>
  <c r="M240" i="1"/>
  <c r="O240" i="1" s="1"/>
  <c r="P240" i="1" s="1"/>
  <c r="E240" i="1"/>
  <c r="N239" i="1"/>
  <c r="M239" i="1"/>
  <c r="O239" i="1" s="1"/>
  <c r="P239" i="1" s="1"/>
  <c r="E239" i="1"/>
  <c r="N238" i="1"/>
  <c r="M238" i="1"/>
  <c r="O238" i="1" s="1"/>
  <c r="P238" i="1" s="1"/>
  <c r="E238" i="1"/>
  <c r="N237" i="1"/>
  <c r="M237" i="1"/>
  <c r="O237" i="1" s="1"/>
  <c r="P237" i="1" s="1"/>
  <c r="E237" i="1"/>
  <c r="N236" i="1"/>
  <c r="M236" i="1"/>
  <c r="O236" i="1" s="1"/>
  <c r="P236" i="1" s="1"/>
  <c r="E236" i="1"/>
  <c r="N235" i="1"/>
  <c r="M235" i="1"/>
  <c r="O235" i="1" s="1"/>
  <c r="P235" i="1" s="1"/>
  <c r="E235" i="1"/>
  <c r="N234" i="1"/>
  <c r="M234" i="1"/>
  <c r="O234" i="1" s="1"/>
  <c r="P234" i="1" s="1"/>
  <c r="E234" i="1"/>
  <c r="N233" i="1"/>
  <c r="M233" i="1"/>
  <c r="O233" i="1" s="1"/>
  <c r="P233" i="1" s="1"/>
  <c r="E233" i="1"/>
  <c r="N232" i="1"/>
  <c r="M232" i="1"/>
  <c r="O232" i="1" s="1"/>
  <c r="P232" i="1" s="1"/>
  <c r="E232" i="1"/>
  <c r="N231" i="1"/>
  <c r="M231" i="1"/>
  <c r="O231" i="1" s="1"/>
  <c r="P231" i="1" s="1"/>
  <c r="E231" i="1"/>
  <c r="N230" i="1"/>
  <c r="M230" i="1"/>
  <c r="O230" i="1" s="1"/>
  <c r="P230" i="1" s="1"/>
  <c r="E230" i="1"/>
  <c r="N229" i="1"/>
  <c r="M229" i="1"/>
  <c r="O229" i="1" s="1"/>
  <c r="P229" i="1" s="1"/>
  <c r="E229" i="1"/>
  <c r="N228" i="1"/>
  <c r="M228" i="1"/>
  <c r="O228" i="1" s="1"/>
  <c r="P228" i="1" s="1"/>
  <c r="E228" i="1"/>
  <c r="N227" i="1"/>
  <c r="M227" i="1"/>
  <c r="O227" i="1" s="1"/>
  <c r="P227" i="1" s="1"/>
  <c r="E227" i="1"/>
  <c r="N226" i="1"/>
  <c r="M226" i="1"/>
  <c r="O226" i="1" s="1"/>
  <c r="P226" i="1" s="1"/>
  <c r="E226" i="1"/>
  <c r="N225" i="1"/>
  <c r="M225" i="1"/>
  <c r="O225" i="1" s="1"/>
  <c r="P225" i="1" s="1"/>
  <c r="E225" i="1"/>
  <c r="N224" i="1"/>
  <c r="M224" i="1"/>
  <c r="O224" i="1" s="1"/>
  <c r="P224" i="1" s="1"/>
  <c r="E224" i="1"/>
  <c r="N223" i="1"/>
  <c r="M223" i="1"/>
  <c r="O223" i="1" s="1"/>
  <c r="P223" i="1" s="1"/>
  <c r="E223" i="1"/>
  <c r="N222" i="1"/>
  <c r="M222" i="1"/>
  <c r="O222" i="1" s="1"/>
  <c r="P222" i="1" s="1"/>
  <c r="E222" i="1"/>
  <c r="N221" i="1"/>
  <c r="M221" i="1"/>
  <c r="O221" i="1" s="1"/>
  <c r="P221" i="1" s="1"/>
  <c r="E221" i="1"/>
  <c r="N220" i="1"/>
  <c r="M220" i="1"/>
  <c r="O220" i="1" s="1"/>
  <c r="P220" i="1" s="1"/>
  <c r="E220" i="1"/>
  <c r="N219" i="1"/>
  <c r="M219" i="1"/>
  <c r="O219" i="1" s="1"/>
  <c r="P219" i="1" s="1"/>
  <c r="E219" i="1"/>
  <c r="N218" i="1"/>
  <c r="M218" i="1"/>
  <c r="O218" i="1" s="1"/>
  <c r="P218" i="1" s="1"/>
  <c r="E218" i="1"/>
  <c r="N217" i="1"/>
  <c r="M217" i="1"/>
  <c r="O217" i="1" s="1"/>
  <c r="P217" i="1" s="1"/>
  <c r="E217" i="1"/>
  <c r="N216" i="1"/>
  <c r="M216" i="1"/>
  <c r="O216" i="1" s="1"/>
  <c r="P216" i="1" s="1"/>
  <c r="E216" i="1"/>
  <c r="N215" i="1"/>
  <c r="M215" i="1"/>
  <c r="O215" i="1" s="1"/>
  <c r="P215" i="1" s="1"/>
  <c r="E215" i="1"/>
  <c r="N214" i="1"/>
  <c r="M214" i="1"/>
  <c r="O214" i="1" s="1"/>
  <c r="P214" i="1" s="1"/>
  <c r="E214" i="1"/>
  <c r="N213" i="1"/>
  <c r="M213" i="1"/>
  <c r="O213" i="1" s="1"/>
  <c r="P213" i="1" s="1"/>
  <c r="E213" i="1"/>
  <c r="N212" i="1"/>
  <c r="M212" i="1"/>
  <c r="O212" i="1" s="1"/>
  <c r="P212" i="1" s="1"/>
  <c r="E212" i="1"/>
  <c r="N211" i="1"/>
  <c r="M211" i="1"/>
  <c r="O211" i="1" s="1"/>
  <c r="P211" i="1" s="1"/>
  <c r="E211" i="1"/>
  <c r="N210" i="1"/>
  <c r="M210" i="1"/>
  <c r="O210" i="1" s="1"/>
  <c r="P210" i="1" s="1"/>
  <c r="E210" i="1"/>
  <c r="N209" i="1"/>
  <c r="M209" i="1"/>
  <c r="O209" i="1" s="1"/>
  <c r="P209" i="1" s="1"/>
  <c r="E209" i="1"/>
  <c r="N208" i="1"/>
  <c r="M208" i="1"/>
  <c r="O208" i="1" s="1"/>
  <c r="P208" i="1" s="1"/>
  <c r="E208" i="1"/>
  <c r="N207" i="1"/>
  <c r="M207" i="1"/>
  <c r="O207" i="1" s="1"/>
  <c r="P207" i="1" s="1"/>
  <c r="E207" i="1"/>
  <c r="N206" i="1"/>
  <c r="M206" i="1"/>
  <c r="O206" i="1" s="1"/>
  <c r="P206" i="1" s="1"/>
  <c r="E206" i="1"/>
  <c r="N205" i="1"/>
  <c r="M205" i="1"/>
  <c r="O205" i="1" s="1"/>
  <c r="P205" i="1" s="1"/>
  <c r="E205" i="1"/>
  <c r="N204" i="1"/>
  <c r="M204" i="1"/>
  <c r="O204" i="1" s="1"/>
  <c r="P204" i="1" s="1"/>
  <c r="E204" i="1"/>
  <c r="N203" i="1"/>
  <c r="M203" i="1"/>
  <c r="O203" i="1" s="1"/>
  <c r="P203" i="1" s="1"/>
  <c r="E203" i="1"/>
  <c r="N202" i="1"/>
  <c r="M202" i="1"/>
  <c r="O202" i="1" s="1"/>
  <c r="P202" i="1" s="1"/>
  <c r="E202" i="1"/>
  <c r="N201" i="1"/>
  <c r="M201" i="1"/>
  <c r="O201" i="1" s="1"/>
  <c r="P201" i="1" s="1"/>
  <c r="E201" i="1"/>
  <c r="N200" i="1"/>
  <c r="M200" i="1"/>
  <c r="O200" i="1" s="1"/>
  <c r="P200" i="1" s="1"/>
  <c r="E200" i="1"/>
  <c r="N199" i="1"/>
  <c r="M199" i="1"/>
  <c r="O199" i="1" s="1"/>
  <c r="P199" i="1" s="1"/>
  <c r="E199" i="1"/>
  <c r="N198" i="1"/>
  <c r="M198" i="1"/>
  <c r="O198" i="1" s="1"/>
  <c r="P198" i="1" s="1"/>
  <c r="E198" i="1"/>
  <c r="N197" i="1"/>
  <c r="M197" i="1"/>
  <c r="O197" i="1" s="1"/>
  <c r="P197" i="1" s="1"/>
  <c r="E197" i="1"/>
  <c r="N196" i="1"/>
  <c r="M196" i="1"/>
  <c r="O196" i="1" s="1"/>
  <c r="P196" i="1" s="1"/>
  <c r="E196" i="1"/>
  <c r="N195" i="1"/>
  <c r="M195" i="1"/>
  <c r="O195" i="1" s="1"/>
  <c r="P195" i="1" s="1"/>
  <c r="E195" i="1"/>
  <c r="N194" i="1"/>
  <c r="M194" i="1"/>
  <c r="O194" i="1" s="1"/>
  <c r="P194" i="1" s="1"/>
  <c r="E194" i="1"/>
  <c r="N193" i="1"/>
  <c r="M193" i="1"/>
  <c r="O193" i="1" s="1"/>
  <c r="P193" i="1" s="1"/>
  <c r="E193" i="1"/>
  <c r="N192" i="1"/>
  <c r="M192" i="1"/>
  <c r="O192" i="1" s="1"/>
  <c r="P192" i="1" s="1"/>
  <c r="E192" i="1"/>
  <c r="N191" i="1"/>
  <c r="M191" i="1"/>
  <c r="O191" i="1" s="1"/>
  <c r="P191" i="1" s="1"/>
  <c r="E191" i="1"/>
  <c r="N190" i="1"/>
  <c r="M190" i="1"/>
  <c r="O190" i="1" s="1"/>
  <c r="P190" i="1" s="1"/>
  <c r="E190" i="1"/>
  <c r="N189" i="1"/>
  <c r="M189" i="1"/>
  <c r="O189" i="1" s="1"/>
  <c r="P189" i="1" s="1"/>
  <c r="E189" i="1"/>
  <c r="N188" i="1"/>
  <c r="M188" i="1"/>
  <c r="O188" i="1" s="1"/>
  <c r="P188" i="1" s="1"/>
  <c r="E188" i="1"/>
  <c r="N187" i="1"/>
  <c r="M187" i="1"/>
  <c r="O187" i="1" s="1"/>
  <c r="P187" i="1" s="1"/>
  <c r="E187" i="1"/>
  <c r="N186" i="1"/>
  <c r="M186" i="1"/>
  <c r="O186" i="1" s="1"/>
  <c r="P186" i="1" s="1"/>
  <c r="E186" i="1"/>
  <c r="N185" i="1"/>
  <c r="M185" i="1"/>
  <c r="O185" i="1" s="1"/>
  <c r="P185" i="1" s="1"/>
  <c r="E185" i="1"/>
  <c r="N184" i="1"/>
  <c r="M184" i="1"/>
  <c r="O184" i="1" s="1"/>
  <c r="P184" i="1" s="1"/>
  <c r="E184" i="1"/>
  <c r="N183" i="1"/>
  <c r="M183" i="1"/>
  <c r="O183" i="1" s="1"/>
  <c r="P183" i="1" s="1"/>
  <c r="E183" i="1"/>
  <c r="N182" i="1"/>
  <c r="M182" i="1"/>
  <c r="O182" i="1" s="1"/>
  <c r="P182" i="1" s="1"/>
  <c r="E182" i="1"/>
  <c r="N181" i="1"/>
  <c r="M181" i="1"/>
  <c r="O181" i="1" s="1"/>
  <c r="P181" i="1" s="1"/>
  <c r="E181" i="1"/>
  <c r="N180" i="1"/>
  <c r="M180" i="1"/>
  <c r="O180" i="1" s="1"/>
  <c r="P180" i="1" s="1"/>
  <c r="E180" i="1"/>
  <c r="N179" i="1"/>
  <c r="M179" i="1"/>
  <c r="O179" i="1" s="1"/>
  <c r="P179" i="1" s="1"/>
  <c r="E179" i="1"/>
  <c r="N178" i="1"/>
  <c r="M178" i="1"/>
  <c r="O178" i="1" s="1"/>
  <c r="P178" i="1" s="1"/>
  <c r="E178" i="1"/>
  <c r="N177" i="1"/>
  <c r="M177" i="1"/>
  <c r="O177" i="1" s="1"/>
  <c r="P177" i="1" s="1"/>
  <c r="E177" i="1"/>
  <c r="N176" i="1"/>
  <c r="M176" i="1"/>
  <c r="O176" i="1" s="1"/>
  <c r="P176" i="1" s="1"/>
  <c r="E176" i="1"/>
  <c r="N175" i="1"/>
  <c r="M175" i="1"/>
  <c r="O175" i="1" s="1"/>
  <c r="P175" i="1" s="1"/>
  <c r="E175" i="1"/>
  <c r="N174" i="1"/>
  <c r="M174" i="1"/>
  <c r="O174" i="1" s="1"/>
  <c r="P174" i="1" s="1"/>
  <c r="E174" i="1"/>
  <c r="N173" i="1"/>
  <c r="M173" i="1"/>
  <c r="O173" i="1" s="1"/>
  <c r="P173" i="1" s="1"/>
  <c r="E173" i="1"/>
  <c r="N172" i="1"/>
  <c r="M172" i="1"/>
  <c r="O172" i="1" s="1"/>
  <c r="P172" i="1" s="1"/>
  <c r="E172" i="1"/>
  <c r="N171" i="1"/>
  <c r="M171" i="1"/>
  <c r="O171" i="1" s="1"/>
  <c r="P171" i="1" s="1"/>
  <c r="E171" i="1"/>
  <c r="N170" i="1"/>
  <c r="M170" i="1"/>
  <c r="O170" i="1" s="1"/>
  <c r="P170" i="1" s="1"/>
  <c r="E170" i="1"/>
  <c r="N169" i="1"/>
  <c r="M169" i="1"/>
  <c r="O169" i="1" s="1"/>
  <c r="P169" i="1" s="1"/>
  <c r="E169" i="1"/>
  <c r="N168" i="1"/>
  <c r="M168" i="1"/>
  <c r="O168" i="1" s="1"/>
  <c r="P168" i="1" s="1"/>
  <c r="E168" i="1"/>
  <c r="N167" i="1"/>
  <c r="M167" i="1"/>
  <c r="O167" i="1" s="1"/>
  <c r="P167" i="1" s="1"/>
  <c r="E167" i="1"/>
  <c r="N166" i="1"/>
  <c r="M166" i="1"/>
  <c r="O166" i="1" s="1"/>
  <c r="P166" i="1" s="1"/>
  <c r="E166" i="1"/>
  <c r="N165" i="1"/>
  <c r="M165" i="1"/>
  <c r="O165" i="1" s="1"/>
  <c r="P165" i="1" s="1"/>
  <c r="E165" i="1"/>
  <c r="N164" i="1"/>
  <c r="M164" i="1"/>
  <c r="O164" i="1" s="1"/>
  <c r="P164" i="1" s="1"/>
  <c r="E164" i="1"/>
  <c r="N163" i="1"/>
  <c r="M163" i="1"/>
  <c r="O163" i="1" s="1"/>
  <c r="P163" i="1" s="1"/>
  <c r="E163" i="1"/>
  <c r="N162" i="1"/>
  <c r="M162" i="1"/>
  <c r="O162" i="1" s="1"/>
  <c r="P162" i="1" s="1"/>
  <c r="E162" i="1"/>
  <c r="N161" i="1"/>
  <c r="M161" i="1"/>
  <c r="E161" i="1"/>
  <c r="N160" i="1"/>
  <c r="M160" i="1"/>
  <c r="O160" i="1" s="1"/>
  <c r="P160" i="1" s="1"/>
  <c r="E160" i="1"/>
  <c r="N159" i="1"/>
  <c r="M159" i="1"/>
  <c r="O159" i="1" s="1"/>
  <c r="P159" i="1" s="1"/>
  <c r="E159" i="1"/>
  <c r="N158" i="1"/>
  <c r="M158" i="1"/>
  <c r="O158" i="1" s="1"/>
  <c r="P158" i="1" s="1"/>
  <c r="E158" i="1"/>
  <c r="N157" i="1"/>
  <c r="M157" i="1"/>
  <c r="O157" i="1" s="1"/>
  <c r="P157" i="1" s="1"/>
  <c r="E157" i="1"/>
  <c r="N156" i="1"/>
  <c r="M156" i="1"/>
  <c r="O156" i="1" s="1"/>
  <c r="P156" i="1" s="1"/>
  <c r="E156" i="1"/>
  <c r="N155" i="1"/>
  <c r="M155" i="1"/>
  <c r="O155" i="1" s="1"/>
  <c r="P155" i="1" s="1"/>
  <c r="E155" i="1"/>
  <c r="N154" i="1"/>
  <c r="M154" i="1"/>
  <c r="O154" i="1" s="1"/>
  <c r="P154" i="1" s="1"/>
  <c r="E154" i="1"/>
  <c r="N153" i="1"/>
  <c r="M153" i="1"/>
  <c r="O153" i="1" s="1"/>
  <c r="P153" i="1" s="1"/>
  <c r="E153" i="1"/>
  <c r="N152" i="1"/>
  <c r="M152" i="1"/>
  <c r="O152" i="1" s="1"/>
  <c r="P152" i="1" s="1"/>
  <c r="E152" i="1"/>
  <c r="N151" i="1"/>
  <c r="M151" i="1"/>
  <c r="O151" i="1" s="1"/>
  <c r="P151" i="1" s="1"/>
  <c r="E151" i="1"/>
  <c r="N150" i="1"/>
  <c r="M150" i="1"/>
  <c r="O150" i="1" s="1"/>
  <c r="P150" i="1" s="1"/>
  <c r="E150" i="1"/>
  <c r="N149" i="1"/>
  <c r="M149" i="1"/>
  <c r="O149" i="1" s="1"/>
  <c r="P149" i="1" s="1"/>
  <c r="E149" i="1"/>
  <c r="N148" i="1"/>
  <c r="M148" i="1"/>
  <c r="O148" i="1" s="1"/>
  <c r="P148" i="1" s="1"/>
  <c r="E148" i="1"/>
  <c r="N147" i="1"/>
  <c r="M147" i="1"/>
  <c r="O147" i="1" s="1"/>
  <c r="P147" i="1" s="1"/>
  <c r="E147" i="1"/>
  <c r="N146" i="1"/>
  <c r="M146" i="1"/>
  <c r="O146" i="1" s="1"/>
  <c r="P146" i="1" s="1"/>
  <c r="E146" i="1"/>
  <c r="N145" i="1"/>
  <c r="M145" i="1"/>
  <c r="O145" i="1" s="1"/>
  <c r="P145" i="1" s="1"/>
  <c r="E145" i="1"/>
  <c r="N144" i="1"/>
  <c r="M144" i="1"/>
  <c r="O144" i="1" s="1"/>
  <c r="P144" i="1" s="1"/>
  <c r="E144" i="1"/>
  <c r="N143" i="1"/>
  <c r="M143" i="1"/>
  <c r="O143" i="1" s="1"/>
  <c r="P143" i="1" s="1"/>
  <c r="E143" i="1"/>
  <c r="N142" i="1"/>
  <c r="M142" i="1"/>
  <c r="O142" i="1" s="1"/>
  <c r="P142" i="1" s="1"/>
  <c r="E142" i="1"/>
  <c r="N141" i="1"/>
  <c r="M141" i="1"/>
  <c r="O141" i="1" s="1"/>
  <c r="P141" i="1" s="1"/>
  <c r="E141" i="1"/>
  <c r="N140" i="1"/>
  <c r="M140" i="1"/>
  <c r="O140" i="1" s="1"/>
  <c r="P140" i="1" s="1"/>
  <c r="E140" i="1"/>
  <c r="N139" i="1"/>
  <c r="M139" i="1"/>
  <c r="O139" i="1" s="1"/>
  <c r="P139" i="1" s="1"/>
  <c r="E139" i="1"/>
  <c r="N138" i="1"/>
  <c r="M138" i="1"/>
  <c r="O138" i="1" s="1"/>
  <c r="P138" i="1" s="1"/>
  <c r="E138" i="1"/>
  <c r="N137" i="1"/>
  <c r="M137" i="1"/>
  <c r="O137" i="1" s="1"/>
  <c r="P137" i="1" s="1"/>
  <c r="E137" i="1"/>
  <c r="N136" i="1"/>
  <c r="M136" i="1"/>
  <c r="O136" i="1" s="1"/>
  <c r="P136" i="1" s="1"/>
  <c r="E136" i="1"/>
  <c r="N135" i="1"/>
  <c r="M135" i="1"/>
  <c r="O135" i="1" s="1"/>
  <c r="P135" i="1" s="1"/>
  <c r="E135" i="1"/>
  <c r="N134" i="1"/>
  <c r="M134" i="1"/>
  <c r="O134" i="1" s="1"/>
  <c r="P134" i="1" s="1"/>
  <c r="E134" i="1"/>
  <c r="N133" i="1"/>
  <c r="M133" i="1"/>
  <c r="O133" i="1" s="1"/>
  <c r="P133" i="1" s="1"/>
  <c r="E133" i="1"/>
  <c r="N132" i="1"/>
  <c r="M132" i="1"/>
  <c r="O132" i="1" s="1"/>
  <c r="P132" i="1" s="1"/>
  <c r="E132" i="1"/>
  <c r="N131" i="1"/>
  <c r="M131" i="1"/>
  <c r="O131" i="1" s="1"/>
  <c r="P131" i="1" s="1"/>
  <c r="E131" i="1"/>
  <c r="N130" i="1"/>
  <c r="M130" i="1"/>
  <c r="O130" i="1" s="1"/>
  <c r="P130" i="1" s="1"/>
  <c r="E130" i="1"/>
  <c r="N129" i="1"/>
  <c r="M129" i="1"/>
  <c r="O129" i="1" s="1"/>
  <c r="P129" i="1" s="1"/>
  <c r="E129" i="1"/>
  <c r="N128" i="1"/>
  <c r="M128" i="1"/>
  <c r="O128" i="1" s="1"/>
  <c r="P128" i="1" s="1"/>
  <c r="E128" i="1"/>
  <c r="N127" i="1"/>
  <c r="M127" i="1"/>
  <c r="O127" i="1" s="1"/>
  <c r="P127" i="1" s="1"/>
  <c r="E127" i="1"/>
  <c r="N126" i="1"/>
  <c r="M126" i="1"/>
  <c r="O126" i="1" s="1"/>
  <c r="P126" i="1" s="1"/>
  <c r="E126" i="1"/>
  <c r="N125" i="1"/>
  <c r="M125" i="1"/>
  <c r="O125" i="1" s="1"/>
  <c r="P125" i="1" s="1"/>
  <c r="E125" i="1"/>
  <c r="N124" i="1"/>
  <c r="M124" i="1"/>
  <c r="O124" i="1" s="1"/>
  <c r="P124" i="1" s="1"/>
  <c r="E124" i="1"/>
  <c r="N123" i="1"/>
  <c r="M123" i="1"/>
  <c r="E123" i="1"/>
  <c r="N122" i="1"/>
  <c r="M122" i="1"/>
  <c r="O122" i="1" s="1"/>
  <c r="P122" i="1" s="1"/>
  <c r="E122" i="1"/>
  <c r="N121" i="1"/>
  <c r="M121" i="1"/>
  <c r="O121" i="1" s="1"/>
  <c r="P121" i="1" s="1"/>
  <c r="E121" i="1"/>
  <c r="N120" i="1"/>
  <c r="M120" i="1"/>
  <c r="O120" i="1" s="1"/>
  <c r="P120" i="1" s="1"/>
  <c r="E120" i="1"/>
  <c r="N119" i="1"/>
  <c r="M119" i="1"/>
  <c r="O119" i="1" s="1"/>
  <c r="P119" i="1" s="1"/>
  <c r="E119" i="1"/>
  <c r="N118" i="1"/>
  <c r="M118" i="1"/>
  <c r="O118" i="1" s="1"/>
  <c r="P118" i="1" s="1"/>
  <c r="E118" i="1"/>
  <c r="N117" i="1"/>
  <c r="M117" i="1"/>
  <c r="O117" i="1" s="1"/>
  <c r="P117" i="1" s="1"/>
  <c r="E117" i="1"/>
  <c r="N116" i="1"/>
  <c r="M116" i="1"/>
  <c r="O116" i="1" s="1"/>
  <c r="P116" i="1" s="1"/>
  <c r="E116" i="1"/>
  <c r="N115" i="1"/>
  <c r="M115" i="1"/>
  <c r="O115" i="1" s="1"/>
  <c r="P115" i="1" s="1"/>
  <c r="E115" i="1"/>
  <c r="N114" i="1"/>
  <c r="M114" i="1"/>
  <c r="O114" i="1" s="1"/>
  <c r="P114" i="1" s="1"/>
  <c r="E114" i="1"/>
  <c r="N113" i="1"/>
  <c r="M113" i="1"/>
  <c r="O113" i="1" s="1"/>
  <c r="P113" i="1" s="1"/>
  <c r="E113" i="1"/>
  <c r="N112" i="1"/>
  <c r="M112" i="1"/>
  <c r="O112" i="1" s="1"/>
  <c r="P112" i="1" s="1"/>
  <c r="E112" i="1"/>
  <c r="N111" i="1"/>
  <c r="M111" i="1"/>
  <c r="O111" i="1" s="1"/>
  <c r="P111" i="1" s="1"/>
  <c r="E111" i="1"/>
  <c r="N110" i="1"/>
  <c r="M110" i="1"/>
  <c r="O110" i="1" s="1"/>
  <c r="P110" i="1" s="1"/>
  <c r="E110" i="1"/>
  <c r="N109" i="1"/>
  <c r="M109" i="1"/>
  <c r="O109" i="1" s="1"/>
  <c r="P109" i="1" s="1"/>
  <c r="E109" i="1"/>
  <c r="N108" i="1"/>
  <c r="M108" i="1"/>
  <c r="O108" i="1" s="1"/>
  <c r="P108" i="1" s="1"/>
  <c r="E108" i="1"/>
  <c r="N107" i="1"/>
  <c r="M107" i="1"/>
  <c r="O107" i="1" s="1"/>
  <c r="P107" i="1" s="1"/>
  <c r="E107" i="1"/>
  <c r="N106" i="1"/>
  <c r="M106" i="1"/>
  <c r="O106" i="1" s="1"/>
  <c r="P106" i="1" s="1"/>
  <c r="E106" i="1"/>
  <c r="N105" i="1"/>
  <c r="M105" i="1"/>
  <c r="O105" i="1" s="1"/>
  <c r="P105" i="1" s="1"/>
  <c r="E105" i="1"/>
  <c r="N104" i="1"/>
  <c r="M104" i="1"/>
  <c r="O104" i="1" s="1"/>
  <c r="P104" i="1" s="1"/>
  <c r="E104" i="1"/>
  <c r="N103" i="1"/>
  <c r="M103" i="1"/>
  <c r="O103" i="1" s="1"/>
  <c r="P103" i="1" s="1"/>
  <c r="E103" i="1"/>
  <c r="N102" i="1"/>
  <c r="M102" i="1"/>
  <c r="O102" i="1" s="1"/>
  <c r="P102" i="1" s="1"/>
  <c r="E102" i="1"/>
  <c r="N101" i="1"/>
  <c r="M101" i="1"/>
  <c r="O101" i="1" s="1"/>
  <c r="P101" i="1" s="1"/>
  <c r="E101" i="1"/>
  <c r="N100" i="1"/>
  <c r="M100" i="1"/>
  <c r="O100" i="1" s="1"/>
  <c r="P100" i="1" s="1"/>
  <c r="E100" i="1"/>
  <c r="N99" i="1"/>
  <c r="M99" i="1"/>
  <c r="O99" i="1" s="1"/>
  <c r="P99" i="1" s="1"/>
  <c r="E99" i="1"/>
  <c r="N98" i="1"/>
  <c r="M98" i="1"/>
  <c r="O98" i="1" s="1"/>
  <c r="P98" i="1" s="1"/>
  <c r="E98" i="1"/>
  <c r="N97" i="1"/>
  <c r="M97" i="1"/>
  <c r="O97" i="1" s="1"/>
  <c r="P97" i="1" s="1"/>
  <c r="E97" i="1"/>
  <c r="N96" i="1"/>
  <c r="M96" i="1"/>
  <c r="O96" i="1" s="1"/>
  <c r="P96" i="1" s="1"/>
  <c r="E96" i="1"/>
  <c r="N95" i="1"/>
  <c r="M95" i="1"/>
  <c r="O95" i="1" s="1"/>
  <c r="P95" i="1" s="1"/>
  <c r="E95" i="1"/>
  <c r="N94" i="1"/>
  <c r="M94" i="1"/>
  <c r="O94" i="1" s="1"/>
  <c r="P94" i="1" s="1"/>
  <c r="E94" i="1"/>
  <c r="N93" i="1"/>
  <c r="M93" i="1"/>
  <c r="O93" i="1" s="1"/>
  <c r="P93" i="1" s="1"/>
  <c r="E93" i="1"/>
  <c r="N92" i="1"/>
  <c r="M92" i="1"/>
  <c r="O92" i="1" s="1"/>
  <c r="P92" i="1" s="1"/>
  <c r="E92" i="1"/>
  <c r="N91" i="1"/>
  <c r="M91" i="1"/>
  <c r="O91" i="1" s="1"/>
  <c r="P91" i="1" s="1"/>
  <c r="E91" i="1"/>
  <c r="N90" i="1"/>
  <c r="M90" i="1"/>
  <c r="O90" i="1" s="1"/>
  <c r="P90" i="1" s="1"/>
  <c r="E90" i="1"/>
  <c r="N89" i="1"/>
  <c r="M89" i="1"/>
  <c r="O89" i="1" s="1"/>
  <c r="P89" i="1" s="1"/>
  <c r="E89" i="1"/>
  <c r="N88" i="1"/>
  <c r="M88" i="1"/>
  <c r="O88" i="1" s="1"/>
  <c r="P88" i="1" s="1"/>
  <c r="E88" i="1"/>
  <c r="N87" i="1"/>
  <c r="M87" i="1"/>
  <c r="O87" i="1" s="1"/>
  <c r="P87" i="1" s="1"/>
  <c r="E87" i="1"/>
  <c r="N86" i="1"/>
  <c r="M86" i="1"/>
  <c r="O86" i="1" s="1"/>
  <c r="P86" i="1" s="1"/>
  <c r="E86" i="1"/>
  <c r="N85" i="1"/>
  <c r="M85" i="1"/>
  <c r="O85" i="1" s="1"/>
  <c r="P85" i="1" s="1"/>
  <c r="E85" i="1"/>
  <c r="N84" i="1"/>
  <c r="M84" i="1"/>
  <c r="O84" i="1" s="1"/>
  <c r="P84" i="1" s="1"/>
  <c r="E84" i="1"/>
  <c r="N83" i="1"/>
  <c r="M83" i="1"/>
  <c r="O83" i="1" s="1"/>
  <c r="P83" i="1" s="1"/>
  <c r="E83" i="1"/>
  <c r="N82" i="1"/>
  <c r="M82" i="1"/>
  <c r="O82" i="1" s="1"/>
  <c r="P82" i="1" s="1"/>
  <c r="E82" i="1"/>
  <c r="N81" i="1"/>
  <c r="M81" i="1"/>
  <c r="O81" i="1" s="1"/>
  <c r="P81" i="1" s="1"/>
  <c r="E81" i="1"/>
  <c r="N80" i="1"/>
  <c r="M80" i="1"/>
  <c r="O80" i="1" s="1"/>
  <c r="P80" i="1" s="1"/>
  <c r="E80" i="1"/>
  <c r="N79" i="1"/>
  <c r="M79" i="1"/>
  <c r="O79" i="1" s="1"/>
  <c r="P79" i="1" s="1"/>
  <c r="E79" i="1"/>
  <c r="N78" i="1"/>
  <c r="M78" i="1"/>
  <c r="O78" i="1" s="1"/>
  <c r="P78" i="1" s="1"/>
  <c r="E78" i="1"/>
  <c r="N77" i="1"/>
  <c r="M77" i="1"/>
  <c r="O77" i="1" s="1"/>
  <c r="P77" i="1" s="1"/>
  <c r="E77" i="1"/>
  <c r="N76" i="1"/>
  <c r="M76" i="1"/>
  <c r="O76" i="1" s="1"/>
  <c r="P76" i="1" s="1"/>
  <c r="E76" i="1"/>
  <c r="N75" i="1"/>
  <c r="M75" i="1"/>
  <c r="O75" i="1" s="1"/>
  <c r="P75" i="1" s="1"/>
  <c r="E75" i="1"/>
  <c r="N74" i="1"/>
  <c r="M74" i="1"/>
  <c r="O74" i="1" s="1"/>
  <c r="P74" i="1" s="1"/>
  <c r="E74" i="1"/>
  <c r="N73" i="1"/>
  <c r="M73" i="1"/>
  <c r="O73" i="1" s="1"/>
  <c r="P73" i="1" s="1"/>
  <c r="E73" i="1"/>
  <c r="N72" i="1"/>
  <c r="M72" i="1"/>
  <c r="O72" i="1" s="1"/>
  <c r="P72" i="1" s="1"/>
  <c r="E72" i="1"/>
  <c r="N71" i="1"/>
  <c r="M71" i="1"/>
  <c r="O71" i="1" s="1"/>
  <c r="P71" i="1" s="1"/>
  <c r="E71" i="1"/>
  <c r="N70" i="1"/>
  <c r="M70" i="1"/>
  <c r="O70" i="1" s="1"/>
  <c r="P70" i="1" s="1"/>
  <c r="E70" i="1"/>
  <c r="N69" i="1"/>
  <c r="M69" i="1"/>
  <c r="O69" i="1" s="1"/>
  <c r="P69" i="1" s="1"/>
  <c r="E69" i="1"/>
  <c r="N68" i="1"/>
  <c r="M68" i="1"/>
  <c r="O68" i="1" s="1"/>
  <c r="P68" i="1" s="1"/>
  <c r="E68" i="1"/>
  <c r="N67" i="1"/>
  <c r="M67" i="1"/>
  <c r="O67" i="1" s="1"/>
  <c r="P67" i="1" s="1"/>
  <c r="E67" i="1"/>
  <c r="N66" i="1"/>
  <c r="M66" i="1"/>
  <c r="O66" i="1" s="1"/>
  <c r="P66" i="1" s="1"/>
  <c r="E66" i="1"/>
  <c r="N65" i="1"/>
  <c r="M65" i="1"/>
  <c r="O65" i="1" s="1"/>
  <c r="P65" i="1" s="1"/>
  <c r="E65" i="1"/>
  <c r="N64" i="1"/>
  <c r="M64" i="1"/>
  <c r="O64" i="1" s="1"/>
  <c r="P64" i="1" s="1"/>
  <c r="E64" i="1"/>
  <c r="N63" i="1"/>
  <c r="M63" i="1"/>
  <c r="O63" i="1" s="1"/>
  <c r="P63" i="1" s="1"/>
  <c r="E63" i="1"/>
  <c r="N62" i="1"/>
  <c r="M62" i="1"/>
  <c r="O62" i="1" s="1"/>
  <c r="P62" i="1" s="1"/>
  <c r="E62" i="1"/>
  <c r="N61" i="1"/>
  <c r="M61" i="1"/>
  <c r="O61" i="1" s="1"/>
  <c r="P61" i="1" s="1"/>
  <c r="E61" i="1"/>
  <c r="N60" i="1"/>
  <c r="M60" i="1"/>
  <c r="O60" i="1" s="1"/>
  <c r="P60" i="1" s="1"/>
  <c r="E60" i="1"/>
  <c r="N59" i="1"/>
  <c r="M59" i="1"/>
  <c r="O59" i="1" s="1"/>
  <c r="P59" i="1" s="1"/>
  <c r="E59" i="1"/>
  <c r="N58" i="1"/>
  <c r="M58" i="1"/>
  <c r="O58" i="1" s="1"/>
  <c r="P58" i="1" s="1"/>
  <c r="E58" i="1"/>
  <c r="N57" i="1"/>
  <c r="M57" i="1"/>
  <c r="O57" i="1" s="1"/>
  <c r="P57" i="1" s="1"/>
  <c r="E57" i="1"/>
  <c r="N56" i="1"/>
  <c r="M56" i="1"/>
  <c r="O56" i="1" s="1"/>
  <c r="P56" i="1" s="1"/>
  <c r="E56" i="1"/>
  <c r="N55" i="1"/>
  <c r="M55" i="1"/>
  <c r="E55" i="1"/>
  <c r="N54" i="1"/>
  <c r="M54" i="1"/>
  <c r="O54" i="1" s="1"/>
  <c r="P54" i="1" s="1"/>
  <c r="E54" i="1"/>
  <c r="N53" i="1"/>
  <c r="M53" i="1"/>
  <c r="O53" i="1" s="1"/>
  <c r="P53" i="1" s="1"/>
  <c r="E53" i="1"/>
  <c r="N52" i="1"/>
  <c r="M52" i="1"/>
  <c r="O52" i="1" s="1"/>
  <c r="P52" i="1" s="1"/>
  <c r="E52" i="1"/>
  <c r="N51" i="1"/>
  <c r="M51" i="1"/>
  <c r="O51" i="1" s="1"/>
  <c r="P51" i="1" s="1"/>
  <c r="E51" i="1"/>
  <c r="N50" i="1"/>
  <c r="M50" i="1"/>
  <c r="O50" i="1" s="1"/>
  <c r="P50" i="1" s="1"/>
  <c r="E50" i="1"/>
  <c r="N49" i="1"/>
  <c r="M49" i="1"/>
  <c r="O49" i="1" s="1"/>
  <c r="P49" i="1" s="1"/>
  <c r="E49" i="1"/>
  <c r="N48" i="1"/>
  <c r="M48" i="1"/>
  <c r="O48" i="1" s="1"/>
  <c r="P48" i="1" s="1"/>
  <c r="E48" i="1"/>
  <c r="N47" i="1"/>
  <c r="M47" i="1"/>
  <c r="O47" i="1" s="1"/>
  <c r="P47" i="1" s="1"/>
  <c r="E47" i="1"/>
  <c r="N46" i="1"/>
  <c r="M46" i="1"/>
  <c r="O46" i="1" s="1"/>
  <c r="P46" i="1" s="1"/>
  <c r="E46" i="1"/>
  <c r="N45" i="1"/>
  <c r="M45" i="1"/>
  <c r="O45" i="1" s="1"/>
  <c r="P45" i="1" s="1"/>
  <c r="H20" i="11" s="1" a="1"/>
  <c r="H20" i="11" s="1"/>
  <c r="E45" i="1"/>
  <c r="N44" i="1"/>
  <c r="M44" i="1"/>
  <c r="O44" i="1" s="1"/>
  <c r="P44" i="1" s="1"/>
  <c r="G20" i="11" s="1" a="1"/>
  <c r="G20" i="11" s="1"/>
  <c r="E44" i="1"/>
  <c r="N43" i="1"/>
  <c r="M43" i="1"/>
  <c r="O43" i="1" s="1"/>
  <c r="P43" i="1" s="1"/>
  <c r="F20" i="11" s="1" a="1"/>
  <c r="F20" i="11" s="1"/>
  <c r="E43" i="1"/>
  <c r="N42" i="1"/>
  <c r="M42" i="1"/>
  <c r="O42" i="1" s="1"/>
  <c r="P42" i="1" s="1"/>
  <c r="E20" i="11" s="1" a="1"/>
  <c r="E20" i="11" s="1"/>
  <c r="E42" i="1"/>
  <c r="N41" i="1"/>
  <c r="M41" i="1"/>
  <c r="O41" i="1" s="1"/>
  <c r="P41" i="1" s="1"/>
  <c r="E41" i="1"/>
  <c r="N40" i="1"/>
  <c r="M40" i="1"/>
  <c r="O40" i="1" s="1"/>
  <c r="P40" i="1" s="1"/>
  <c r="E40" i="1"/>
  <c r="N39" i="1"/>
  <c r="M39" i="1"/>
  <c r="O39" i="1" s="1"/>
  <c r="P39" i="1" s="1"/>
  <c r="E39" i="1"/>
  <c r="N38" i="1"/>
  <c r="M38" i="1"/>
  <c r="O38" i="1" s="1"/>
  <c r="P38" i="1" s="1"/>
  <c r="E38" i="1"/>
  <c r="N37" i="1"/>
  <c r="M37" i="1"/>
  <c r="E37" i="1"/>
  <c r="N36" i="1"/>
  <c r="M36" i="1"/>
  <c r="E36" i="1"/>
  <c r="N35" i="1"/>
  <c r="M35" i="1"/>
  <c r="E35" i="1"/>
  <c r="N34" i="1"/>
  <c r="M34" i="1"/>
  <c r="E34" i="1"/>
  <c r="N33" i="1"/>
  <c r="M33" i="1"/>
  <c r="O33" i="1" s="1"/>
  <c r="P33" i="1" s="1"/>
  <c r="E33" i="1"/>
  <c r="N32" i="1"/>
  <c r="M32" i="1"/>
  <c r="O32" i="1" s="1"/>
  <c r="P32" i="1" s="1"/>
  <c r="E32" i="1"/>
  <c r="N31" i="1"/>
  <c r="M31" i="1"/>
  <c r="E31" i="1"/>
  <c r="N30" i="1"/>
  <c r="M30" i="1"/>
  <c r="O30" i="1" s="1"/>
  <c r="P30" i="1" s="1"/>
  <c r="E30" i="1"/>
  <c r="N29" i="1"/>
  <c r="M29" i="1"/>
  <c r="O29" i="1" s="1"/>
  <c r="P29" i="1" s="1"/>
  <c r="E29" i="1"/>
  <c r="N28" i="1"/>
  <c r="M28" i="1"/>
  <c r="O28" i="1" s="1"/>
  <c r="P28" i="1" s="1"/>
  <c r="E28" i="1"/>
  <c r="N27" i="1"/>
  <c r="M27" i="1"/>
  <c r="E27" i="1"/>
  <c r="N26" i="1"/>
  <c r="M26" i="1"/>
  <c r="O26" i="1" s="1"/>
  <c r="P26" i="1" s="1"/>
  <c r="E26" i="1"/>
  <c r="N25" i="1"/>
  <c r="M25" i="1"/>
  <c r="O25" i="1" s="1"/>
  <c r="P25" i="1" s="1"/>
  <c r="E25" i="1"/>
  <c r="N24" i="1"/>
  <c r="M24" i="1"/>
  <c r="O24" i="1" s="1"/>
  <c r="P24" i="1" s="1"/>
  <c r="E24" i="1"/>
  <c r="N23" i="1"/>
  <c r="M23" i="1"/>
  <c r="E23" i="1"/>
  <c r="N22" i="1"/>
  <c r="M22" i="1"/>
  <c r="O22" i="1" s="1"/>
  <c r="P22" i="1" s="1"/>
  <c r="E22" i="1"/>
  <c r="N21" i="1"/>
  <c r="M21" i="1"/>
  <c r="O21" i="1" s="1"/>
  <c r="P21" i="1" s="1"/>
  <c r="E21" i="1"/>
  <c r="N20" i="1"/>
  <c r="M20" i="1"/>
  <c r="O20" i="1" s="1"/>
  <c r="P20" i="1" s="1"/>
  <c r="E20" i="1"/>
  <c r="N19" i="1"/>
  <c r="M19" i="1"/>
  <c r="E19" i="1"/>
  <c r="N18" i="1"/>
  <c r="M18" i="1"/>
  <c r="O18" i="1" s="1"/>
  <c r="P18" i="1" s="1"/>
  <c r="E18" i="1"/>
  <c r="N17" i="1"/>
  <c r="M17" i="1"/>
  <c r="O17" i="1" s="1"/>
  <c r="P17" i="1" s="1"/>
  <c r="E17" i="1"/>
  <c r="N16" i="1"/>
  <c r="M16" i="1"/>
  <c r="O16" i="1" s="1"/>
  <c r="P16" i="1" s="1"/>
  <c r="E16" i="1"/>
  <c r="N15" i="1"/>
  <c r="M15" i="1"/>
  <c r="E15" i="1"/>
  <c r="N14" i="1"/>
  <c r="M14" i="1"/>
  <c r="O14" i="1" s="1"/>
  <c r="P14" i="1" s="1"/>
  <c r="E14" i="1"/>
  <c r="N13" i="1"/>
  <c r="M13" i="1"/>
  <c r="O13" i="1" s="1"/>
  <c r="P13" i="1" s="1"/>
  <c r="E13" i="1"/>
  <c r="N12" i="1"/>
  <c r="M12" i="1"/>
  <c r="O12" i="1" s="1"/>
  <c r="P12" i="1" s="1"/>
  <c r="E12" i="1"/>
  <c r="N11" i="1"/>
  <c r="M11" i="1"/>
  <c r="E11" i="1"/>
  <c r="N10" i="1"/>
  <c r="M10" i="1"/>
  <c r="O10" i="1" s="1"/>
  <c r="P10" i="1" s="1"/>
  <c r="E10" i="1"/>
  <c r="N9" i="1"/>
  <c r="M9" i="1"/>
  <c r="O9" i="1" s="1"/>
  <c r="P9" i="1" s="1"/>
  <c r="E9" i="1"/>
  <c r="N8" i="1"/>
  <c r="M8" i="1"/>
  <c r="O8" i="1" s="1"/>
  <c r="P8" i="1" s="1"/>
  <c r="E8" i="1"/>
  <c r="N7" i="1"/>
  <c r="M7" i="1"/>
  <c r="E7" i="1"/>
  <c r="N6" i="1"/>
  <c r="M6" i="1"/>
  <c r="O6" i="1" s="1"/>
  <c r="P6" i="1" s="1"/>
  <c r="E6" i="1"/>
  <c r="N5" i="1"/>
  <c r="M5" i="1"/>
  <c r="O5" i="1" s="1"/>
  <c r="P5" i="1" s="1"/>
  <c r="E5" i="1"/>
  <c r="N4" i="1"/>
  <c r="M4" i="1"/>
  <c r="O4" i="1" s="1"/>
  <c r="P4" i="1" s="1"/>
  <c r="E4" i="1"/>
  <c r="N3" i="1"/>
  <c r="M3" i="1"/>
  <c r="E3" i="1"/>
  <c r="N2" i="1"/>
  <c r="M2" i="1"/>
  <c r="O2" i="1" s="1"/>
  <c r="P2" i="1" s="1"/>
  <c r="E2" i="1"/>
  <c r="D9" i="9" l="1"/>
  <c r="D14" i="9" s="1"/>
  <c r="O3" i="1"/>
  <c r="P3" i="1" s="1"/>
  <c r="O7" i="1"/>
  <c r="P7" i="1" s="1"/>
  <c r="O11" i="1"/>
  <c r="P11" i="1" s="1"/>
  <c r="O15" i="1"/>
  <c r="P15" i="1" s="1"/>
  <c r="O19" i="1"/>
  <c r="P19" i="1" s="1"/>
  <c r="O23" i="1"/>
  <c r="P23" i="1" s="1"/>
  <c r="O27" i="1"/>
  <c r="P27" i="1" s="1"/>
  <c r="O31" i="1"/>
  <c r="P31" i="1" s="1"/>
  <c r="O34" i="1"/>
  <c r="O35" i="1"/>
  <c r="O55" i="1"/>
  <c r="P55" i="1" s="1"/>
  <c r="O123" i="1"/>
  <c r="P123" i="1" s="1"/>
  <c r="O161" i="1"/>
  <c r="P161" i="1" s="1"/>
  <c r="O343" i="1"/>
  <c r="P343" i="1" s="1"/>
  <c r="O347" i="1"/>
  <c r="P347" i="1" s="1"/>
  <c r="O351" i="1"/>
  <c r="P351" i="1" s="1"/>
  <c r="O454" i="1"/>
  <c r="P454" i="1" s="1"/>
  <c r="O458" i="1"/>
  <c r="P458" i="1" s="1"/>
  <c r="O462" i="1"/>
  <c r="P462" i="1" s="1"/>
  <c r="O466" i="1"/>
  <c r="P466" i="1" s="1"/>
  <c r="O470" i="1"/>
  <c r="P470" i="1" s="1"/>
  <c r="O474" i="1"/>
  <c r="P474" i="1" s="1"/>
  <c r="O478" i="1"/>
  <c r="P478" i="1" s="1"/>
  <c r="O482" i="1"/>
  <c r="P482" i="1" s="1"/>
  <c r="O486" i="1"/>
  <c r="P486" i="1" s="1"/>
  <c r="O490" i="1"/>
  <c r="P490" i="1" s="1"/>
  <c r="O494" i="1"/>
  <c r="P494" i="1" s="1"/>
  <c r="O498" i="1"/>
  <c r="P498" i="1" s="1"/>
  <c r="O502" i="1"/>
  <c r="P502" i="1" s="1"/>
  <c r="O506" i="1"/>
  <c r="P506" i="1" s="1"/>
  <c r="O510" i="1"/>
  <c r="P510" i="1" s="1"/>
  <c r="O514" i="1"/>
  <c r="P514" i="1" s="1"/>
  <c r="O518" i="1"/>
  <c r="P518" i="1" s="1"/>
  <c r="O522" i="1"/>
  <c r="P522" i="1" s="1"/>
  <c r="O526" i="1"/>
  <c r="P526" i="1" s="1"/>
  <c r="O530" i="1"/>
  <c r="P530" i="1" s="1"/>
  <c r="O534" i="1"/>
  <c r="P534" i="1" s="1"/>
  <c r="O538" i="1"/>
  <c r="P538" i="1" s="1"/>
  <c r="O542" i="1"/>
  <c r="P542" i="1" s="1"/>
  <c r="O546" i="1"/>
  <c r="P546" i="1" s="1"/>
  <c r="O550" i="1"/>
  <c r="P550" i="1" s="1"/>
  <c r="O554" i="1"/>
  <c r="P554" i="1" s="1"/>
  <c r="O558" i="1"/>
  <c r="P558" i="1" s="1"/>
  <c r="O562" i="1"/>
  <c r="P562" i="1" s="1"/>
  <c r="O566" i="1"/>
  <c r="P566" i="1" s="1"/>
  <c r="O570" i="1"/>
  <c r="P570" i="1" s="1"/>
  <c r="O574" i="1"/>
  <c r="P574" i="1" s="1"/>
  <c r="O578" i="1"/>
  <c r="P578" i="1" s="1"/>
  <c r="O582" i="1"/>
  <c r="P582" i="1" s="1"/>
  <c r="O586" i="1"/>
  <c r="P586" i="1" s="1"/>
  <c r="O590" i="1"/>
  <c r="P590" i="1" s="1"/>
  <c r="O594" i="1"/>
  <c r="P594" i="1" s="1"/>
  <c r="O598" i="1"/>
  <c r="P598" i="1" s="1"/>
  <c r="O602" i="1"/>
  <c r="P602" i="1" s="1"/>
  <c r="O606" i="1"/>
  <c r="P606" i="1" s="1"/>
  <c r="O610" i="1"/>
  <c r="P610" i="1" s="1"/>
  <c r="O614" i="1"/>
  <c r="P614" i="1" s="1"/>
  <c r="O618" i="1"/>
  <c r="P618" i="1" s="1"/>
  <c r="O622" i="1"/>
  <c r="P622" i="1" s="1"/>
  <c r="O626" i="1"/>
  <c r="P626" i="1" s="1"/>
  <c r="O630" i="1"/>
  <c r="P630" i="1" s="1"/>
  <c r="O634" i="1"/>
  <c r="P634" i="1" s="1"/>
  <c r="O638" i="1"/>
  <c r="P638" i="1" s="1"/>
  <c r="O642" i="1"/>
  <c r="P642" i="1" s="1"/>
  <c r="O646" i="1"/>
  <c r="P646" i="1" s="1"/>
  <c r="O650" i="1"/>
  <c r="P650" i="1" s="1"/>
  <c r="O654" i="1"/>
  <c r="P654" i="1" s="1"/>
  <c r="O658" i="1"/>
  <c r="P658" i="1" s="1"/>
  <c r="O666" i="1"/>
  <c r="P666" i="1" s="1"/>
  <c r="O674" i="1"/>
  <c r="P674" i="1" s="1"/>
  <c r="O677" i="1"/>
  <c r="P677" i="1" s="1"/>
  <c r="O681" i="1"/>
  <c r="P681" i="1" s="1"/>
  <c r="O685" i="1"/>
  <c r="P685" i="1" s="1"/>
  <c r="O689" i="1"/>
  <c r="P689" i="1" s="1"/>
  <c r="O693" i="1"/>
  <c r="P693" i="1" s="1"/>
  <c r="O697" i="1"/>
  <c r="P697" i="1" s="1"/>
  <c r="O701" i="1"/>
  <c r="P701" i="1" s="1"/>
  <c r="O705" i="1"/>
  <c r="P705" i="1" s="1"/>
  <c r="O709" i="1"/>
  <c r="P709" i="1" s="1"/>
  <c r="O713" i="1"/>
  <c r="P713" i="1" s="1"/>
  <c r="O717" i="1"/>
  <c r="P717" i="1" s="1"/>
  <c r="O721" i="1"/>
  <c r="P721" i="1" s="1"/>
  <c r="O725" i="1"/>
  <c r="P725" i="1" s="1"/>
  <c r="O729" i="1"/>
  <c r="P729" i="1" s="1"/>
  <c r="O733" i="1"/>
  <c r="P733" i="1" s="1"/>
  <c r="O737" i="1"/>
  <c r="P737" i="1" s="1"/>
  <c r="O741" i="1"/>
  <c r="P741" i="1" s="1"/>
  <c r="O745" i="1"/>
  <c r="P745" i="1" s="1"/>
  <c r="O749" i="1"/>
  <c r="P749" i="1" s="1"/>
  <c r="O753" i="1"/>
  <c r="P753" i="1" s="1"/>
  <c r="O757" i="1"/>
  <c r="P757" i="1" s="1"/>
  <c r="O761" i="1"/>
  <c r="P761" i="1" s="1"/>
  <c r="O765" i="1"/>
  <c r="P765" i="1" s="1"/>
  <c r="O769" i="1"/>
  <c r="P769" i="1" s="1"/>
  <c r="O774" i="1"/>
  <c r="P774" i="1" s="1"/>
  <c r="O778" i="1"/>
  <c r="P778" i="1" s="1"/>
  <c r="O782" i="1"/>
  <c r="P782" i="1" s="1"/>
  <c r="O786" i="1"/>
  <c r="P786" i="1" s="1"/>
  <c r="O790" i="1"/>
  <c r="P790" i="1" s="1"/>
  <c r="O794" i="1"/>
  <c r="P794" i="1" s="1"/>
  <c r="O798" i="1"/>
  <c r="P798" i="1" s="1"/>
  <c r="O802" i="1"/>
  <c r="P802" i="1" s="1"/>
  <c r="O806" i="1"/>
  <c r="P806" i="1" s="1"/>
  <c r="O810" i="1"/>
  <c r="P810" i="1" s="1"/>
  <c r="O814" i="1"/>
  <c r="P814" i="1" s="1"/>
  <c r="O818" i="1"/>
  <c r="P818" i="1" s="1"/>
  <c r="O822" i="1"/>
  <c r="P822" i="1" s="1"/>
  <c r="O826" i="1"/>
  <c r="P826" i="1" s="1"/>
  <c r="O1052" i="1"/>
  <c r="P1052" i="1" s="1"/>
  <c r="O1328" i="1"/>
  <c r="P1328" i="1" s="1"/>
  <c r="O1407" i="1"/>
  <c r="P1407" i="1" s="1"/>
  <c r="O1411" i="1"/>
  <c r="P1411" i="1" s="1"/>
  <c r="O1415" i="1"/>
  <c r="P1415" i="1" s="1"/>
  <c r="O1419" i="1"/>
  <c r="P1419" i="1" s="1"/>
  <c r="O1423" i="1"/>
  <c r="P1423" i="1" s="1"/>
  <c r="O1427" i="1"/>
  <c r="P1427" i="1" s="1"/>
  <c r="O1431" i="1"/>
  <c r="P1431" i="1" s="1"/>
  <c r="O1435" i="1"/>
  <c r="P1435" i="1" s="1"/>
  <c r="O1439" i="1"/>
  <c r="P1439" i="1" s="1"/>
  <c r="O1443" i="1"/>
  <c r="P1443" i="1" s="1"/>
  <c r="O1449" i="1"/>
  <c r="P1449" i="1" s="1"/>
  <c r="O1457" i="1"/>
  <c r="P1457" i="1" s="1"/>
  <c r="O1461" i="1"/>
  <c r="P1461" i="1" s="1"/>
  <c r="O1465" i="1"/>
  <c r="P1465" i="1" s="1"/>
  <c r="O1469" i="1"/>
  <c r="P1469" i="1" s="1"/>
  <c r="O1473" i="1"/>
  <c r="P1473" i="1" s="1"/>
  <c r="O1477" i="1"/>
  <c r="P1477" i="1" s="1"/>
  <c r="O1481" i="1"/>
  <c r="P1481" i="1" s="1"/>
  <c r="O1485" i="1"/>
  <c r="P1485" i="1" s="1"/>
  <c r="O1489" i="1"/>
  <c r="P1489" i="1" s="1"/>
  <c r="O1493" i="1"/>
  <c r="P1493" i="1" s="1"/>
  <c r="O1497" i="1"/>
  <c r="P1497" i="1" s="1"/>
  <c r="O1501" i="1"/>
  <c r="P1501" i="1" s="1"/>
  <c r="O1505" i="1"/>
  <c r="P1505" i="1" s="1"/>
  <c r="O1509" i="1"/>
  <c r="P1509" i="1" s="1"/>
  <c r="O1513" i="1"/>
  <c r="P1513" i="1" s="1"/>
  <c r="O1517" i="1"/>
  <c r="P1517" i="1" s="1"/>
  <c r="O1521" i="1"/>
  <c r="P1521" i="1" s="1"/>
  <c r="O1525" i="1"/>
  <c r="P1525" i="1" s="1"/>
  <c r="O1529" i="1"/>
  <c r="P1529" i="1" s="1"/>
  <c r="O1533" i="1"/>
  <c r="P1533" i="1" s="1"/>
  <c r="O1537" i="1"/>
  <c r="P1537" i="1" s="1"/>
  <c r="O1541" i="1"/>
  <c r="P1541" i="1" s="1"/>
  <c r="O1545" i="1"/>
  <c r="P1545" i="1" s="1"/>
  <c r="O1551" i="1"/>
  <c r="P1551" i="1" s="1"/>
  <c r="O1555" i="1"/>
  <c r="P1555" i="1" s="1"/>
  <c r="O1559" i="1"/>
  <c r="P1559" i="1" s="1"/>
  <c r="O1563" i="1"/>
  <c r="P1563" i="1" s="1"/>
  <c r="O1567" i="1"/>
  <c r="P1567" i="1" s="1"/>
  <c r="O1571" i="1"/>
  <c r="P1571" i="1" s="1"/>
  <c r="O1575" i="1"/>
  <c r="P1575" i="1" s="1"/>
  <c r="O1579" i="1"/>
  <c r="P1579" i="1" s="1"/>
  <c r="O1583" i="1"/>
  <c r="P1583" i="1" s="1"/>
  <c r="O1587" i="1"/>
  <c r="P1587" i="1" s="1"/>
  <c r="O1591" i="1"/>
  <c r="P1591" i="1" s="1"/>
  <c r="O1595" i="1"/>
  <c r="P1595" i="1" s="1"/>
  <c r="O1599" i="1"/>
  <c r="P1599" i="1" s="1"/>
  <c r="O1603" i="1"/>
  <c r="P1603" i="1" s="1"/>
  <c r="O1607" i="1"/>
  <c r="P1607" i="1" s="1"/>
  <c r="O1611" i="1"/>
  <c r="P1611" i="1" s="1"/>
  <c r="O1708" i="1"/>
  <c r="P1708" i="1" s="1"/>
  <c r="M36" i="11"/>
  <c r="M34" i="11"/>
  <c r="M37" i="11"/>
  <c r="I37" i="11" s="1"/>
  <c r="M33" i="11"/>
  <c r="J33" i="11" s="1"/>
  <c r="I36" i="11"/>
  <c r="I20" i="11" s="1" a="1"/>
  <c r="I20" i="11" s="1"/>
  <c r="J36" i="11"/>
  <c r="J20" i="11" s="1"/>
  <c r="I34" i="11"/>
  <c r="J34" i="11"/>
  <c r="M38" i="11"/>
  <c r="M32" i="11"/>
  <c r="O360" i="1"/>
  <c r="P360" i="1" s="1"/>
  <c r="O376" i="1"/>
  <c r="P376" i="1" s="1"/>
  <c r="O392" i="1"/>
  <c r="P392" i="1" s="1"/>
  <c r="P35" i="1"/>
  <c r="O36" i="1"/>
  <c r="O37" i="1"/>
  <c r="O352" i="1"/>
  <c r="P352" i="1" s="1"/>
  <c r="O368" i="1"/>
  <c r="P368" i="1" s="1"/>
  <c r="O384" i="1"/>
  <c r="P384" i="1" s="1"/>
  <c r="O400" i="1"/>
  <c r="P400" i="1" s="1"/>
  <c r="O659" i="1"/>
  <c r="P659" i="1" s="1"/>
  <c r="O667" i="1"/>
  <c r="P667" i="1" s="1"/>
  <c r="O675" i="1"/>
  <c r="P675" i="1" s="1"/>
  <c r="O679" i="1"/>
  <c r="P679" i="1" s="1"/>
  <c r="O683" i="1"/>
  <c r="P683" i="1" s="1"/>
  <c r="O687" i="1"/>
  <c r="P687" i="1" s="1"/>
  <c r="O691" i="1"/>
  <c r="P691" i="1" s="1"/>
  <c r="O695" i="1"/>
  <c r="P695" i="1" s="1"/>
  <c r="O699" i="1"/>
  <c r="P699" i="1" s="1"/>
  <c r="O703" i="1"/>
  <c r="P703" i="1" s="1"/>
  <c r="O707" i="1"/>
  <c r="P707" i="1" s="1"/>
  <c r="O711" i="1"/>
  <c r="P711" i="1" s="1"/>
  <c r="O719" i="1"/>
  <c r="P719" i="1" s="1"/>
  <c r="O727" i="1"/>
  <c r="P727" i="1" s="1"/>
  <c r="O735" i="1"/>
  <c r="P735" i="1" s="1"/>
  <c r="O743" i="1"/>
  <c r="P743" i="1" s="1"/>
  <c r="O751" i="1"/>
  <c r="P751" i="1" s="1"/>
  <c r="O759" i="1"/>
  <c r="P759" i="1" s="1"/>
  <c r="O767" i="1"/>
  <c r="P767" i="1" s="1"/>
  <c r="O663" i="1"/>
  <c r="P663" i="1" s="1"/>
  <c r="O671" i="1"/>
  <c r="P671" i="1" s="1"/>
  <c r="O715" i="1"/>
  <c r="P715" i="1" s="1"/>
  <c r="O723" i="1"/>
  <c r="P723" i="1" s="1"/>
  <c r="O731" i="1"/>
  <c r="P731" i="1" s="1"/>
  <c r="O739" i="1"/>
  <c r="P739" i="1" s="1"/>
  <c r="O747" i="1"/>
  <c r="P747" i="1" s="1"/>
  <c r="O755" i="1"/>
  <c r="P755" i="1" s="1"/>
  <c r="O763" i="1"/>
  <c r="P763" i="1" s="1"/>
  <c r="O771" i="1"/>
  <c r="P771" i="1" s="1"/>
  <c r="O775" i="1"/>
  <c r="P775" i="1" s="1"/>
  <c r="O779" i="1"/>
  <c r="P779" i="1" s="1"/>
  <c r="O783" i="1"/>
  <c r="P783" i="1" s="1"/>
  <c r="O787" i="1"/>
  <c r="P787" i="1" s="1"/>
  <c r="O791" i="1"/>
  <c r="P791" i="1" s="1"/>
  <c r="O795" i="1"/>
  <c r="P795" i="1" s="1"/>
  <c r="O799" i="1"/>
  <c r="P799" i="1" s="1"/>
  <c r="O803" i="1"/>
  <c r="P803" i="1" s="1"/>
  <c r="O807" i="1"/>
  <c r="P807" i="1" s="1"/>
  <c r="O811" i="1"/>
  <c r="P811" i="1" s="1"/>
  <c r="O815" i="1"/>
  <c r="P815" i="1" s="1"/>
  <c r="O819" i="1"/>
  <c r="P819" i="1" s="1"/>
  <c r="O823" i="1"/>
  <c r="P823" i="1" s="1"/>
  <c r="O827" i="1"/>
  <c r="P827" i="1" s="1"/>
  <c r="O843" i="1"/>
  <c r="P843" i="1" s="1"/>
  <c r="O859" i="1"/>
  <c r="P859" i="1" s="1"/>
  <c r="O875" i="1"/>
  <c r="P875" i="1" s="1"/>
  <c r="O891" i="1"/>
  <c r="P891" i="1" s="1"/>
  <c r="O907" i="1"/>
  <c r="P907" i="1" s="1"/>
  <c r="O923" i="1"/>
  <c r="P923" i="1" s="1"/>
  <c r="O939" i="1"/>
  <c r="P939" i="1" s="1"/>
  <c r="O955" i="1"/>
  <c r="P955" i="1" s="1"/>
  <c r="O971" i="1"/>
  <c r="P971" i="1" s="1"/>
  <c r="O987" i="1"/>
  <c r="P987" i="1" s="1"/>
  <c r="O1003" i="1"/>
  <c r="P1003" i="1" s="1"/>
  <c r="O1019" i="1"/>
  <c r="P1019" i="1" s="1"/>
  <c r="O1035" i="1"/>
  <c r="P1035" i="1" s="1"/>
  <c r="O1015" i="1"/>
  <c r="P1015" i="1" s="1"/>
  <c r="O1031" i="1"/>
  <c r="P1031" i="1" s="1"/>
  <c r="O1047" i="1"/>
  <c r="P1047" i="1" s="1"/>
  <c r="O835" i="1"/>
  <c r="P835" i="1" s="1"/>
  <c r="O851" i="1"/>
  <c r="P851" i="1" s="1"/>
  <c r="O867" i="1"/>
  <c r="P867" i="1" s="1"/>
  <c r="O883" i="1"/>
  <c r="P883" i="1" s="1"/>
  <c r="O899" i="1"/>
  <c r="P899" i="1" s="1"/>
  <c r="O915" i="1"/>
  <c r="P915" i="1" s="1"/>
  <c r="O931" i="1"/>
  <c r="P931" i="1" s="1"/>
  <c r="O947" i="1"/>
  <c r="P947" i="1" s="1"/>
  <c r="O963" i="1"/>
  <c r="P963" i="1" s="1"/>
  <c r="O979" i="1"/>
  <c r="P979" i="1" s="1"/>
  <c r="O995" i="1"/>
  <c r="P995" i="1" s="1"/>
  <c r="O1011" i="1"/>
  <c r="P1011" i="1" s="1"/>
  <c r="O1027" i="1"/>
  <c r="P1027" i="1" s="1"/>
  <c r="O1043" i="1"/>
  <c r="P1043" i="1" s="1"/>
  <c r="O1110" i="1"/>
  <c r="P1110" i="1" s="1"/>
  <c r="O1126" i="1"/>
  <c r="P1126" i="1" s="1"/>
  <c r="O1142" i="1"/>
  <c r="P1142" i="1" s="1"/>
  <c r="O1158" i="1"/>
  <c r="P1158" i="1" s="1"/>
  <c r="O1174" i="1"/>
  <c r="P1174" i="1" s="1"/>
  <c r="O1190" i="1"/>
  <c r="P1190" i="1" s="1"/>
  <c r="O1206" i="1"/>
  <c r="P1206" i="1" s="1"/>
  <c r="O1222" i="1"/>
  <c r="P1222" i="1" s="1"/>
  <c r="O1238" i="1"/>
  <c r="P1238" i="1" s="1"/>
  <c r="O1254" i="1"/>
  <c r="P1254" i="1" s="1"/>
  <c r="O1270" i="1"/>
  <c r="P1270" i="1" s="1"/>
  <c r="O1286" i="1"/>
  <c r="P1286" i="1" s="1"/>
  <c r="O1302" i="1"/>
  <c r="P1302" i="1" s="1"/>
  <c r="O1318" i="1"/>
  <c r="P1318" i="1" s="1"/>
  <c r="O1330" i="1"/>
  <c r="P1330" i="1" s="1"/>
  <c r="O1050" i="1"/>
  <c r="P1050" i="1" s="1"/>
  <c r="O1058" i="1"/>
  <c r="P1058" i="1" s="1"/>
  <c r="O1062" i="1"/>
  <c r="P1062" i="1" s="1"/>
  <c r="O1066" i="1"/>
  <c r="P1066" i="1" s="1"/>
  <c r="O1070" i="1"/>
  <c r="P1070" i="1" s="1"/>
  <c r="O1074" i="1"/>
  <c r="P1074" i="1" s="1"/>
  <c r="O1078" i="1"/>
  <c r="P1078" i="1" s="1"/>
  <c r="O1082" i="1"/>
  <c r="P1082" i="1" s="1"/>
  <c r="O1086" i="1"/>
  <c r="P1086" i="1" s="1"/>
  <c r="O1090" i="1"/>
  <c r="P1090" i="1" s="1"/>
  <c r="O1094" i="1"/>
  <c r="P1094" i="1" s="1"/>
  <c r="O1098" i="1"/>
  <c r="P1098" i="1" s="1"/>
  <c r="O1102" i="1"/>
  <c r="P1102" i="1" s="1"/>
  <c r="O1106" i="1"/>
  <c r="P1106" i="1" s="1"/>
  <c r="O1122" i="1"/>
  <c r="P1122" i="1" s="1"/>
  <c r="O1138" i="1"/>
  <c r="P1138" i="1" s="1"/>
  <c r="O1154" i="1"/>
  <c r="P1154" i="1" s="1"/>
  <c r="O1170" i="1"/>
  <c r="P1170" i="1" s="1"/>
  <c r="O1186" i="1"/>
  <c r="P1186" i="1" s="1"/>
  <c r="O1202" i="1"/>
  <c r="P1202" i="1" s="1"/>
  <c r="O1218" i="1"/>
  <c r="P1218" i="1" s="1"/>
  <c r="O1234" i="1"/>
  <c r="P1234" i="1" s="1"/>
  <c r="O1250" i="1"/>
  <c r="P1250" i="1" s="1"/>
  <c r="O1266" i="1"/>
  <c r="P1266" i="1" s="1"/>
  <c r="O1282" i="1"/>
  <c r="P1282" i="1" s="1"/>
  <c r="O1298" i="1"/>
  <c r="P1298" i="1" s="1"/>
  <c r="O1314" i="1"/>
  <c r="P1314" i="1" s="1"/>
  <c r="O1118" i="1"/>
  <c r="P1118" i="1" s="1"/>
  <c r="O1134" i="1"/>
  <c r="P1134" i="1" s="1"/>
  <c r="O1150" i="1"/>
  <c r="P1150" i="1" s="1"/>
  <c r="O1166" i="1"/>
  <c r="P1166" i="1" s="1"/>
  <c r="O1182" i="1"/>
  <c r="P1182" i="1" s="1"/>
  <c r="O1198" i="1"/>
  <c r="P1198" i="1" s="1"/>
  <c r="O1214" i="1"/>
  <c r="P1214" i="1" s="1"/>
  <c r="O1230" i="1"/>
  <c r="P1230" i="1" s="1"/>
  <c r="O1246" i="1"/>
  <c r="P1246" i="1" s="1"/>
  <c r="O1262" i="1"/>
  <c r="P1262" i="1" s="1"/>
  <c r="O1278" i="1"/>
  <c r="P1278" i="1" s="1"/>
  <c r="O1294" i="1"/>
  <c r="P1294" i="1" s="1"/>
  <c r="O1310" i="1"/>
  <c r="P1310" i="1" s="1"/>
  <c r="O1326" i="1"/>
  <c r="P1326" i="1" s="1"/>
  <c r="O1447" i="1"/>
  <c r="P1447" i="1" s="1"/>
  <c r="O1455" i="1"/>
  <c r="P1455" i="1" s="1"/>
  <c r="O1459" i="1"/>
  <c r="P1459" i="1" s="1"/>
  <c r="O1463" i="1"/>
  <c r="P1463" i="1" s="1"/>
  <c r="O1467" i="1"/>
  <c r="P1467" i="1" s="1"/>
  <c r="O1471" i="1"/>
  <c r="P1471" i="1" s="1"/>
  <c r="O1475" i="1"/>
  <c r="P1475" i="1" s="1"/>
  <c r="O1479" i="1"/>
  <c r="P1479" i="1" s="1"/>
  <c r="O1483" i="1"/>
  <c r="P1483" i="1" s="1"/>
  <c r="O1487" i="1"/>
  <c r="P1487" i="1" s="1"/>
  <c r="O1491" i="1"/>
  <c r="P1491" i="1" s="1"/>
  <c r="O1495" i="1"/>
  <c r="P1495" i="1" s="1"/>
  <c r="O1499" i="1"/>
  <c r="P1499" i="1" s="1"/>
  <c r="O1503" i="1"/>
  <c r="P1503" i="1" s="1"/>
  <c r="O1507" i="1"/>
  <c r="P1507" i="1" s="1"/>
  <c r="O1511" i="1"/>
  <c r="P1511" i="1" s="1"/>
  <c r="O1515" i="1"/>
  <c r="P1515" i="1" s="1"/>
  <c r="O1519" i="1"/>
  <c r="P1519" i="1" s="1"/>
  <c r="O1523" i="1"/>
  <c r="P1523" i="1" s="1"/>
  <c r="O1527" i="1"/>
  <c r="P1527" i="1" s="1"/>
  <c r="O1531" i="1"/>
  <c r="P1531" i="1" s="1"/>
  <c r="O1535" i="1"/>
  <c r="P1535" i="1" s="1"/>
  <c r="O1539" i="1"/>
  <c r="P1539" i="1" s="1"/>
  <c r="O1548" i="1"/>
  <c r="P1548" i="1" s="1"/>
  <c r="O1620" i="1"/>
  <c r="P1620" i="1" s="1"/>
  <c r="O1636" i="1"/>
  <c r="P1636" i="1" s="1"/>
  <c r="O1652" i="1"/>
  <c r="P1652" i="1" s="1"/>
  <c r="O1668" i="1"/>
  <c r="P1668" i="1" s="1"/>
  <c r="O1684" i="1"/>
  <c r="P1684" i="1" s="1"/>
  <c r="O1700" i="1"/>
  <c r="P1700" i="1" s="1"/>
  <c r="O1552" i="1"/>
  <c r="P1552" i="1" s="1"/>
  <c r="O1556" i="1"/>
  <c r="P1556" i="1" s="1"/>
  <c r="O1560" i="1"/>
  <c r="P1560" i="1" s="1"/>
  <c r="O1564" i="1"/>
  <c r="P1564" i="1" s="1"/>
  <c r="O1568" i="1"/>
  <c r="P1568" i="1" s="1"/>
  <c r="O1572" i="1"/>
  <c r="P1572" i="1" s="1"/>
  <c r="O1576" i="1"/>
  <c r="P1576" i="1" s="1"/>
  <c r="O1580" i="1"/>
  <c r="P1580" i="1" s="1"/>
  <c r="O1584" i="1"/>
  <c r="P1584" i="1" s="1"/>
  <c r="O1588" i="1"/>
  <c r="P1588" i="1" s="1"/>
  <c r="O1592" i="1"/>
  <c r="P1592" i="1" s="1"/>
  <c r="O1596" i="1"/>
  <c r="P1596" i="1" s="1"/>
  <c r="O1600" i="1"/>
  <c r="P1600" i="1" s="1"/>
  <c r="O1604" i="1"/>
  <c r="P1604" i="1" s="1"/>
  <c r="O1608" i="1"/>
  <c r="P1608" i="1" s="1"/>
  <c r="O1612" i="1"/>
  <c r="P1612" i="1" s="1"/>
  <c r="O1628" i="1"/>
  <c r="P1628" i="1" s="1"/>
  <c r="O1644" i="1"/>
  <c r="P1644" i="1" s="1"/>
  <c r="O1660" i="1"/>
  <c r="P1660" i="1" s="1"/>
  <c r="O1676" i="1"/>
  <c r="P1676" i="1" s="1"/>
  <c r="O1692" i="1"/>
  <c r="P1692" i="1" s="1"/>
  <c r="F18" i="11"/>
  <c r="F9" i="11"/>
  <c r="F13" i="11" s="1"/>
  <c r="E9" i="11"/>
  <c r="E13" i="11" s="1"/>
  <c r="H12" i="11"/>
  <c r="G12" i="11"/>
  <c r="F12" i="11"/>
  <c r="E12" i="11"/>
  <c r="H9" i="11"/>
  <c r="H13" i="11" s="1"/>
  <c r="H18" i="11"/>
  <c r="G9" i="11"/>
  <c r="G13" i="11" s="1"/>
  <c r="G18" i="11"/>
  <c r="P34" i="1" l="1"/>
  <c r="I33" i="11"/>
  <c r="J37" i="11"/>
  <c r="I32" i="11"/>
  <c r="I19" i="11" s="1" a="1"/>
  <c r="I19" i="11" s="1"/>
  <c r="J32" i="11"/>
  <c r="J19" i="11" s="1" a="1"/>
  <c r="J19" i="11" s="1"/>
  <c r="M30" i="11"/>
  <c r="M29" i="11"/>
  <c r="M28" i="11"/>
  <c r="J38" i="11"/>
  <c r="I38" i="11"/>
  <c r="P37" i="1"/>
  <c r="P36" i="1"/>
  <c r="J28" i="11" l="1"/>
  <c r="J18" i="11" s="1"/>
  <c r="I28" i="11"/>
  <c r="I18" i="11" s="1"/>
  <c r="I7" i="11" s="1"/>
  <c r="I29" i="11"/>
  <c r="J29" i="11"/>
  <c r="I30" i="11"/>
  <c r="J30" i="11"/>
  <c r="I9" i="11" l="1"/>
  <c r="J7" i="11"/>
  <c r="I13" i="11"/>
  <c r="J13" i="11" l="1"/>
  <c r="J9" i="1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<sst xmlns="http://schemas.openxmlformats.org/spreadsheetml/2006/main" count="11126" uniqueCount="632">
  <si>
    <t>Column1</t>
  </si>
  <si>
    <t>Ticker Symbol</t>
  </si>
  <si>
    <t>Years</t>
  </si>
  <si>
    <t>PeriodEnding</t>
  </si>
  <si>
    <t>year</t>
  </si>
  <si>
    <t xml:space="preserve"> Total Revenue </t>
  </si>
  <si>
    <t xml:space="preserve"> Cost of Goods Sold </t>
  </si>
  <si>
    <t xml:space="preserve"> Sales General and Admin. </t>
  </si>
  <si>
    <t xml:space="preserve"> Research and Development </t>
  </si>
  <si>
    <t xml:space="preserve"> Other Operating Items </t>
  </si>
  <si>
    <t>GICS Sector</t>
  </si>
  <si>
    <t>GICS Sub Industry</t>
  </si>
  <si>
    <t>Gross Profit = Revenue - COGS</t>
  </si>
  <si>
    <t>Total Operating Expenses= SGAs + Operating Expenses</t>
  </si>
  <si>
    <t>Operating Profit, EBIT = Gross Profit - Total Operating Expenses</t>
  </si>
  <si>
    <t>operating margin -  operating income / total revenue</t>
  </si>
  <si>
    <t>Gross Margin 
[1-(Cost of Revenue/Total Revenue)]</t>
  </si>
  <si>
    <t>AAL</t>
  </si>
  <si>
    <t>Year 1</t>
  </si>
  <si>
    <t>Industrials</t>
  </si>
  <si>
    <t>Airlines</t>
  </si>
  <si>
    <t>Year 2</t>
  </si>
  <si>
    <t>Year 3</t>
  </si>
  <si>
    <t>Year 4</t>
  </si>
  <si>
    <t>AAP</t>
  </si>
  <si>
    <t>Consumer Discretionary</t>
  </si>
  <si>
    <t>Automotive Retail</t>
  </si>
  <si>
    <t>AAPL</t>
  </si>
  <si>
    <t>Information Technology</t>
  </si>
  <si>
    <t>Computer Hardware</t>
  </si>
  <si>
    <t>ABBV</t>
  </si>
  <si>
    <t>Health Care</t>
  </si>
  <si>
    <t>Pharmaceuticals</t>
  </si>
  <si>
    <t>ABC</t>
  </si>
  <si>
    <t>Health Care Distributors</t>
  </si>
  <si>
    <t>ABT</t>
  </si>
  <si>
    <t>Health Care Equipment</t>
  </si>
  <si>
    <t>ADBE</t>
  </si>
  <si>
    <t>Application Software</t>
  </si>
  <si>
    <t>ADI</t>
  </si>
  <si>
    <t>Semiconductors</t>
  </si>
  <si>
    <t>ADM</t>
  </si>
  <si>
    <t>Consumer Staples</t>
  </si>
  <si>
    <t>Agricultural Products</t>
  </si>
  <si>
    <t>ADS</t>
  </si>
  <si>
    <t>Data Processing &amp; Outsourced Services</t>
  </si>
  <si>
    <t>ADSK</t>
  </si>
  <si>
    <t>AEE</t>
  </si>
  <si>
    <t>Utilities</t>
  </si>
  <si>
    <t>MultiUtilities</t>
  </si>
  <si>
    <t>AEP</t>
  </si>
  <si>
    <t>Electric Utilities</t>
  </si>
  <si>
    <t>AFL</t>
  </si>
  <si>
    <t>Financials</t>
  </si>
  <si>
    <t>Life &amp; Health Insurance</t>
  </si>
  <si>
    <t>AIG</t>
  </si>
  <si>
    <t>Property &amp; Casualty Insurance</t>
  </si>
  <si>
    <t>AIV</t>
  </si>
  <si>
    <t>Real Estate</t>
  </si>
  <si>
    <t>REITs</t>
  </si>
  <si>
    <t>AIZ</t>
  </si>
  <si>
    <t>Multi0line Insurance</t>
  </si>
  <si>
    <t>AKAM</t>
  </si>
  <si>
    <t>Internet Software &amp; Services</t>
  </si>
  <si>
    <t>ALB</t>
  </si>
  <si>
    <t>Materials</t>
  </si>
  <si>
    <t>Specialty Chemicals</t>
  </si>
  <si>
    <t>ALK</t>
  </si>
  <si>
    <t>ALL</t>
  </si>
  <si>
    <t>ALLE</t>
  </si>
  <si>
    <t>Building Products</t>
  </si>
  <si>
    <t>ALXN</t>
  </si>
  <si>
    <t>Biotechnology</t>
  </si>
  <si>
    <t>AMAT</t>
  </si>
  <si>
    <t>Semiconductor Equipment</t>
  </si>
  <si>
    <t>AME</t>
  </si>
  <si>
    <t>Electrical Components &amp; Equipment</t>
  </si>
  <si>
    <t>AMGN</t>
  </si>
  <si>
    <t>AMP</t>
  </si>
  <si>
    <t>Asset Management &amp; Custody Banks</t>
  </si>
  <si>
    <t>AMT</t>
  </si>
  <si>
    <t>Specialized REITs</t>
  </si>
  <si>
    <t>AMZN</t>
  </si>
  <si>
    <t>Internet &amp; Direct Marketing Retail</t>
  </si>
  <si>
    <t>AN</t>
  </si>
  <si>
    <t>Specialty Stores</t>
  </si>
  <si>
    <t>ANTM</t>
  </si>
  <si>
    <t>Managed Health Care</t>
  </si>
  <si>
    <t>APA</t>
  </si>
  <si>
    <t>Energy</t>
  </si>
  <si>
    <t>Oil &amp; Gas Exploration &amp; Production</t>
  </si>
  <si>
    <t>APC</t>
  </si>
  <si>
    <t>APD</t>
  </si>
  <si>
    <t>Industrial Gases</t>
  </si>
  <si>
    <t>APH</t>
  </si>
  <si>
    <t>Electronic Components</t>
  </si>
  <si>
    <t>ARNC</t>
  </si>
  <si>
    <t>Aerospace &amp; Defense</t>
  </si>
  <si>
    <t>ATVI</t>
  </si>
  <si>
    <t>Home Entertainment Software</t>
  </si>
  <si>
    <t>AVGO</t>
  </si>
  <si>
    <t>AVY</t>
  </si>
  <si>
    <t>Paper Packaging</t>
  </si>
  <si>
    <t>AWK</t>
  </si>
  <si>
    <t>Water Utilities</t>
  </si>
  <si>
    <t>AXP</t>
  </si>
  <si>
    <t>Consumer Finance</t>
  </si>
  <si>
    <t>AYI</t>
  </si>
  <si>
    <t>AZO</t>
  </si>
  <si>
    <t>BA</t>
  </si>
  <si>
    <t>BAC</t>
  </si>
  <si>
    <t>Banks</t>
  </si>
  <si>
    <t>BAX</t>
  </si>
  <si>
    <t>BBBY</t>
  </si>
  <si>
    <t>BBT</t>
  </si>
  <si>
    <t>BBY</t>
  </si>
  <si>
    <t>Computer &amp; Electronics Retail</t>
  </si>
  <si>
    <t>BCR</t>
  </si>
  <si>
    <t>BDX</t>
  </si>
  <si>
    <t>BHI</t>
  </si>
  <si>
    <t>Oil &amp; Gas Equipment &amp; Services</t>
  </si>
  <si>
    <t>BIIB</t>
  </si>
  <si>
    <t>BLL</t>
  </si>
  <si>
    <t>Metal &amp; Glass Containers</t>
  </si>
  <si>
    <t>BMY</t>
  </si>
  <si>
    <t>BSX</t>
  </si>
  <si>
    <t>BWA</t>
  </si>
  <si>
    <t>Auto Parts &amp; Equipment</t>
  </si>
  <si>
    <t>BXP</t>
  </si>
  <si>
    <t>CAG</t>
  </si>
  <si>
    <t>Packaged Foods &amp; Meats</t>
  </si>
  <si>
    <t>CAH</t>
  </si>
  <si>
    <t>CAT</t>
  </si>
  <si>
    <t>Construction &amp; Farm Machinery &amp; Heavy Trucks</t>
  </si>
  <si>
    <t>CB</t>
  </si>
  <si>
    <t>CBG</t>
  </si>
  <si>
    <t>Real Estate Services</t>
  </si>
  <si>
    <t>CCI</t>
  </si>
  <si>
    <t>CCL</t>
  </si>
  <si>
    <t>Hotels, Resorts &amp; Cruise Lines</t>
  </si>
  <si>
    <t>CELG</t>
  </si>
  <si>
    <t>CERN</t>
  </si>
  <si>
    <t>Health Care Technology</t>
  </si>
  <si>
    <t>CF</t>
  </si>
  <si>
    <t>Fertilizers &amp; Agricultural Chemicals</t>
  </si>
  <si>
    <t>CFG</t>
  </si>
  <si>
    <t>Regional Banks</t>
  </si>
  <si>
    <t>CHD</t>
  </si>
  <si>
    <t>Household Products</t>
  </si>
  <si>
    <t>CHK</t>
  </si>
  <si>
    <t>Integrated Oil &amp; Gas</t>
  </si>
  <si>
    <t>CHRW</t>
  </si>
  <si>
    <t>Air Freight &amp; Logistics</t>
  </si>
  <si>
    <t>CHTR</t>
  </si>
  <si>
    <t>Cable &amp; Satellite</t>
  </si>
  <si>
    <t>CI</t>
  </si>
  <si>
    <t>CINF</t>
  </si>
  <si>
    <t>CL</t>
  </si>
  <si>
    <t>CLX</t>
  </si>
  <si>
    <t>CMA</t>
  </si>
  <si>
    <t>CMG</t>
  </si>
  <si>
    <t>Restaurants</t>
  </si>
  <si>
    <t>CMI</t>
  </si>
  <si>
    <t>Industrial Machinery</t>
  </si>
  <si>
    <t>CMS</t>
  </si>
  <si>
    <t>CNC</t>
  </si>
  <si>
    <t>CNP</t>
  </si>
  <si>
    <t>COF</t>
  </si>
  <si>
    <t>COG</t>
  </si>
  <si>
    <t>COL</t>
  </si>
  <si>
    <t>Industrial Conglomerates</t>
  </si>
  <si>
    <t>COO</t>
  </si>
  <si>
    <t>Health Care Supplies</t>
  </si>
  <si>
    <t>COST</t>
  </si>
  <si>
    <t>Hypermarkets &amp; Super Centers</t>
  </si>
  <si>
    <t>COTY</t>
  </si>
  <si>
    <t>Personal Products</t>
  </si>
  <si>
    <t>CPB</t>
  </si>
  <si>
    <t>CRM</t>
  </si>
  <si>
    <t>CSCO</t>
  </si>
  <si>
    <t>Networking Equipment</t>
  </si>
  <si>
    <t>CSRA</t>
  </si>
  <si>
    <t>IT Consulting &amp; Other Services</t>
  </si>
  <si>
    <t>CSX</t>
  </si>
  <si>
    <t>Railroads</t>
  </si>
  <si>
    <t>CTAS</t>
  </si>
  <si>
    <t>Diversified Support Services</t>
  </si>
  <si>
    <t>CTL</t>
  </si>
  <si>
    <t>Telecommunications Services</t>
  </si>
  <si>
    <t>Integrated Telecommunications Services</t>
  </si>
  <si>
    <t>CTSH</t>
  </si>
  <si>
    <t>CTXS</t>
  </si>
  <si>
    <t>CVS</t>
  </si>
  <si>
    <t>Drug Retail</t>
  </si>
  <si>
    <t>CVX</t>
  </si>
  <si>
    <t>CXO</t>
  </si>
  <si>
    <t>D</t>
  </si>
  <si>
    <t>DAL</t>
  </si>
  <si>
    <t>DD</t>
  </si>
  <si>
    <t>Diversified Chemicals</t>
  </si>
  <si>
    <t>DE</t>
  </si>
  <si>
    <t>DFS</t>
  </si>
  <si>
    <t>DG</t>
  </si>
  <si>
    <t>General Merchandise Stores</t>
  </si>
  <si>
    <t>DGX</t>
  </si>
  <si>
    <t>Health Care Facilities</t>
  </si>
  <si>
    <t>DHI</t>
  </si>
  <si>
    <t>Homebuilding</t>
  </si>
  <si>
    <t>DHR</t>
  </si>
  <si>
    <t>DIS</t>
  </si>
  <si>
    <t>Broadcasting &amp; Cable TV</t>
  </si>
  <si>
    <t>DISCA</t>
  </si>
  <si>
    <t>DISCK</t>
  </si>
  <si>
    <t>DLPH</t>
  </si>
  <si>
    <t>DLR</t>
  </si>
  <si>
    <t>DLTR</t>
  </si>
  <si>
    <t>DNB</t>
  </si>
  <si>
    <t>Research &amp; Consulting Services</t>
  </si>
  <si>
    <t>DOV</t>
  </si>
  <si>
    <t>DPS</t>
  </si>
  <si>
    <t>Soft Drinks</t>
  </si>
  <si>
    <t>DRI</t>
  </si>
  <si>
    <t>DUK</t>
  </si>
  <si>
    <t>DVA</t>
  </si>
  <si>
    <t>DVN</t>
  </si>
  <si>
    <t>EA</t>
  </si>
  <si>
    <t>EBAY</t>
  </si>
  <si>
    <t>ECL</t>
  </si>
  <si>
    <t>ED</t>
  </si>
  <si>
    <t>EFX</t>
  </si>
  <si>
    <t>EIX</t>
  </si>
  <si>
    <t>EL</t>
  </si>
  <si>
    <t>EMN</t>
  </si>
  <si>
    <t>EMR</t>
  </si>
  <si>
    <t>EOG</t>
  </si>
  <si>
    <t>EQIX</t>
  </si>
  <si>
    <t>EQR</t>
  </si>
  <si>
    <t>EQT</t>
  </si>
  <si>
    <t>ES</t>
  </si>
  <si>
    <t>ESS</t>
  </si>
  <si>
    <t>Residential REITs</t>
  </si>
  <si>
    <t>ETFC</t>
  </si>
  <si>
    <t>Investment Banking &amp; Brokerage</t>
  </si>
  <si>
    <t>ETN</t>
  </si>
  <si>
    <t>ETR</t>
  </si>
  <si>
    <t>EW</t>
  </si>
  <si>
    <t>EXC</t>
  </si>
  <si>
    <t>EXPD</t>
  </si>
  <si>
    <t>EXPE</t>
  </si>
  <si>
    <t>EXR</t>
  </si>
  <si>
    <t>F</t>
  </si>
  <si>
    <t>Automobile Manufacturers</t>
  </si>
  <si>
    <t>FAST</t>
  </si>
  <si>
    <t>FB</t>
  </si>
  <si>
    <t>FBHS</t>
  </si>
  <si>
    <t>FCX</t>
  </si>
  <si>
    <t>Copper</t>
  </si>
  <si>
    <t>FDX</t>
  </si>
  <si>
    <t>FE</t>
  </si>
  <si>
    <t>FFIV</t>
  </si>
  <si>
    <t>FIS</t>
  </si>
  <si>
    <t>FISV</t>
  </si>
  <si>
    <t>FL</t>
  </si>
  <si>
    <t>Apparel Retail</t>
  </si>
  <si>
    <t>FLIR</t>
  </si>
  <si>
    <t>Electronic Equipment &amp; Instruments</t>
  </si>
  <si>
    <t>FLR</t>
  </si>
  <si>
    <t>Diversified Commercial Services</t>
  </si>
  <si>
    <t>FLS</t>
  </si>
  <si>
    <t>FMC</t>
  </si>
  <si>
    <t>FRT</t>
  </si>
  <si>
    <t>Retail REITs</t>
  </si>
  <si>
    <t>FSLR</t>
  </si>
  <si>
    <t>FTR</t>
  </si>
  <si>
    <t>GD</t>
  </si>
  <si>
    <t>GGP</t>
  </si>
  <si>
    <t>GILD</t>
  </si>
  <si>
    <t>GIS</t>
  </si>
  <si>
    <t>GLW</t>
  </si>
  <si>
    <t>GM</t>
  </si>
  <si>
    <t>GPC</t>
  </si>
  <si>
    <t>GPN</t>
  </si>
  <si>
    <t>GPS</t>
  </si>
  <si>
    <t>GRMN</t>
  </si>
  <si>
    <t>Consumer Electronics</t>
  </si>
  <si>
    <t>GT</t>
  </si>
  <si>
    <t>Tires &amp; Rubber</t>
  </si>
  <si>
    <t>GWW</t>
  </si>
  <si>
    <t>Industrial Materials</t>
  </si>
  <si>
    <t>HAL</t>
  </si>
  <si>
    <t>HAR</t>
  </si>
  <si>
    <t>HAS</t>
  </si>
  <si>
    <t>Leisure Products</t>
  </si>
  <si>
    <t>HBAN</t>
  </si>
  <si>
    <t>HBI</t>
  </si>
  <si>
    <t>Apparel, Accessories &amp; Luxury Goods</t>
  </si>
  <si>
    <t>HCA</t>
  </si>
  <si>
    <t>HCN</t>
  </si>
  <si>
    <t>HCP</t>
  </si>
  <si>
    <t>HD</t>
  </si>
  <si>
    <t>Home Improvement Retail</t>
  </si>
  <si>
    <t>HES</t>
  </si>
  <si>
    <t>HIG</t>
  </si>
  <si>
    <t>HOG</t>
  </si>
  <si>
    <t>Motorcycle Manufacturers</t>
  </si>
  <si>
    <t>HOLX</t>
  </si>
  <si>
    <t>HON</t>
  </si>
  <si>
    <t>HP</t>
  </si>
  <si>
    <t>Oil &amp; Gas Drilling</t>
  </si>
  <si>
    <t>HPE</t>
  </si>
  <si>
    <t>Technology Hardware, Storage &amp; Peripherals</t>
  </si>
  <si>
    <t>HPQ</t>
  </si>
  <si>
    <t>HRB</t>
  </si>
  <si>
    <t>HRL</t>
  </si>
  <si>
    <t>HRS</t>
  </si>
  <si>
    <t>Telecommunications Equipment</t>
  </si>
  <si>
    <t>HSIC</t>
  </si>
  <si>
    <t>HST</t>
  </si>
  <si>
    <t>HSY</t>
  </si>
  <si>
    <t>HUM</t>
  </si>
  <si>
    <t>IBM</t>
  </si>
  <si>
    <t>IDXX</t>
  </si>
  <si>
    <t>IFF</t>
  </si>
  <si>
    <t>ILMN</t>
  </si>
  <si>
    <t>Life Sciences Tools &amp; Services</t>
  </si>
  <si>
    <t>INTC</t>
  </si>
  <si>
    <t>INTU</t>
  </si>
  <si>
    <t>IP</t>
  </si>
  <si>
    <t>IPG</t>
  </si>
  <si>
    <t>Advertising</t>
  </si>
  <si>
    <t>IRM</t>
  </si>
  <si>
    <t>ISRG</t>
  </si>
  <si>
    <t>ITW</t>
  </si>
  <si>
    <t>IVZ</t>
  </si>
  <si>
    <t>JBHT</t>
  </si>
  <si>
    <t>Trucking</t>
  </si>
  <si>
    <t>JEC</t>
  </si>
  <si>
    <t>JNPR</t>
  </si>
  <si>
    <t>JPM</t>
  </si>
  <si>
    <t>JWN</t>
  </si>
  <si>
    <t>Department Stores</t>
  </si>
  <si>
    <t>K</t>
  </si>
  <si>
    <t>KEY</t>
  </si>
  <si>
    <t>KIM</t>
  </si>
  <si>
    <t>KLAC</t>
  </si>
  <si>
    <t>KMB</t>
  </si>
  <si>
    <t>KMI</t>
  </si>
  <si>
    <t>Oil &amp; Gas Refining &amp; Marketing &amp; Transportation</t>
  </si>
  <si>
    <t>KMX</t>
  </si>
  <si>
    <t>KO</t>
  </si>
  <si>
    <t>KORS</t>
  </si>
  <si>
    <t>KR</t>
  </si>
  <si>
    <t>Food Retail</t>
  </si>
  <si>
    <t>KSS</t>
  </si>
  <si>
    <t>KSU</t>
  </si>
  <si>
    <t>LB</t>
  </si>
  <si>
    <t>LEG</t>
  </si>
  <si>
    <t>LEN</t>
  </si>
  <si>
    <t>LH</t>
  </si>
  <si>
    <t>LKQ</t>
  </si>
  <si>
    <t>Distributors</t>
  </si>
  <si>
    <t>LLL</t>
  </si>
  <si>
    <t>LLTC</t>
  </si>
  <si>
    <t>LLY</t>
  </si>
  <si>
    <t>LMT</t>
  </si>
  <si>
    <t>LNT</t>
  </si>
  <si>
    <t>LOW</t>
  </si>
  <si>
    <t>LRCX</t>
  </si>
  <si>
    <t>LUK</t>
  </si>
  <si>
    <t>Multi0Sector Holdings</t>
  </si>
  <si>
    <t>LUV</t>
  </si>
  <si>
    <t>LVLT</t>
  </si>
  <si>
    <t>Alternative Carriers</t>
  </si>
  <si>
    <t>LYB</t>
  </si>
  <si>
    <t>M</t>
  </si>
  <si>
    <t>MA</t>
  </si>
  <si>
    <t>MAA</t>
  </si>
  <si>
    <t>MAC</t>
  </si>
  <si>
    <t>MAR</t>
  </si>
  <si>
    <t>MAS</t>
  </si>
  <si>
    <t>MAT</t>
  </si>
  <si>
    <t>MCD</t>
  </si>
  <si>
    <t>MCHP</t>
  </si>
  <si>
    <t>MCK</t>
  </si>
  <si>
    <t>MCO</t>
  </si>
  <si>
    <t>Diversified Financial Services</t>
  </si>
  <si>
    <t>MDLZ</t>
  </si>
  <si>
    <t>MET</t>
  </si>
  <si>
    <t>MHK</t>
  </si>
  <si>
    <t>Home Furnishings</t>
  </si>
  <si>
    <t>MJN</t>
  </si>
  <si>
    <t>MKC</t>
  </si>
  <si>
    <t>MLM</t>
  </si>
  <si>
    <t>Construction Materials</t>
  </si>
  <si>
    <t>MMC</t>
  </si>
  <si>
    <t>Insurance Brokers</t>
  </si>
  <si>
    <t>MMM</t>
  </si>
  <si>
    <t>MNST</t>
  </si>
  <si>
    <t>MO</t>
  </si>
  <si>
    <t>Tobacco</t>
  </si>
  <si>
    <t>MON</t>
  </si>
  <si>
    <t>MOS</t>
  </si>
  <si>
    <t>MPC</t>
  </si>
  <si>
    <t>MRK</t>
  </si>
  <si>
    <t>MRO</t>
  </si>
  <si>
    <t>MSFT</t>
  </si>
  <si>
    <t>Systems Software</t>
  </si>
  <si>
    <t>MTB</t>
  </si>
  <si>
    <t>MTD</t>
  </si>
  <si>
    <t>MU</t>
  </si>
  <si>
    <t>MUR</t>
  </si>
  <si>
    <t>MYL</t>
  </si>
  <si>
    <t>NBL</t>
  </si>
  <si>
    <t>NDAQ</t>
  </si>
  <si>
    <t>NEE</t>
  </si>
  <si>
    <t>NEM</t>
  </si>
  <si>
    <t>Gold</t>
  </si>
  <si>
    <t>NFLX</t>
  </si>
  <si>
    <t>NFX</t>
  </si>
  <si>
    <t>NKE</t>
  </si>
  <si>
    <t>NLSN</t>
  </si>
  <si>
    <t>NOV</t>
  </si>
  <si>
    <t>NSC</t>
  </si>
  <si>
    <t>NTAP</t>
  </si>
  <si>
    <t>NUE</t>
  </si>
  <si>
    <t>Steel</t>
  </si>
  <si>
    <t>NVDA</t>
  </si>
  <si>
    <t>NWL</t>
  </si>
  <si>
    <t>Housewares &amp; Specialties</t>
  </si>
  <si>
    <t>O</t>
  </si>
  <si>
    <t>OKE</t>
  </si>
  <si>
    <t>OMC</t>
  </si>
  <si>
    <t>ORLY</t>
  </si>
  <si>
    <t>OXY</t>
  </si>
  <si>
    <t>PBCT</t>
  </si>
  <si>
    <t>Thrifts &amp; Mortgage Finance</t>
  </si>
  <si>
    <t>PBI</t>
  </si>
  <si>
    <t>Technology, Hardware, Software and Supplies</t>
  </si>
  <si>
    <t>PCAR</t>
  </si>
  <si>
    <t>PCG</t>
  </si>
  <si>
    <t>PCLN</t>
  </si>
  <si>
    <t>PDCO</t>
  </si>
  <si>
    <t>PEG</t>
  </si>
  <si>
    <t>PEP</t>
  </si>
  <si>
    <t>PFE</t>
  </si>
  <si>
    <t>PFG</t>
  </si>
  <si>
    <t>PG</t>
  </si>
  <si>
    <t>PGR</t>
  </si>
  <si>
    <t>PH</t>
  </si>
  <si>
    <t>PHM</t>
  </si>
  <si>
    <t>PKI</t>
  </si>
  <si>
    <t>PM</t>
  </si>
  <si>
    <t>PNC</t>
  </si>
  <si>
    <t>PNR</t>
  </si>
  <si>
    <t>PNW</t>
  </si>
  <si>
    <t>PPG</t>
  </si>
  <si>
    <t>PPL</t>
  </si>
  <si>
    <t>PRU</t>
  </si>
  <si>
    <t>PSX</t>
  </si>
  <si>
    <t>PVH</t>
  </si>
  <si>
    <t>PWR</t>
  </si>
  <si>
    <t>PX</t>
  </si>
  <si>
    <t>QCOM</t>
  </si>
  <si>
    <t>QRVO</t>
  </si>
  <si>
    <t>R</t>
  </si>
  <si>
    <t>RCL</t>
  </si>
  <si>
    <t>REGN</t>
  </si>
  <si>
    <t>RHI</t>
  </si>
  <si>
    <t>Human Resource &amp; Employment Services</t>
  </si>
  <si>
    <t>RHT</t>
  </si>
  <si>
    <t>RL</t>
  </si>
  <si>
    <t>ROK</t>
  </si>
  <si>
    <t>ROP</t>
  </si>
  <si>
    <t>ROST</t>
  </si>
  <si>
    <t>RRC</t>
  </si>
  <si>
    <t>RSG</t>
  </si>
  <si>
    <t>SBUX</t>
  </si>
  <si>
    <t>SCG</t>
  </si>
  <si>
    <t>SE</t>
  </si>
  <si>
    <t>SEE</t>
  </si>
  <si>
    <t>SHW</t>
  </si>
  <si>
    <t>SIG</t>
  </si>
  <si>
    <t>SJM</t>
  </si>
  <si>
    <t>SLG</t>
  </si>
  <si>
    <t>Office REITs</t>
  </si>
  <si>
    <t>SNA</t>
  </si>
  <si>
    <t>Household Appliances</t>
  </si>
  <si>
    <t>SNI</t>
  </si>
  <si>
    <t>SO</t>
  </si>
  <si>
    <t>SPG</t>
  </si>
  <si>
    <t>SPLS</t>
  </si>
  <si>
    <t>SRCL</t>
  </si>
  <si>
    <t>SRE</t>
  </si>
  <si>
    <t>STI</t>
  </si>
  <si>
    <t>STX</t>
  </si>
  <si>
    <t>Computer Storage &amp; Peripherals</t>
  </si>
  <si>
    <t>STZ</t>
  </si>
  <si>
    <t>Distillers &amp; Vintners</t>
  </si>
  <si>
    <t>SWK</t>
  </si>
  <si>
    <t>SWKS</t>
  </si>
  <si>
    <t>SWN</t>
  </si>
  <si>
    <t>SYF</t>
  </si>
  <si>
    <t>SYK</t>
  </si>
  <si>
    <t>SYMC</t>
  </si>
  <si>
    <t>SYY</t>
  </si>
  <si>
    <t>Food Distributors</t>
  </si>
  <si>
    <t>T</t>
  </si>
  <si>
    <t>TAP</t>
  </si>
  <si>
    <t>Brewers</t>
  </si>
  <si>
    <t>TDC</t>
  </si>
  <si>
    <t>TDG</t>
  </si>
  <si>
    <t>TEL</t>
  </si>
  <si>
    <t>Electronic Manufacturing Services</t>
  </si>
  <si>
    <t>TGNA</t>
  </si>
  <si>
    <t>Publishing</t>
  </si>
  <si>
    <t>TGT</t>
  </si>
  <si>
    <t>TIF</t>
  </si>
  <si>
    <t>TJX</t>
  </si>
  <si>
    <t>TMK</t>
  </si>
  <si>
    <t>TMO</t>
  </si>
  <si>
    <t>TRIP</t>
  </si>
  <si>
    <t>TRV</t>
  </si>
  <si>
    <t>TSCO</t>
  </si>
  <si>
    <t>Specialty Retail</t>
  </si>
  <si>
    <t>TSN</t>
  </si>
  <si>
    <t>TSO</t>
  </si>
  <si>
    <t>TSS</t>
  </si>
  <si>
    <t>TXN</t>
  </si>
  <si>
    <t>TXT</t>
  </si>
  <si>
    <t>UA</t>
  </si>
  <si>
    <t>UAA</t>
  </si>
  <si>
    <t>UAL</t>
  </si>
  <si>
    <t>UDR</t>
  </si>
  <si>
    <t>ULTA</t>
  </si>
  <si>
    <t>UNH</t>
  </si>
  <si>
    <t>UNM</t>
  </si>
  <si>
    <t>UNP</t>
  </si>
  <si>
    <t>UPS</t>
  </si>
  <si>
    <t>URBN</t>
  </si>
  <si>
    <t>USB</t>
  </si>
  <si>
    <t>UTX</t>
  </si>
  <si>
    <t>V</t>
  </si>
  <si>
    <t>VAR</t>
  </si>
  <si>
    <t>VFC</t>
  </si>
  <si>
    <t>VIAB</t>
  </si>
  <si>
    <t>VLO</t>
  </si>
  <si>
    <t>VMC</t>
  </si>
  <si>
    <t>VNO</t>
  </si>
  <si>
    <t>VRSK</t>
  </si>
  <si>
    <t>VRSN</t>
  </si>
  <si>
    <t>VRTX</t>
  </si>
  <si>
    <t>VTR</t>
  </si>
  <si>
    <t>VZ</t>
  </si>
  <si>
    <t>WAT</t>
  </si>
  <si>
    <t>WDC</t>
  </si>
  <si>
    <t>WEC</t>
  </si>
  <si>
    <t>WFC</t>
  </si>
  <si>
    <t>WFM</t>
  </si>
  <si>
    <t>WHR</t>
  </si>
  <si>
    <t>WM</t>
  </si>
  <si>
    <t>Environmental Services</t>
  </si>
  <si>
    <t>WMB</t>
  </si>
  <si>
    <t>WMT</t>
  </si>
  <si>
    <t>WRK</t>
  </si>
  <si>
    <t>WU</t>
  </si>
  <si>
    <t>WY</t>
  </si>
  <si>
    <t>WYN</t>
  </si>
  <si>
    <t>WYNN</t>
  </si>
  <si>
    <t>Casinos &amp; Gaming</t>
  </si>
  <si>
    <t>XEC</t>
  </si>
  <si>
    <t>XEL</t>
  </si>
  <si>
    <t>XL</t>
  </si>
  <si>
    <t>XLNX</t>
  </si>
  <si>
    <t>XOM</t>
  </si>
  <si>
    <t>XRAY</t>
  </si>
  <si>
    <t>XRX</t>
  </si>
  <si>
    <t>XYL</t>
  </si>
  <si>
    <t>YHOO</t>
  </si>
  <si>
    <t>YUM</t>
  </si>
  <si>
    <t>ZBH</t>
  </si>
  <si>
    <t>ZION</t>
  </si>
  <si>
    <t>ZTS</t>
  </si>
  <si>
    <t>MIN</t>
  </si>
  <si>
    <t>MAX</t>
  </si>
  <si>
    <t>AVERAGE</t>
  </si>
  <si>
    <t>STD</t>
  </si>
  <si>
    <t>MEDIAN</t>
  </si>
  <si>
    <t xml:space="preserve">What Is an Integrated Oil and Gas Company? </t>
  </si>
  <si>
    <t>An integrated oil and gas company is a business entity that engages in the exploration, production, refinement, and distribution of oil and gas, as opposed to companies that specialize in just one segment. Given the high entry costs relating to many oil and gas industry operations, many of the world's largest oil and gas companies, like Chevron and Exxon, are integrated.</t>
  </si>
  <si>
    <t>min</t>
  </si>
  <si>
    <t>log</t>
  </si>
  <si>
    <t>company P &amp; L:</t>
  </si>
  <si>
    <t>Toal revenue</t>
  </si>
  <si>
    <t>COGS</t>
  </si>
  <si>
    <t>Gross Profit</t>
  </si>
  <si>
    <t>Sales, General and admin</t>
  </si>
  <si>
    <t>other operating expances</t>
  </si>
  <si>
    <t xml:space="preserve">research &amp; development </t>
  </si>
  <si>
    <t>total operating expences</t>
  </si>
  <si>
    <t>Operating Profit or EBIT</t>
  </si>
  <si>
    <t>Ticker symbol</t>
  </si>
  <si>
    <t>Income Statement</t>
  </si>
  <si>
    <t>Historical</t>
  </si>
  <si>
    <t>Forecast</t>
  </si>
  <si>
    <t>Year 5</t>
  </si>
  <si>
    <t>Year 6</t>
  </si>
  <si>
    <t>Revenue</t>
  </si>
  <si>
    <t xml:space="preserve"> Sales, General and Admin. </t>
  </si>
  <si>
    <t>Other operating expenses</t>
  </si>
  <si>
    <t>Total operating expenses</t>
  </si>
  <si>
    <t>Operating income/ EBIT</t>
  </si>
  <si>
    <t>Operating statistics</t>
  </si>
  <si>
    <t>Assumptions</t>
  </si>
  <si>
    <t>Revenue growth (%)</t>
  </si>
  <si>
    <t>Gross margin</t>
  </si>
  <si>
    <t>Operating margin</t>
  </si>
  <si>
    <t>Scenario</t>
  </si>
  <si>
    <t>Strong case</t>
  </si>
  <si>
    <t>Operating Scenarios - sensitivity analysis</t>
  </si>
  <si>
    <t>Strong revenue</t>
  </si>
  <si>
    <t>Base case</t>
  </si>
  <si>
    <t>base revenue</t>
  </si>
  <si>
    <t>Weak case</t>
  </si>
  <si>
    <t>weak revenue</t>
  </si>
  <si>
    <t>Gross Margin</t>
  </si>
  <si>
    <t>strong gm</t>
  </si>
  <si>
    <t xml:space="preserve">base gm </t>
  </si>
  <si>
    <t>weak gm</t>
  </si>
  <si>
    <t>Operating Margin</t>
  </si>
  <si>
    <t>strong om</t>
  </si>
  <si>
    <t>base om</t>
  </si>
  <si>
    <t>weak 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</si>
</sst>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0;[Red]0"/>
    <numFmt numFmtId="165" formatCode="&quot;$&quot;#,##0"/>
    <numFmt numFmtId="166" formatCode="&quot;$&quot;#,##0.0"/>
    <numFmt numFmtId="167" formatCode="0.0%"/>
    <numFmt numFmtId="168" formatCode="_(&quot;$&quot;* #,##0_);_(&quot;$&quot;* \(#,##0\);_(&quot;$&quot;* &quot;-&quot;??_);_(@_)"/>
    <numFmt numFmtId="169" formatCode="[$$-409]#,##0"/>
    <numFmt numFmtId="170" formatCode="&quot;$&quot;#,##0.00"/>
  </numFmts>
  <fonts count="13">
    <font>
      <sz val="11"/>
      <color theme="1"/>
      <name val="Arial"/>
      <family val="2"/>
      <charset val="177"/>
      <scheme val="minor"/>
    </font>
    <font>
      <b/>
      <sz val="11"/>
      <color theme="0"/>
      <name val="Arial"/>
      <family val="2"/>
      <charset val="177"/>
      <scheme val="minor"/>
    </font>
    <font>
      <b/>
      <sz val="11"/>
      <color theme="1"/>
      <name val="Arial"/>
      <family val="2"/>
      <charset val="177"/>
      <scheme val="minor"/>
    </font>
    <font>
      <u/>
      <sz val="11"/>
      <color theme="10"/>
      <name val="Arial"/>
      <family val="2"/>
      <charset val="177"/>
      <scheme val="minor"/>
    </font>
    <font>
      <b/>
      <sz val="18"/>
      <color theme="1"/>
      <name val="Arial"/>
      <family val="2"/>
      <charset val="177"/>
      <scheme val="minor"/>
    </font>
    <font>
      <sz val="11"/>
      <color rgb="FF000000"/>
      <name val="Calibri"/>
      <family val="2"/>
    </font>
    <font>
      <i/>
      <sz val="11"/>
      <color rgb="FF0070C0"/>
      <name val="Calibri"/>
      <family val="2"/>
    </font>
    <font>
      <sz val="11"/>
      <color rgb="FF0070C0"/>
      <name val="Calibri"/>
      <family val="2"/>
    </font>
    <font>
      <b/>
      <sz val="11"/>
      <color rgb="FF000000"/>
      <name val="Calibri"/>
      <family val="2"/>
    </font>
    <font>
      <sz val="11"/>
      <color rgb="FF70AD47"/>
      <name val="Calibri"/>
      <family val="2"/>
    </font>
    <font>
      <sz val="11"/>
      <name val="Calibri"/>
      <family val="2"/>
    </font>
    <font>
      <b/>
      <i/>
      <sz val="11"/>
      <color rgb="FF000000"/>
      <name val="Calibri"/>
      <family val="2"/>
    </font>
    <font>
      <i/>
      <sz val="11"/>
      <color rgb="FF000000"/>
      <name val="Calibri"/>
      <family val="2"/>
    </font>
  </fonts>
  <fills count="16">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0"/>
        <bgColor indexed="64"/>
      </patternFill>
    </fill>
    <fill>
      <patternFill patternType="solid">
        <fgColor rgb="FF9CC2E5"/>
        <bgColor rgb="FF9CC2E5"/>
      </patternFill>
    </fill>
    <fill>
      <patternFill patternType="solid">
        <fgColor rgb="FFFFE598"/>
        <bgColor rgb="FFFFE598"/>
      </patternFill>
    </fill>
    <fill>
      <patternFill patternType="solid">
        <fgColor rgb="FFECECEC"/>
        <bgColor rgb="FFECECEC"/>
      </patternFill>
    </fill>
    <fill>
      <patternFill patternType="solid">
        <fgColor rgb="FFF4B083"/>
        <bgColor rgb="FFF4B083"/>
      </patternFill>
    </fill>
    <fill>
      <patternFill patternType="solid">
        <fgColor rgb="FFAEABAB"/>
        <bgColor rgb="FFAEABAB"/>
      </patternFill>
    </fill>
    <fill>
      <patternFill patternType="solid">
        <fgColor rgb="FFFFC000"/>
        <bgColor rgb="FFFFC000"/>
      </patternFill>
    </fill>
    <fill>
      <patternFill patternType="solid">
        <fgColor theme="4" tint="0.59999389629810485"/>
        <bgColor indexed="64"/>
      </patternFill>
    </fill>
    <fill>
      <patternFill patternType="solid">
        <fgColor rgb="FFFFC000"/>
        <bgColor indexed="64"/>
      </patternFill>
    </fill>
    <fill>
      <patternFill patternType="solid">
        <fgColor rgb="FF92D050"/>
        <bgColor indexed="64"/>
      </patternFill>
    </fill>
    <fill>
      <patternFill patternType="solid">
        <fgColor rgb="FF00B0F0"/>
        <bgColor indexed="64"/>
      </patternFill>
    </fill>
  </fills>
  <borders count="19">
    <border>
      <left/>
      <right/>
      <top/>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bottom style="double">
        <color indexed="64"/>
      </bottom>
      <diagonal/>
    </border>
    <border>
      <left/>
      <right style="thin">
        <color indexed="64"/>
      </right>
      <top/>
      <bottom/>
      <diagonal/>
    </border>
    <border>
      <left/>
      <right/>
      <top/>
      <bottom style="thin">
        <color rgb="FF000000"/>
      </bottom>
      <diagonal/>
    </border>
    <border>
      <left/>
      <right/>
      <top/>
      <bottom style="double">
        <color rgb="FF000000"/>
      </bottom>
      <diagonal/>
    </border>
    <border>
      <left style="medium">
        <color rgb="FF000000"/>
      </left>
      <right style="medium">
        <color rgb="FF000000"/>
      </right>
      <top style="medium">
        <color rgb="FF000000"/>
      </top>
      <bottom style="medium">
        <color rgb="FF000000"/>
      </bottom>
      <diagonal/>
    </border>
    <border>
      <left/>
      <right/>
      <top style="thin">
        <color rgb="FF000000"/>
      </top>
      <bottom style="double">
        <color rgb="FF000000"/>
      </bottom>
      <diagonal/>
    </border>
    <border>
      <left/>
      <right style="medium">
        <color rgb="FF000000"/>
      </right>
      <top/>
      <bottom/>
      <diagonal/>
    </border>
    <border>
      <left/>
      <right/>
      <top style="thin">
        <color indexed="64"/>
      </top>
      <bottom/>
      <diagonal/>
    </border>
    <border>
      <left/>
      <right/>
      <top style="thin">
        <color rgb="FF000000"/>
      </top>
      <bottom/>
      <diagonal/>
    </border>
    <border>
      <left/>
      <right/>
      <top style="thin">
        <color rgb="FF000000"/>
      </top>
      <bottom style="thin">
        <color rgb="FF000000"/>
      </bottom>
      <diagonal/>
    </border>
    <border>
      <left/>
      <right/>
      <top/>
      <bottom style="thin">
        <color indexed="64"/>
      </bottom>
      <diagonal/>
    </border>
  </borders>
  <cellStyleXfs count="3">
    <xf numFmtId="0" fontId="0" fillId="0" borderId="0"/>
    <xf numFmtId="0" fontId="3" fillId="0" borderId="0" applyNumberFormat="0" applyFill="0" applyBorder="0" applyAlignment="0" applyProtection="0"/>
    <xf numFmtId="0" fontId="5" fillId="0" borderId="0"/>
  </cellStyleXfs>
  <cellXfs count="111">
    <xf numFmtId="0" fontId="0" fillId="0" borderId="0" xfId="0"/>
    <xf numFmtId="0" fontId="1" fillId="2" borderId="0" xfId="0" applyFont="1" applyFill="1"/>
    <xf numFmtId="165" fontId="1" fillId="2" borderId="0" xfId="0" applyNumberFormat="1" applyFont="1" applyFill="1"/>
    <xf numFmtId="0" fontId="0" fillId="3" borderId="1" xfId="0" applyFill="1" applyBorder="1"/>
    <xf numFmtId="165" fontId="0" fillId="3" borderId="1" xfId="0" applyNumberFormat="1" applyFill="1" applyBorder="1"/>
    <xf numFmtId="0" fontId="0" fillId="0" borderId="1" xfId="0" applyBorder="1"/>
    <xf numFmtId="165" fontId="0" fillId="0" borderId="1" xfId="0" applyNumberFormat="1" applyBorder="1"/>
    <xf numFmtId="0" fontId="0" fillId="0" borderId="3" xfId="0" applyBorder="1"/>
    <xf numFmtId="0" fontId="1" fillId="2" borderId="2" xfId="0" applyFont="1" applyFill="1" applyBorder="1"/>
    <xf numFmtId="0" fontId="1" fillId="2" borderId="4" xfId="0" applyFont="1" applyFill="1" applyBorder="1"/>
    <xf numFmtId="165" fontId="1" fillId="2" borderId="5" xfId="0" applyNumberFormat="1" applyFont="1" applyFill="1" applyBorder="1"/>
    <xf numFmtId="0" fontId="0" fillId="3" borderId="2" xfId="0" applyFill="1" applyBorder="1"/>
    <xf numFmtId="0" fontId="0" fillId="3" borderId="4" xfId="0" applyFill="1" applyBorder="1"/>
    <xf numFmtId="165" fontId="0" fillId="3" borderId="5" xfId="0" applyNumberFormat="1" applyFill="1" applyBorder="1"/>
    <xf numFmtId="0" fontId="0" fillId="0" borderId="2" xfId="0" applyBorder="1"/>
    <xf numFmtId="0" fontId="0" fillId="0" borderId="4" xfId="0" applyBorder="1"/>
    <xf numFmtId="165" fontId="0" fillId="0" borderId="5" xfId="0" applyNumberFormat="1" applyBorder="1"/>
    <xf numFmtId="165" fontId="0" fillId="0" borderId="0" xfId="0" applyNumberFormat="1"/>
    <xf numFmtId="0" fontId="0" fillId="0" borderId="6" xfId="0" applyBorder="1"/>
    <xf numFmtId="165" fontId="0" fillId="0" borderId="4" xfId="0" applyNumberFormat="1" applyBorder="1"/>
    <xf numFmtId="0" fontId="0" fillId="3" borderId="7" xfId="0" applyFill="1" applyBorder="1"/>
    <xf numFmtId="0" fontId="0" fillId="3" borderId="3" xfId="0" applyFill="1" applyBorder="1"/>
    <xf numFmtId="0" fontId="0" fillId="0" borderId="7" xfId="0" applyBorder="1"/>
    <xf numFmtId="0" fontId="1" fillId="2" borderId="7" xfId="0" applyFont="1" applyFill="1" applyBorder="1"/>
    <xf numFmtId="165" fontId="1" fillId="2" borderId="1" xfId="0" applyNumberFormat="1" applyFont="1" applyFill="1" applyBorder="1"/>
    <xf numFmtId="0" fontId="1" fillId="2" borderId="1" xfId="0" applyFont="1" applyFill="1" applyBorder="1"/>
    <xf numFmtId="0" fontId="1" fillId="2" borderId="3" xfId="0" applyFont="1" applyFill="1" applyBorder="1"/>
    <xf numFmtId="165" fontId="0" fillId="3" borderId="4" xfId="0" applyNumberFormat="1" applyFill="1" applyBorder="1"/>
    <xf numFmtId="0" fontId="3" fillId="0" borderId="0" xfId="1"/>
    <xf numFmtId="0" fontId="4" fillId="0" borderId="0" xfId="0" applyFont="1" applyAlignment="1">
      <alignment vertical="center"/>
    </xf>
    <xf numFmtId="0" fontId="0" fillId="3" borderId="4" xfId="0" applyFont="1" applyFill="1" applyBorder="1"/>
    <xf numFmtId="0" fontId="0" fillId="0" borderId="4" xfId="0" applyFont="1" applyBorder="1"/>
    <xf numFmtId="0" fontId="0" fillId="4" borderId="0" xfId="0" applyFill="1"/>
    <xf numFmtId="0" fontId="0" fillId="5" borderId="8" xfId="0" applyFill="1" applyBorder="1"/>
    <xf numFmtId="0" fontId="5" fillId="0" borderId="0" xfId="2"/>
    <xf numFmtId="2" fontId="6" fillId="0" borderId="10" xfId="2" applyNumberFormat="1" applyFont="1" applyBorder="1" applyAlignment="1">
      <alignment horizontal="right"/>
    </xf>
    <xf numFmtId="0" fontId="5" fillId="0" borderId="10" xfId="2" applyBorder="1"/>
    <xf numFmtId="0" fontId="5" fillId="0" borderId="0" xfId="2" applyAlignment="1">
      <alignment horizontal="center"/>
    </xf>
    <xf numFmtId="2" fontId="6" fillId="0" borderId="0" xfId="2" applyNumberFormat="1" applyFont="1"/>
    <xf numFmtId="2" fontId="5" fillId="0" borderId="0" xfId="2" applyNumberFormat="1"/>
    <xf numFmtId="167" fontId="7" fillId="0" borderId="11" xfId="2" applyNumberFormat="1" applyFont="1" applyBorder="1"/>
    <xf numFmtId="167" fontId="7" fillId="0" borderId="11" xfId="2" applyNumberFormat="1" applyFont="1" applyBorder="1" applyAlignment="1">
      <alignment horizontal="center"/>
    </xf>
    <xf numFmtId="0" fontId="8" fillId="0" borderId="11" xfId="2" applyFont="1" applyBorder="1"/>
    <xf numFmtId="0" fontId="5" fillId="0" borderId="11" xfId="2" applyBorder="1"/>
    <xf numFmtId="167" fontId="6" fillId="0" borderId="0" xfId="2" applyNumberFormat="1" applyFont="1"/>
    <xf numFmtId="167" fontId="5" fillId="0" borderId="11" xfId="2" applyNumberFormat="1" applyBorder="1" applyAlignment="1">
      <alignment horizontal="center"/>
    </xf>
    <xf numFmtId="0" fontId="5" fillId="6" borderId="0" xfId="2" applyFill="1"/>
    <xf numFmtId="0" fontId="8" fillId="6" borderId="0" xfId="2" applyFont="1" applyFill="1"/>
    <xf numFmtId="0" fontId="5" fillId="7" borderId="12" xfId="2" applyFill="1" applyBorder="1"/>
    <xf numFmtId="2" fontId="7" fillId="8" borderId="10" xfId="2" applyNumberFormat="1" applyFont="1" applyFill="1" applyBorder="1"/>
    <xf numFmtId="2" fontId="9" fillId="8" borderId="10" xfId="2" applyNumberFormat="1" applyFont="1" applyFill="1" applyBorder="1"/>
    <xf numFmtId="0" fontId="5" fillId="8" borderId="10" xfId="2" applyFill="1" applyBorder="1"/>
    <xf numFmtId="2" fontId="7" fillId="8" borderId="0" xfId="2" applyNumberFormat="1" applyFont="1" applyFill="1"/>
    <xf numFmtId="2" fontId="9" fillId="8" borderId="0" xfId="2" applyNumberFormat="1" applyFont="1" applyFill="1"/>
    <xf numFmtId="0" fontId="5" fillId="8" borderId="0" xfId="2" applyFill="1"/>
    <xf numFmtId="167" fontId="7" fillId="8" borderId="0" xfId="2" applyNumberFormat="1" applyFont="1" applyFill="1"/>
    <xf numFmtId="9" fontId="10" fillId="8" borderId="0" xfId="2" applyNumberFormat="1" applyFont="1" applyFill="1"/>
    <xf numFmtId="0" fontId="5" fillId="0" borderId="13" xfId="2" applyBorder="1"/>
    <xf numFmtId="168" fontId="5" fillId="9" borderId="10" xfId="2" applyNumberFormat="1" applyFill="1" applyBorder="1"/>
    <xf numFmtId="165" fontId="10" fillId="9" borderId="10" xfId="2" applyNumberFormat="1" applyFont="1" applyFill="1" applyBorder="1"/>
    <xf numFmtId="0" fontId="5" fillId="9" borderId="10" xfId="2" applyFill="1" applyBorder="1"/>
    <xf numFmtId="0" fontId="8" fillId="9" borderId="10" xfId="2" applyFont="1" applyFill="1" applyBorder="1"/>
    <xf numFmtId="44" fontId="5" fillId="10" borderId="0" xfId="2" applyNumberFormat="1" applyFill="1"/>
    <xf numFmtId="168" fontId="5" fillId="0" borderId="0" xfId="2" applyNumberFormat="1"/>
    <xf numFmtId="0" fontId="11" fillId="0" borderId="0" xfId="2" applyFont="1" applyAlignment="1">
      <alignment horizontal="left"/>
    </xf>
    <xf numFmtId="168" fontId="5" fillId="10" borderId="0" xfId="2" applyNumberFormat="1" applyFill="1"/>
    <xf numFmtId="168" fontId="9" fillId="0" borderId="0" xfId="2" applyNumberFormat="1" applyFont="1"/>
    <xf numFmtId="0" fontId="5" fillId="0" borderId="0" xfId="2" applyAlignment="1">
      <alignment horizontal="left"/>
    </xf>
    <xf numFmtId="44" fontId="5" fillId="0" borderId="0" xfId="2" applyNumberFormat="1"/>
    <xf numFmtId="168" fontId="10" fillId="0" borderId="0" xfId="2" applyNumberFormat="1" applyFont="1"/>
    <xf numFmtId="0" fontId="8" fillId="0" borderId="0" xfId="2" applyFont="1"/>
    <xf numFmtId="0" fontId="8" fillId="0" borderId="14" xfId="2" applyFont="1" applyBorder="1" applyAlignment="1">
      <alignment horizontal="center"/>
    </xf>
    <xf numFmtId="0" fontId="8" fillId="0" borderId="0" xfId="2" applyFont="1" applyAlignment="1">
      <alignment horizontal="center"/>
    </xf>
    <xf numFmtId="0" fontId="8" fillId="0" borderId="15" xfId="2" applyFont="1" applyBorder="1" applyAlignment="1">
      <alignment horizontal="center"/>
    </xf>
    <xf numFmtId="0" fontId="12" fillId="0" borderId="0" xfId="2" applyFont="1"/>
    <xf numFmtId="0" fontId="5" fillId="11" borderId="0" xfId="2" applyFill="1"/>
    <xf numFmtId="2" fontId="9" fillId="8" borderId="18" xfId="2" applyNumberFormat="1" applyFont="1" applyFill="1" applyBorder="1"/>
    <xf numFmtId="9" fontId="5" fillId="0" borderId="0" xfId="2" applyNumberFormat="1"/>
    <xf numFmtId="0" fontId="0" fillId="12" borderId="0" xfId="0" applyFont="1" applyFill="1"/>
    <xf numFmtId="0" fontId="10" fillId="0" borderId="16" xfId="2" applyFont="1" applyBorder="1"/>
    <xf numFmtId="0" fontId="10" fillId="0" borderId="13" xfId="2" applyFont="1" applyBorder="1"/>
    <xf numFmtId="169" fontId="0" fillId="0" borderId="0" xfId="0" applyNumberFormat="1"/>
    <xf numFmtId="0" fontId="8" fillId="0" borderId="16" xfId="2" applyFont="1" applyBorder="1" applyAlignment="1">
      <alignment horizontal="center"/>
    </xf>
    <xf numFmtId="0" fontId="0" fillId="3" borderId="1" xfId="0" applyFont="1" applyFill="1" applyBorder="1"/>
    <xf numFmtId="14" fontId="0" fillId="3" borderId="1" xfId="0" applyNumberFormat="1" applyFont="1" applyFill="1" applyBorder="1"/>
    <xf numFmtId="164" fontId="0" fillId="3" borderId="1" xfId="0" applyNumberFormat="1" applyFont="1" applyFill="1" applyBorder="1"/>
    <xf numFmtId="165" fontId="0" fillId="3" borderId="1" xfId="0" applyNumberFormat="1" applyFont="1" applyFill="1" applyBorder="1"/>
    <xf numFmtId="0" fontId="0" fillId="0" borderId="1" xfId="0" applyFont="1" applyBorder="1"/>
    <xf numFmtId="164" fontId="0" fillId="0" borderId="1" xfId="0" applyNumberFormat="1" applyFont="1" applyBorder="1"/>
    <xf numFmtId="165" fontId="0" fillId="0" borderId="1" xfId="0" applyNumberFormat="1" applyFont="1" applyBorder="1"/>
    <xf numFmtId="166" fontId="0" fillId="0" borderId="1" xfId="0" applyNumberFormat="1" applyFont="1" applyBorder="1"/>
    <xf numFmtId="166" fontId="0" fillId="3" borderId="1" xfId="0" applyNumberFormat="1" applyFont="1" applyFill="1" applyBorder="1"/>
    <xf numFmtId="0" fontId="1" fillId="2" borderId="0" xfId="0" applyFont="1" applyFill="1" applyBorder="1"/>
    <xf numFmtId="14" fontId="1" fillId="2" borderId="0" xfId="0" applyNumberFormat="1" applyFont="1" applyFill="1" applyBorder="1"/>
    <xf numFmtId="164" fontId="1" fillId="2" borderId="0" xfId="0" applyNumberFormat="1" applyFont="1" applyFill="1" applyBorder="1"/>
    <xf numFmtId="165" fontId="1" fillId="2" borderId="0" xfId="0" applyNumberFormat="1" applyFont="1" applyFill="1" applyBorder="1"/>
    <xf numFmtId="0" fontId="1" fillId="2" borderId="0" xfId="0" applyFont="1" applyFill="1" applyBorder="1" applyAlignment="1">
      <alignment wrapText="1"/>
    </xf>
    <xf numFmtId="2" fontId="1" fillId="2" borderId="0" xfId="0" applyNumberFormat="1" applyFont="1" applyFill="1" applyBorder="1" applyAlignment="1">
      <alignment wrapText="1"/>
    </xf>
    <xf numFmtId="170" fontId="0" fillId="0" borderId="0" xfId="0" applyNumberFormat="1"/>
    <xf numFmtId="0" fontId="2" fillId="13" borderId="9" xfId="0" applyFont="1" applyFill="1" applyBorder="1"/>
    <xf numFmtId="170" fontId="0" fillId="13" borderId="0" xfId="0" applyNumberFormat="1" applyFill="1"/>
    <xf numFmtId="0" fontId="2" fillId="14" borderId="0" xfId="0" applyFont="1" applyFill="1"/>
    <xf numFmtId="170" fontId="0" fillId="14" borderId="0" xfId="0" applyNumberFormat="1" applyFill="1"/>
    <xf numFmtId="0" fontId="2" fillId="15" borderId="9" xfId="0" applyFont="1" applyFill="1" applyBorder="1"/>
    <xf numFmtId="170" fontId="0" fillId="15" borderId="0" xfId="0" applyNumberFormat="1" applyFill="1"/>
    <xf numFmtId="0" fontId="8" fillId="0" borderId="16" xfId="2" applyFont="1" applyBorder="1" applyAlignment="1">
      <alignment horizontal="center"/>
    </xf>
    <xf numFmtId="0" fontId="10" fillId="0" borderId="16" xfId="2" applyFont="1" applyBorder="1" applyAlignment="1"/>
    <xf numFmtId="0" fontId="8" fillId="0" borderId="17" xfId="2" applyFont="1" applyBorder="1" applyAlignment="1">
      <alignment horizontal="center"/>
    </xf>
    <xf numFmtId="0" fontId="10" fillId="0" borderId="17" xfId="2" applyFont="1" applyBorder="1" applyAlignment="1"/>
    <xf numFmtId="0" fontId="8" fillId="0" borderId="13" xfId="2" applyFont="1" applyBorder="1" applyAlignment="1">
      <alignment horizontal="center"/>
    </xf>
    <xf numFmtId="0" fontId="10" fillId="0" borderId="13" xfId="2" applyFont="1" applyBorder="1" applyAlignment="1"/>
  </cellXfs>
  <cellStyles count="3">
    <cellStyle name="Hyperlink" xfId="1" builtinId="8"/>
    <cellStyle name="Normal" xfId="0" builtinId="0"/>
    <cellStyle name="Normal 2" xfId="2" xr:uid="{D7F17F4F-2DC7-493C-B6CC-7FE10DB609AB}"/>
  </cellStyles>
  <dxfs count="23">
    <dxf>
      <font>
        <b val="0"/>
        <i val="0"/>
        <strike val="0"/>
        <condense val="0"/>
        <extend val="0"/>
        <outline val="0"/>
        <shadow val="0"/>
        <u val="none"/>
        <vertAlign val="baseline"/>
        <sz val="11"/>
        <color theme="1"/>
        <name val="Arial"/>
        <family val="2"/>
        <charset val="177"/>
        <scheme val="minor"/>
      </font>
      <numFmt numFmtId="165" formatCode="&quot;$&quot;#,##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65" formatCode="&quot;$&quot;#,##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65" formatCode="&quot;$&quot;#,##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66" formatCode="&quot;$&quot;#,##0.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65" formatCode="&quot;$&quot;#,##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65" formatCode="&quot;$&quot;#,##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65" formatCode="&quot;$&quot;#,##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65" formatCode="&quot;$&quot;#,##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65" formatCode="&quot;$&quot;#,##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64" formatCode="0;[Red]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numFmt numFmtId="19" formatCode="m/d/yyyy"/>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rial"/>
        <family val="2"/>
        <charset val="177"/>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rial"/>
        <family val="2"/>
        <charset val="177"/>
        <scheme val="minor"/>
      </font>
    </dxf>
    <dxf>
      <font>
        <b/>
        <i val="0"/>
        <strike val="0"/>
        <condense val="0"/>
        <extend val="0"/>
        <outline val="0"/>
        <shadow val="0"/>
        <u val="none"/>
        <vertAlign val="baseline"/>
        <sz val="11"/>
        <color theme="0"/>
        <name val="Arial"/>
        <family val="2"/>
        <charset val="177"/>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Energy sector and sub industries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Energy sector and sub industries</a:t>
          </a:r>
        </a:p>
      </cx:txPr>
    </cx:title>
    <cx:plotArea>
      <cx:plotAreaRegion>
        <cx:series layoutId="boxWhisker" uniqueId="{3F60471C-7464-4E31-BFB8-427E2A0269E1}">
          <cx:tx>
            <cx:txData>
              <cx:v> Total Revenue </cx:v>
            </cx:txData>
          </cx:tx>
          <cx:spPr>
            <a:solidFill>
              <a:srgbClr val="FFC000"/>
            </a:solidFill>
            <a:ln>
              <a:solidFill>
                <a:sysClr val="windowText" lastClr="000000"/>
              </a:solidFill>
            </a:ln>
          </cx:spPr>
          <cx:dataId val="0"/>
          <cx:layoutPr>
            <cx:visibility meanLine="0" meanMarker="1" nonoutliers="0" outliers="1"/>
            <cx:statistics quartileMethod="exclusive"/>
          </cx:layoutPr>
        </cx:series>
      </cx:plotAreaRegion>
      <cx:axis id="0">
        <cx:catScaling gapWidth="1"/>
        <cx:title>
          <cx:tx>
            <cx:txData>
              <cx:v>sub industries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sub industries</a:t>
              </a:r>
            </a:p>
          </cx:txPr>
        </cx:title>
        <cx:tickLabels/>
        <cx:txPr>
          <a:bodyPr spcFirstLastPara="1" vertOverflow="ellipsis" horzOverflow="overflow" wrap="square" lIns="0" tIns="0" rIns="0" bIns="0" anchor="ctr" anchorCtr="1"/>
          <a:lstStyle/>
          <a:p>
            <a:pPr algn="ctr" rtl="0">
              <a:defRPr sz="930" baseline="0"/>
            </a:pPr>
            <a:endParaRPr lang="en-US" sz="930" b="0" i="0" u="none" strike="noStrike" baseline="0">
              <a:solidFill>
                <a:sysClr val="windowText" lastClr="000000">
                  <a:lumMod val="65000"/>
                  <a:lumOff val="35000"/>
                </a:sysClr>
              </a:solidFill>
              <a:latin typeface="Calibri" panose="020F0502020204030204"/>
            </a:endParaRPr>
          </a:p>
        </cx:txPr>
      </cx:axis>
      <cx:axis id="1">
        <cx:valScaling/>
        <cx:title>
          <cx:tx>
            <cx:txData>
              <cx:v>total revenue</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total revenue</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plotArea>
      <cx:plotAreaRegion>
        <cx:series layoutId="clusteredColumn" uniqueId="{7D9B6E20-84C0-45D1-B518-A2B873A61D2A}" formatIdx="0">
          <cx:tx>
            <cx:txData>
              <cx:v>$19,080,000,000 $23,125,000,000 $12,764,000,000 $230,590,000,000 $220,156,000,000 $200,494,000,000 $129,925,000,000 $12,245,000,000 $11,905,000,000 $10,737,000,000 $6,636,000,000 $4,608,563,000 $5,312,686,000 $5,288,933,000 $2,787,116,000 $451,509,000,000 $420,836,000,000 $394,105,000,000 $259,488,000,000</cx:v>
            </cx:txData>
          </cx:tx>
          <cx:dataId val="0"/>
          <cx:layoutPr>
            <cx:binning intervalClosed="r"/>
          </cx:layoutPr>
        </cx:series>
      </cx:plotAreaRegion>
      <cx:axis id="0">
        <cx:catScaling gapWidth="0"/>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val">
        <cx:f>_xlchart.v1.5</cx:f>
      </cx:numDim>
    </cx:data>
  </cx:chartData>
  <cx:chart>
    <cx:title pos="t" align="ctr" overlay="0">
      <cx:tx>
        <cx:txData>
          <cx:v>histogram "integrated oil &amp; gaz" total revenue</cx:v>
        </cx:txData>
      </cx:tx>
      <cx:spPr>
        <a:solidFill>
          <a:schemeClr val="accent1"/>
        </a:solidFill>
        <a:ln w="12700" cap="flat" cmpd="sng" algn="ctr">
          <a:solidFill>
            <a:schemeClr val="accent1">
              <a:shade val="50000"/>
            </a:schemeClr>
          </a:solidFill>
          <a:prstDash val="solid"/>
          <a:miter lim="800000"/>
        </a:ln>
        <a:effectLst/>
      </cx:spPr>
      <cx:txPr>
        <a:bodyPr spcFirstLastPara="1" vertOverflow="ellipsis" horzOverflow="overflow" wrap="square" lIns="0" tIns="0" rIns="0" bIns="0" anchor="ctr" anchorCtr="1"/>
        <a:lstStyle/>
        <a:p>
          <a:pPr algn="ctr" rtl="0">
            <a:defRPr/>
          </a:pPr>
          <a:r>
            <a:rPr>
              <a:solidFill>
                <a:schemeClr val="lt1"/>
              </a:solidFill>
              <a:latin typeface="+mn-lt"/>
              <a:ea typeface="+mn-ea"/>
              <a:cs typeface="+mn-cs"/>
            </a:rPr>
            <a:t>histogram "integrated oil &amp; gaz" total revenue</a:t>
          </a:r>
        </a:p>
      </cx:txPr>
    </cx:title>
    <cx:plotArea>
      <cx:plotAreaRegion>
        <cx:plotSurface>
          <cx:spPr>
            <a:ln w="12700">
              <a:solidFill>
                <a:schemeClr val="accent1"/>
              </a:solidFill>
            </a:ln>
          </cx:spPr>
        </cx:plotSurface>
        <cx:series layoutId="clusteredColumn" uniqueId="{3F4074D8-405B-49D8-A0AD-13C96E6DBD0B}">
          <cx:tx>
            <cx:txData>
              <cx:v> Total Revenue </cx:v>
            </cx:txData>
          </cx:tx>
          <cx:spPr>
            <a:solidFill>
              <a:srgbClr val="FFC000"/>
            </a:solidFill>
          </cx:spPr>
          <cx:dataId val="0"/>
          <cx:layoutPr>
            <cx:binning intervalClosed="r">
              <cx:binCount val="6"/>
            </cx:binning>
          </cx:layoutPr>
        </cx:series>
      </cx:plotAreaRegion>
      <cx:axis id="0">
        <cx:catScaling gapWidth="0"/>
        <cx:title>
          <cx:tx>
            <cx:txData>
              <cx:v>total revenue</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50000"/>
                      <a:lumOff val="50000"/>
                    </a:sysClr>
                  </a:solidFill>
                  <a:latin typeface="Calibri" panose="020F0502020204030204"/>
                </a:rPr>
                <a:t>total revenue</a:t>
              </a:r>
            </a:p>
          </cx:txPr>
        </cx:title>
        <cx:tickLabels/>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50000"/>
                      <a:lumOff val="50000"/>
                    </a:sysClr>
                  </a:solidFill>
                  <a:latin typeface="Calibri" panose="020F0502020204030204"/>
                </a:rPr>
                <a:t>frequency</a:t>
              </a:r>
            </a:p>
          </cx:txPr>
        </cx:title>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val">
        <cx:f>_xlchart.v1.7</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log10 histogram </a:t>
            </a:r>
            <a:r>
              <a:rPr lang="en-US" sz="1400" b="0" i="0" u="none" strike="noStrike"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Integrated Oil &amp; Gas</a:t>
            </a:r>
            <a:r>
              <a:rPr lang="en-US"/>
              <a:t> </a:t>
            </a:r>
            <a:r>
              <a:rPr lang="en-US" sz="1400" b="0" i="0" u="none" strike="noStrike" baseline="0">
                <a:solidFill>
                  <a:sysClr val="windowText" lastClr="000000">
                    <a:lumMod val="65000"/>
                    <a:lumOff val="35000"/>
                  </a:sysClr>
                </a:solidFill>
                <a:latin typeface="Calibri" panose="020F0502020204030204"/>
              </a:rPr>
              <a:t> </a:t>
            </a:r>
          </a:p>
        </cx:rich>
      </cx:tx>
    </cx:title>
    <cx:plotArea>
      <cx:plotAreaRegion>
        <cx:series layoutId="clusteredColumn" uniqueId="{C31926BE-6B65-4275-83AA-9431F81408E9}" formatIdx="1">
          <cx:tx>
            <cx:txData>
              <cx:v>log</cx:v>
            </cx:txData>
          </cx:tx>
          <cx:dataId val="0"/>
          <cx:layoutPr>
            <cx:binning intervalClosed="r">
              <cx:binCount val="12"/>
            </cx:binning>
          </cx:layoutPr>
        </cx:series>
      </cx:plotAreaRegion>
      <cx:axis id="0">
        <cx:catScaling gapWidth="0"/>
        <cx:title>
          <cx:tx>
            <cx:rich>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log10 revenues</a:t>
                </a:r>
                <a:r>
                  <a:rPr lang="en-US"/>
                  <a:t> </a:t>
                </a:r>
                <a:endParaRPr lang="en-US" sz="900" b="0" i="0" u="none" strike="noStrike" baseline="0">
                  <a:solidFill>
                    <a:sysClr val="windowText" lastClr="000000">
                      <a:lumMod val="65000"/>
                      <a:lumOff val="35000"/>
                    </a:sysClr>
                  </a:solidFill>
                  <a:latin typeface="Calibri" panose="020F0502020204030204"/>
                </a:endParaRPr>
              </a:p>
            </cx:rich>
          </cx:tx>
        </cx:title>
        <cx:tickLabels/>
        <cx:numFmt formatCode="#,##0.0" sourceLinked="0"/>
      </cx:axis>
      <cx:axis id="1">
        <cx:valScaling/>
        <cx:title>
          <cx:tx>
            <cx:txData>
              <cx:v>frequincy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frequincy</a:t>
              </a:r>
            </a:p>
          </cx:txPr>
        </cx:title>
        <cx:majorGridlines/>
        <cx:tickLabels/>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_xlchart.v1.8</cx:f>
      </cx:strDim>
      <cx:numDim type="val">
        <cx:f>_xlchart.v1.9</cx:f>
      </cx:numDim>
    </cx:data>
  </cx:chartData>
  <cx:chart>
    <cx:title pos="t" align="ctr" overlay="0">
      <cx:tx>
        <cx:txData>
          <cx:v>log10 energy sub sectors revenues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log10 energy sub sectors revenues</a:t>
          </a:r>
        </a:p>
      </cx:txPr>
    </cx:title>
    <cx:plotArea>
      <cx:plotAreaRegion>
        <cx:series layoutId="boxWhisker" uniqueId="{4CB99082-25A2-44EA-8532-C9BD3B6AAA01}" formatIdx="1">
          <cx:tx>
            <cx:txData>
              <cx:v>log</cx:v>
            </cx:txData>
          </cx:tx>
          <cx:spPr>
            <a:solidFill>
              <a:srgbClr val="FFFF00"/>
            </a:solidFill>
          </cx:spPr>
          <cx:dataId val="0"/>
          <cx:layoutPr>
            <cx:visibility meanLine="0" meanMarker="1" nonoutliers="0" outliers="1"/>
            <cx:statistics quartileMethod="exclusive"/>
          </cx:layoutPr>
        </cx:series>
      </cx:plotAreaRegion>
      <cx:axis id="0">
        <cx:catScaling gapWidth="1"/>
        <cx:title>
          <cx:tx>
            <cx:txData>
              <cx:v>sub sectors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sub sectors</a:t>
              </a:r>
            </a:p>
          </cx:txPr>
        </cx:title>
        <cx:tickLabels/>
      </cx:axis>
      <cx:axis id="1">
        <cx:valScaling min="8.5"/>
        <cx:title>
          <cx:tx>
            <cx:txData>
              <cx:v>log10 revenues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log10 revenues</a:t>
              </a:r>
            </a:p>
          </cx:txPr>
        </cx:title>
        <cx:majorGridlines/>
        <cx:tickLabels/>
      </cx:axis>
    </cx:plotArea>
  </cx:chart>
  <cx:spPr>
    <a:effectLst>
      <a:softEdge rad="0"/>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9">
  <cs:axisTitle>
    <cs:lnRef idx="0"/>
    <cs:fillRef idx="0"/>
    <cs:effectRef idx="0"/>
    <cs:fontRef idx="minor">
      <a:schemeClr val="tx1">
        <a:lumMod val="50000"/>
        <a:lumOff val="50000"/>
      </a:schemeClr>
    </cs:fontRef>
    <cs:defRPr sz="900"/>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50000"/>
        <a:lumOff val="50000"/>
      </a:schemeClr>
    </cs:fontRef>
    <cs:defRPr sz="900"/>
  </cs:dataLabel>
  <cs:dataLabelCallout>
    <cs:lnRef idx="0"/>
    <cs:fillRef idx="0"/>
    <cs:effectRef idx="0"/>
    <cs:fontRef idx="minor">
      <a:schemeClr val="dk1">
        <a:lumMod val="50000"/>
        <a:lumOff val="50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ln w="9525" cap="flat" cmpd="sng" algn="ctr">
        <a:solidFill>
          <a:schemeClr val="phClr">
            <a:alpha val="50000"/>
          </a:schemeClr>
        </a:solidFill>
        <a:round/>
      </a:ln>
    </cs:spPr>
  </cs:dataPoint>
  <cs:dataPoint3D>
    <cs:lnRef idx="0">
      <cs:styleClr val="auto"/>
    </cs:lnRef>
    <cs:fillRef idx="0">
      <cs:styleClr val="auto"/>
    </cs:fillRef>
    <cs:effectRef idx="0"/>
    <cs:fontRef idx="minor">
      <a:schemeClr val="dk1"/>
    </cs:fontRef>
    <cs:spPr>
      <a:solidFill>
        <a:schemeClr val="phClr"/>
      </a:solidFill>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4"/>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400" cap="none" spc="2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50000"/>
        <a:lumOff val="50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50000"/>
        <a:lumOff val="50000"/>
      </a:schemeClr>
    </cs:fontRef>
    <cs:defRPr sz="9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2" Type="http://schemas.microsoft.com/office/2014/relationships/chartEx" Target="../charts/chartEx3.xml"/><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microsoft.com/office/2014/relationships/chartEx" Target="../charts/chartEx4.xml"/></Relationships>
</file>

<file path=xl/drawings/_rels/drawing4.xml.rels><?xml version="1.0" encoding="UTF-8" standalone="yes"?>
<Relationships xmlns="http://schemas.openxmlformats.org/package/2006/relationships"><Relationship Id="rId1" Type="http://schemas.microsoft.com/office/2014/relationships/chartEx" Target="../charts/chartEx5.xml"/></Relationships>
</file>

<file path=xl/drawings/drawing1.xml><?xml version="1.0" encoding="utf-8"?>
<xdr:wsDr xmlns:xdr="http://schemas.openxmlformats.org/drawingml/2006/spreadsheetDrawing" xmlns:a="http://schemas.openxmlformats.org/drawingml/2006/main">
  <xdr:twoCellAnchor>
    <xdr:from>
      <xdr:col>1</xdr:col>
      <xdr:colOff>1381124</xdr:colOff>
      <xdr:row>204</xdr:row>
      <xdr:rowOff>19050</xdr:rowOff>
    </xdr:from>
    <xdr:to>
      <xdr:col>8</xdr:col>
      <xdr:colOff>38099</xdr:colOff>
      <xdr:row>738</xdr:row>
      <xdr:rowOff>19050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D074D129-8CE3-4B89-A066-979F14C9F6A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9525</xdr:colOff>
      <xdr:row>740</xdr:row>
      <xdr:rowOff>123825</xdr:rowOff>
    </xdr:from>
    <xdr:to>
      <xdr:col>9</xdr:col>
      <xdr:colOff>466725</xdr:colOff>
      <xdr:row>1717</xdr:row>
      <xdr:rowOff>152400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87CF4631-F384-4F86-B3D3-FABC75E8D0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971550</xdr:colOff>
      <xdr:row>27</xdr:row>
      <xdr:rowOff>47625</xdr:rowOff>
    </xdr:from>
    <xdr:to>
      <xdr:col>8</xdr:col>
      <xdr:colOff>666750</xdr:colOff>
      <xdr:row>47</xdr:row>
      <xdr:rowOff>133350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D692205-26ED-44A9-9759-CC4FC5EC30F9}"/>
                </a:ext>
                <a:ext uri="{147F2762-F138-4A5C-976F-8EAC2B608ADB}">
                  <a16:predDERef xmlns:a16="http://schemas.microsoft.com/office/drawing/2014/main" pred="{87CF4631-F384-4F86-B3D3-FABC75E8D0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647700</xdr:colOff>
      <xdr:row>5</xdr:row>
      <xdr:rowOff>0</xdr:rowOff>
    </xdr:from>
    <xdr:to>
      <xdr:col>11</xdr:col>
      <xdr:colOff>419100</xdr:colOff>
      <xdr:row>20</xdr:row>
      <xdr:rowOff>28575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2836D207-8ECB-44D4-836C-45F5F7D0026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1162050</xdr:colOff>
      <xdr:row>7</xdr:row>
      <xdr:rowOff>66674</xdr:rowOff>
    </xdr:from>
    <xdr:to>
      <xdr:col>10</xdr:col>
      <xdr:colOff>285750</xdr:colOff>
      <xdr:row>28</xdr:row>
      <xdr:rowOff>28574</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969E0477-AACB-4799-846E-B8345FC60E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YOSEF\Desktop\&#8207;&#8207;task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sheetNames>
    <sheetDataSet>
      <sheetData sheetId="0">
        <row r="2">
          <cell r="B2" t="str">
            <v>IPG</v>
          </cell>
          <cell r="E2">
            <v>6956200000</v>
          </cell>
          <cell r="F2">
            <v>0</v>
          </cell>
          <cell r="G2">
            <v>6279100000</v>
          </cell>
          <cell r="H2">
            <v>0</v>
          </cell>
          <cell r="K2">
            <v>1</v>
          </cell>
          <cell r="L2">
            <v>9.7337626865242513E-2</v>
          </cell>
        </row>
        <row r="3">
          <cell r="B3" t="str">
            <v>IPG</v>
          </cell>
          <cell r="E3">
            <v>7122300000</v>
          </cell>
          <cell r="F3">
            <v>0</v>
          </cell>
          <cell r="G3">
            <v>6463400000</v>
          </cell>
          <cell r="H3">
            <v>0</v>
          </cell>
          <cell r="K3">
            <v>1</v>
          </cell>
          <cell r="L3">
            <v>9.2512250256237452E-2</v>
          </cell>
        </row>
        <row r="4">
          <cell r="B4" t="str">
            <v>IPG</v>
          </cell>
          <cell r="E4">
            <v>7537100000</v>
          </cell>
          <cell r="F4">
            <v>0</v>
          </cell>
          <cell r="G4">
            <v>6748500000</v>
          </cell>
          <cell r="H4">
            <v>0</v>
          </cell>
          <cell r="K4">
            <v>1</v>
          </cell>
          <cell r="L4">
            <v>0.10462910137851428</v>
          </cell>
        </row>
        <row r="5">
          <cell r="B5" t="str">
            <v>IPG</v>
          </cell>
          <cell r="E5">
            <v>7613800000</v>
          </cell>
          <cell r="F5">
            <v>0</v>
          </cell>
          <cell r="G5">
            <v>6742700000</v>
          </cell>
          <cell r="H5">
            <v>0</v>
          </cell>
          <cell r="K5">
            <v>1</v>
          </cell>
          <cell r="L5">
            <v>0.11441067535264914</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79A23D-F209-4E77-9C29-695490A4EF96}" name="Table1" displayName="Table1" ref="A1:Q1711" totalsRowShown="0" headerRowDxfId="22" dataDxfId="21" tableBorderDxfId="20">
  <autoFilter ref="A1:Q1711" xr:uid="{7CD2AE9A-5C50-4F7A-BF43-F67A2E391640}"/>
  <tableColumns count="17">
    <tableColumn id="1" xr3:uid="{9BEAE19D-3B18-4918-9FBF-D9B4BB81B9FD}" name="Column1" dataDxfId="19"/>
    <tableColumn id="2" xr3:uid="{F0DDE219-A291-49DD-99F0-1799FF55321A}" name="Ticker Symbol" dataDxfId="18"/>
    <tableColumn id="3" xr3:uid="{E80C58F8-AC1F-41F6-A303-603C71A3BE33}" name="Years" dataDxfId="17"/>
    <tableColumn id="4" xr3:uid="{A351DABE-0BAA-4788-ADF5-3E6560AD9FD5}" name="PeriodEnding" dataDxfId="16"/>
    <tableColumn id="5" xr3:uid="{C7CE11E2-F9A4-4EA2-AB4A-148F584E5C6D}" name="year" dataDxfId="15">
      <calculatedColumnFormula>YEAR(D2)</calculatedColumnFormula>
    </tableColumn>
    <tableColumn id="6" xr3:uid="{F1F71F72-2A02-4E59-A85B-0435958925C5}" name=" Total Revenue " dataDxfId="14"/>
    <tableColumn id="7" xr3:uid="{C8D53692-98F5-4770-BE88-7D4299B09F81}" name=" Cost of Goods Sold " dataDxfId="13"/>
    <tableColumn id="8" xr3:uid="{3457229B-4431-46C3-8DCC-9FEE6D8FC174}" name=" Sales General and Admin. " dataDxfId="12"/>
    <tableColumn id="9" xr3:uid="{30CB6E95-71F5-493C-85AF-2F4471CD1952}" name=" Research and Development " dataDxfId="11"/>
    <tableColumn id="10" xr3:uid="{6F9EFC63-FA21-469B-AA7E-E2314DA073CD}" name=" Other Operating Items " dataDxfId="10"/>
    <tableColumn id="11" xr3:uid="{1AB5A6BC-F167-450F-B99B-6BBCAE7C5546}" name="GICS Sector" dataDxfId="9"/>
    <tableColumn id="12" xr3:uid="{CA2182E6-E9B2-4329-AD6C-669B5604C872}" name="GICS Sub Industry" dataDxfId="8"/>
    <tableColumn id="13" xr3:uid="{1B9E8B1A-ED0E-4D46-94DC-A978C4BB92DC}" name="Gross Profit = Revenue - COGS" dataDxfId="7">
      <calculatedColumnFormula>F2-G2</calculatedColumnFormula>
    </tableColumn>
    <tableColumn id="14" xr3:uid="{3F2E2EF8-789F-473E-AD19-F50B533BCF73}" name="Total Operating Expenses= SGAs + Operating Expenses" dataDxfId="6">
      <calculatedColumnFormula>H2+I2+J2</calculatedColumnFormula>
    </tableColumn>
    <tableColumn id="15" xr3:uid="{95C49D25-3DEA-496F-BC4C-832ED40BAD8E}" name="Operating Profit, EBIT = Gross Profit - Total Operating Expenses" dataDxfId="5">
      <calculatedColumnFormula>M2-N2</calculatedColumnFormula>
    </tableColumn>
    <tableColumn id="16" xr3:uid="{46CC0649-C6C6-44A4-B998-C3B9552CF2E6}" name="operating margin -  operating income / total revenue" dataDxfId="4">
      <calculatedColumnFormula>O2/F2</calculatedColumnFormula>
    </tableColumn>
    <tableColumn id="17" xr3:uid="{3E629F7B-0D52-4D81-8766-B557B521036B}" name="Gross Margin _x000a_[1-(Cost of Revenue/Total Revenue)]" dataDxfId="3">
      <calculatedColumnFormula>1-G2/F2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0BFC56-98B5-41BB-BF7D-529EC0A310BF}" name="Table4" displayName="Table4" ref="A1:C1711" totalsRowShown="0">
  <autoFilter ref="A1:C1711" xr:uid="{4DF7B43A-5563-41FC-B33E-A17E1FBB06D0}">
    <filterColumn colId="0">
      <filters>
        <filter val="Energy"/>
      </filters>
    </filterColumn>
  </autoFilter>
  <tableColumns count="3">
    <tableColumn id="1" xr3:uid="{8A900630-48E1-4C57-95B1-749D0A23A7EA}" name="GICS Sector" dataDxfId="2"/>
    <tableColumn id="2" xr3:uid="{37FD7840-BC86-48C8-A53E-F3C1E15A776D}" name="GICS Sub Industry" dataDxfId="1"/>
    <tableColumn id="3" xr3:uid="{C9E1300D-902E-4243-AC16-E7FD1CEA6D14}" name=" Total Revenue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hyperlink" Target="https://www.investopedia.com/terms/e/exploration-production-company.asp"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304D4-900C-4764-B4CA-A41FDA4D8CA3}">
  <dimension ref="A1:T1711"/>
  <sheetViews>
    <sheetView workbookViewId="0">
      <selection activeCell="T128" sqref="T128"/>
    </sheetView>
  </sheetViews>
  <sheetFormatPr defaultRowHeight="14.25"/>
  <cols>
    <col min="1" max="1" width="10.75" bestFit="1" customWidth="1"/>
    <col min="2" max="2" width="15.625" bestFit="1" customWidth="1"/>
    <col min="3" max="3" width="8.125" bestFit="1" customWidth="1"/>
    <col min="4" max="4" width="15.25" bestFit="1" customWidth="1"/>
    <col min="5" max="5" width="6.75" bestFit="1" customWidth="1"/>
    <col min="6" max="6" width="17.25" bestFit="1" customWidth="1"/>
    <col min="7" max="7" width="21.5" bestFit="1" customWidth="1"/>
    <col min="8" max="8" width="27" bestFit="1" customWidth="1"/>
    <col min="9" max="9" width="29.125" bestFit="1" customWidth="1"/>
    <col min="10" max="10" width="24.125" bestFit="1" customWidth="1"/>
    <col min="11" max="11" width="26.125" bestFit="1" customWidth="1"/>
    <col min="12" max="12" width="41" bestFit="1" customWidth="1"/>
    <col min="13" max="13" width="19.125" bestFit="1" customWidth="1"/>
    <col min="14" max="14" width="16.5" bestFit="1" customWidth="1"/>
    <col min="15" max="15" width="17.125" bestFit="1" customWidth="1"/>
    <col min="16" max="16" width="14.5" bestFit="1" customWidth="1"/>
    <col min="17" max="17" width="22.25" bestFit="1" customWidth="1"/>
    <col min="19" max="19" width="18.625" customWidth="1"/>
    <col min="20" max="20" width="15.875" customWidth="1"/>
  </cols>
  <sheetData>
    <row r="1" spans="1:17" ht="90">
      <c r="A1" s="92" t="s">
        <v>0</v>
      </c>
      <c r="B1" s="92" t="s">
        <v>1</v>
      </c>
      <c r="C1" s="92" t="s">
        <v>2</v>
      </c>
      <c r="D1" s="93" t="s">
        <v>3</v>
      </c>
      <c r="E1" s="94" t="s">
        <v>4</v>
      </c>
      <c r="F1" s="95" t="s">
        <v>5</v>
      </c>
      <c r="G1" s="95" t="s">
        <v>6</v>
      </c>
      <c r="H1" s="95" t="s">
        <v>7</v>
      </c>
      <c r="I1" s="95" t="s">
        <v>8</v>
      </c>
      <c r="J1" s="95" t="s">
        <v>9</v>
      </c>
      <c r="K1" s="92" t="s">
        <v>10</v>
      </c>
      <c r="L1" s="92" t="s">
        <v>11</v>
      </c>
      <c r="M1" s="96" t="s">
        <v>12</v>
      </c>
      <c r="N1" s="96" t="s">
        <v>13</v>
      </c>
      <c r="O1" s="96" t="s">
        <v>14</v>
      </c>
      <c r="P1" s="96" t="s">
        <v>15</v>
      </c>
      <c r="Q1" s="97" t="s">
        <v>16</v>
      </c>
    </row>
    <row r="2" spans="1:17">
      <c r="A2" s="83">
        <v>0</v>
      </c>
      <c r="B2" s="83" t="s">
        <v>17</v>
      </c>
      <c r="C2" s="83" t="s">
        <v>18</v>
      </c>
      <c r="D2" s="84">
        <v>41274</v>
      </c>
      <c r="E2" s="85">
        <f>YEAR(D2)</f>
        <v>2012</v>
      </c>
      <c r="F2" s="86">
        <v>24855000000</v>
      </c>
      <c r="G2" s="86">
        <v>10499000000</v>
      </c>
      <c r="H2" s="86">
        <v>12977000000</v>
      </c>
      <c r="I2" s="86">
        <v>0</v>
      </c>
      <c r="J2" s="86">
        <v>845000000</v>
      </c>
      <c r="K2" s="83" t="s">
        <v>19</v>
      </c>
      <c r="L2" s="83" t="s">
        <v>20</v>
      </c>
      <c r="M2" s="86">
        <f>F2-G2</f>
        <v>14356000000</v>
      </c>
      <c r="N2" s="86">
        <f>H2+I2+J2</f>
        <v>13822000000</v>
      </c>
      <c r="O2" s="86">
        <f>M2-N2</f>
        <v>534000000</v>
      </c>
      <c r="P2" s="83">
        <f t="shared" ref="P2:P65" si="0">O2/F2</f>
        <v>2.1484610742305371E-2</v>
      </c>
      <c r="Q2" s="83">
        <f t="shared" ref="Q2:Q65" si="1">1-G2/F2</f>
        <v>0.57759002212834432</v>
      </c>
    </row>
    <row r="3" spans="1:17">
      <c r="A3" s="87">
        <v>1</v>
      </c>
      <c r="B3" s="87" t="s">
        <v>17</v>
      </c>
      <c r="C3" s="87" t="s">
        <v>21</v>
      </c>
      <c r="D3" s="84">
        <v>41275</v>
      </c>
      <c r="E3" s="88">
        <f t="shared" ref="E3:E66" si="2">YEAR(D3)</f>
        <v>2013</v>
      </c>
      <c r="F3" s="89">
        <v>26743000000</v>
      </c>
      <c r="G3" s="89">
        <v>11019000000</v>
      </c>
      <c r="H3" s="89">
        <v>12913000000</v>
      </c>
      <c r="I3" s="89">
        <v>0</v>
      </c>
      <c r="J3" s="89">
        <v>853000000</v>
      </c>
      <c r="K3" s="87" t="s">
        <v>19</v>
      </c>
      <c r="L3" s="87" t="s">
        <v>20</v>
      </c>
      <c r="M3" s="90">
        <f t="shared" ref="M3:M66" si="3">F3-G3</f>
        <v>15724000000</v>
      </c>
      <c r="N3" s="89">
        <f t="shared" ref="N3:N66" si="4">H3+I3+J3</f>
        <v>13766000000</v>
      </c>
      <c r="O3" s="89">
        <f t="shared" ref="O3:O66" si="5">M3-N3</f>
        <v>1958000000</v>
      </c>
      <c r="P3" s="87">
        <f t="shared" si="0"/>
        <v>7.3215420857794561E-2</v>
      </c>
      <c r="Q3" s="87">
        <f t="shared" si="1"/>
        <v>0.58796694462102228</v>
      </c>
    </row>
    <row r="4" spans="1:17">
      <c r="A4" s="83">
        <v>2</v>
      </c>
      <c r="B4" s="83" t="s">
        <v>17</v>
      </c>
      <c r="C4" s="83" t="s">
        <v>22</v>
      </c>
      <c r="D4" s="84">
        <v>41276</v>
      </c>
      <c r="E4" s="85">
        <f t="shared" si="2"/>
        <v>2013</v>
      </c>
      <c r="F4" s="86">
        <v>42650000000</v>
      </c>
      <c r="G4" s="86">
        <v>15620000000</v>
      </c>
      <c r="H4" s="86">
        <v>20686000000</v>
      </c>
      <c r="I4" s="86">
        <v>0</v>
      </c>
      <c r="J4" s="86">
        <v>1295000000</v>
      </c>
      <c r="K4" s="83" t="s">
        <v>19</v>
      </c>
      <c r="L4" s="83" t="s">
        <v>20</v>
      </c>
      <c r="M4" s="91">
        <f t="shared" si="3"/>
        <v>27030000000</v>
      </c>
      <c r="N4" s="86">
        <f t="shared" si="4"/>
        <v>21981000000</v>
      </c>
      <c r="O4" s="86">
        <f t="shared" si="5"/>
        <v>5049000000</v>
      </c>
      <c r="P4" s="83">
        <f t="shared" si="0"/>
        <v>0.11838218053927316</v>
      </c>
      <c r="Q4" s="83">
        <f t="shared" si="1"/>
        <v>0.63376318874560378</v>
      </c>
    </row>
    <row r="5" spans="1:17">
      <c r="A5" s="87">
        <v>3</v>
      </c>
      <c r="B5" s="87" t="s">
        <v>17</v>
      </c>
      <c r="C5" s="87" t="s">
        <v>23</v>
      </c>
      <c r="D5" s="84">
        <v>41277</v>
      </c>
      <c r="E5" s="88">
        <f t="shared" si="2"/>
        <v>2013</v>
      </c>
      <c r="F5" s="89">
        <v>40990000000</v>
      </c>
      <c r="G5" s="89">
        <v>11096000000</v>
      </c>
      <c r="H5" s="89">
        <v>21275000000</v>
      </c>
      <c r="I5" s="89">
        <v>0</v>
      </c>
      <c r="J5" s="89">
        <v>1364000000</v>
      </c>
      <c r="K5" s="87" t="s">
        <v>19</v>
      </c>
      <c r="L5" s="87" t="s">
        <v>20</v>
      </c>
      <c r="M5" s="90">
        <f t="shared" si="3"/>
        <v>29894000000</v>
      </c>
      <c r="N5" s="89">
        <f t="shared" si="4"/>
        <v>22639000000</v>
      </c>
      <c r="O5" s="89">
        <f t="shared" si="5"/>
        <v>7255000000</v>
      </c>
      <c r="P5" s="87">
        <f t="shared" si="0"/>
        <v>0.17699438887533545</v>
      </c>
      <c r="Q5" s="87">
        <f t="shared" si="1"/>
        <v>0.72929982922664061</v>
      </c>
    </row>
    <row r="6" spans="1:17">
      <c r="A6" s="83">
        <v>4</v>
      </c>
      <c r="B6" s="83" t="s">
        <v>24</v>
      </c>
      <c r="C6" s="83" t="s">
        <v>18</v>
      </c>
      <c r="D6" s="84">
        <v>41278</v>
      </c>
      <c r="E6" s="85">
        <f t="shared" si="2"/>
        <v>2013</v>
      </c>
      <c r="F6" s="86">
        <v>6205003000</v>
      </c>
      <c r="G6" s="86">
        <v>3106967000</v>
      </c>
      <c r="H6" s="86">
        <v>2440721000</v>
      </c>
      <c r="I6" s="86">
        <v>0</v>
      </c>
      <c r="J6" s="86">
        <v>0</v>
      </c>
      <c r="K6" s="83" t="s">
        <v>25</v>
      </c>
      <c r="L6" s="83" t="s">
        <v>26</v>
      </c>
      <c r="M6" s="91">
        <f t="shared" si="3"/>
        <v>3098036000</v>
      </c>
      <c r="N6" s="86">
        <f t="shared" si="4"/>
        <v>2440721000</v>
      </c>
      <c r="O6" s="86">
        <f t="shared" si="5"/>
        <v>657315000</v>
      </c>
      <c r="P6" s="83">
        <f t="shared" si="0"/>
        <v>0.10593306723622857</v>
      </c>
      <c r="Q6" s="83">
        <f t="shared" si="1"/>
        <v>0.49928033878468714</v>
      </c>
    </row>
    <row r="7" spans="1:17">
      <c r="A7" s="87">
        <v>5</v>
      </c>
      <c r="B7" s="87" t="s">
        <v>24</v>
      </c>
      <c r="C7" s="87" t="s">
        <v>21</v>
      </c>
      <c r="D7" s="84">
        <v>41279</v>
      </c>
      <c r="E7" s="88">
        <f t="shared" si="2"/>
        <v>2013</v>
      </c>
      <c r="F7" s="89">
        <v>6493814000</v>
      </c>
      <c r="G7" s="89">
        <v>3241668000</v>
      </c>
      <c r="H7" s="89">
        <v>2591828000</v>
      </c>
      <c r="I7" s="89">
        <v>0</v>
      </c>
      <c r="J7" s="89">
        <v>0</v>
      </c>
      <c r="K7" s="87" t="s">
        <v>25</v>
      </c>
      <c r="L7" s="87" t="s">
        <v>26</v>
      </c>
      <c r="M7" s="90">
        <f t="shared" si="3"/>
        <v>3252146000</v>
      </c>
      <c r="N7" s="89">
        <f t="shared" si="4"/>
        <v>2591828000</v>
      </c>
      <c r="O7" s="89">
        <f t="shared" si="5"/>
        <v>660318000</v>
      </c>
      <c r="P7" s="87">
        <f t="shared" si="0"/>
        <v>0.10168415664507792</v>
      </c>
      <c r="Q7" s="87">
        <f t="shared" si="1"/>
        <v>0.50080676779470434</v>
      </c>
    </row>
    <row r="8" spans="1:17">
      <c r="A8" s="83">
        <v>6</v>
      </c>
      <c r="B8" s="83" t="s">
        <v>24</v>
      </c>
      <c r="C8" s="83" t="s">
        <v>22</v>
      </c>
      <c r="D8" s="84">
        <v>41280</v>
      </c>
      <c r="E8" s="85">
        <f t="shared" si="2"/>
        <v>2013</v>
      </c>
      <c r="F8" s="86">
        <v>9843861000</v>
      </c>
      <c r="G8" s="86">
        <v>5390248000</v>
      </c>
      <c r="H8" s="86">
        <v>3601903000</v>
      </c>
      <c r="I8" s="86">
        <v>0</v>
      </c>
      <c r="J8" s="86">
        <v>0</v>
      </c>
      <c r="K8" s="83" t="s">
        <v>25</v>
      </c>
      <c r="L8" s="83" t="s">
        <v>26</v>
      </c>
      <c r="M8" s="91">
        <f t="shared" si="3"/>
        <v>4453613000</v>
      </c>
      <c r="N8" s="86">
        <f t="shared" si="4"/>
        <v>3601903000</v>
      </c>
      <c r="O8" s="86">
        <f t="shared" si="5"/>
        <v>851710000</v>
      </c>
      <c r="P8" s="83">
        <f t="shared" si="0"/>
        <v>8.6521944996988481E-2</v>
      </c>
      <c r="Q8" s="83">
        <f t="shared" si="1"/>
        <v>0.45242542534885444</v>
      </c>
    </row>
    <row r="9" spans="1:17">
      <c r="A9" s="87">
        <v>7</v>
      </c>
      <c r="B9" s="87" t="s">
        <v>24</v>
      </c>
      <c r="C9" s="87" t="s">
        <v>23</v>
      </c>
      <c r="D9" s="84">
        <v>41281</v>
      </c>
      <c r="E9" s="88">
        <f t="shared" si="2"/>
        <v>2013</v>
      </c>
      <c r="F9" s="89">
        <v>9737018000</v>
      </c>
      <c r="G9" s="89">
        <v>5314246000</v>
      </c>
      <c r="H9" s="89">
        <v>3596992000</v>
      </c>
      <c r="I9" s="89">
        <v>0</v>
      </c>
      <c r="J9" s="89">
        <v>0</v>
      </c>
      <c r="K9" s="87" t="s">
        <v>25</v>
      </c>
      <c r="L9" s="87" t="s">
        <v>26</v>
      </c>
      <c r="M9" s="90">
        <f t="shared" si="3"/>
        <v>4422772000</v>
      </c>
      <c r="N9" s="89">
        <f t="shared" si="4"/>
        <v>3596992000</v>
      </c>
      <c r="O9" s="89">
        <f t="shared" si="5"/>
        <v>825780000</v>
      </c>
      <c r="P9" s="87">
        <f t="shared" si="0"/>
        <v>8.4808305787254373E-2</v>
      </c>
      <c r="Q9" s="87">
        <f t="shared" si="1"/>
        <v>0.45422243237097848</v>
      </c>
    </row>
    <row r="10" spans="1:17">
      <c r="A10" s="83">
        <v>8</v>
      </c>
      <c r="B10" s="83" t="s">
        <v>27</v>
      </c>
      <c r="C10" s="83" t="s">
        <v>18</v>
      </c>
      <c r="D10" s="84">
        <v>41282</v>
      </c>
      <c r="E10" s="85">
        <f t="shared" si="2"/>
        <v>2013</v>
      </c>
      <c r="F10" s="86">
        <v>170910000000</v>
      </c>
      <c r="G10" s="86">
        <v>106606000000</v>
      </c>
      <c r="H10" s="86">
        <v>10830000000</v>
      </c>
      <c r="I10" s="86">
        <v>4475000000</v>
      </c>
      <c r="J10" s="86">
        <v>0</v>
      </c>
      <c r="K10" s="83" t="s">
        <v>28</v>
      </c>
      <c r="L10" s="83" t="s">
        <v>29</v>
      </c>
      <c r="M10" s="91">
        <f t="shared" si="3"/>
        <v>64304000000</v>
      </c>
      <c r="N10" s="86">
        <f t="shared" si="4"/>
        <v>15305000000</v>
      </c>
      <c r="O10" s="86">
        <f t="shared" si="5"/>
        <v>48999000000</v>
      </c>
      <c r="P10" s="83">
        <f t="shared" si="0"/>
        <v>0.28669475162366159</v>
      </c>
      <c r="Q10" s="83">
        <f t="shared" si="1"/>
        <v>0.37624480720847231</v>
      </c>
    </row>
    <row r="11" spans="1:17">
      <c r="A11" s="87">
        <v>9</v>
      </c>
      <c r="B11" s="87" t="s">
        <v>27</v>
      </c>
      <c r="C11" s="87" t="s">
        <v>21</v>
      </c>
      <c r="D11" s="84">
        <v>41283</v>
      </c>
      <c r="E11" s="88">
        <f t="shared" si="2"/>
        <v>2013</v>
      </c>
      <c r="F11" s="89">
        <v>182795000000</v>
      </c>
      <c r="G11" s="89">
        <v>112258000000</v>
      </c>
      <c r="H11" s="89">
        <v>11993000000</v>
      </c>
      <c r="I11" s="89">
        <v>6041000000</v>
      </c>
      <c r="J11" s="89">
        <v>0</v>
      </c>
      <c r="K11" s="87" t="s">
        <v>28</v>
      </c>
      <c r="L11" s="87" t="s">
        <v>29</v>
      </c>
      <c r="M11" s="90">
        <f t="shared" si="3"/>
        <v>70537000000</v>
      </c>
      <c r="N11" s="89">
        <f t="shared" si="4"/>
        <v>18034000000</v>
      </c>
      <c r="O11" s="89">
        <f t="shared" si="5"/>
        <v>52503000000</v>
      </c>
      <c r="P11" s="87">
        <f t="shared" si="0"/>
        <v>0.28722339232473537</v>
      </c>
      <c r="Q11" s="87">
        <f t="shared" si="1"/>
        <v>0.38588035777783858</v>
      </c>
    </row>
    <row r="12" spans="1:17">
      <c r="A12" s="83">
        <v>10</v>
      </c>
      <c r="B12" s="83" t="s">
        <v>27</v>
      </c>
      <c r="C12" s="83" t="s">
        <v>22</v>
      </c>
      <c r="D12" s="84">
        <v>41284</v>
      </c>
      <c r="E12" s="85">
        <f t="shared" si="2"/>
        <v>2013</v>
      </c>
      <c r="F12" s="86">
        <v>233715000000</v>
      </c>
      <c r="G12" s="86">
        <v>140089000000</v>
      </c>
      <c r="H12" s="86">
        <v>14329000000</v>
      </c>
      <c r="I12" s="86">
        <v>8067000000</v>
      </c>
      <c r="J12" s="86">
        <v>0</v>
      </c>
      <c r="K12" s="83" t="s">
        <v>28</v>
      </c>
      <c r="L12" s="83" t="s">
        <v>29</v>
      </c>
      <c r="M12" s="91">
        <f t="shared" si="3"/>
        <v>93626000000</v>
      </c>
      <c r="N12" s="86">
        <f t="shared" si="4"/>
        <v>22396000000</v>
      </c>
      <c r="O12" s="86">
        <f t="shared" si="5"/>
        <v>71230000000</v>
      </c>
      <c r="P12" s="83">
        <f t="shared" si="0"/>
        <v>0.30477290717326661</v>
      </c>
      <c r="Q12" s="83">
        <f t="shared" si="1"/>
        <v>0.40059902017414373</v>
      </c>
    </row>
    <row r="13" spans="1:17">
      <c r="A13" s="87">
        <v>11</v>
      </c>
      <c r="B13" s="87" t="s">
        <v>27</v>
      </c>
      <c r="C13" s="87" t="s">
        <v>23</v>
      </c>
      <c r="D13" s="84">
        <v>41285</v>
      </c>
      <c r="E13" s="88">
        <f t="shared" si="2"/>
        <v>2013</v>
      </c>
      <c r="F13" s="89">
        <v>215639000000</v>
      </c>
      <c r="G13" s="89">
        <v>131376000000</v>
      </c>
      <c r="H13" s="89">
        <v>14194000000</v>
      </c>
      <c r="I13" s="89">
        <v>10045000000</v>
      </c>
      <c r="J13" s="89">
        <v>0</v>
      </c>
      <c r="K13" s="87" t="s">
        <v>28</v>
      </c>
      <c r="L13" s="87" t="s">
        <v>29</v>
      </c>
      <c r="M13" s="90">
        <f t="shared" si="3"/>
        <v>84263000000</v>
      </c>
      <c r="N13" s="89">
        <f t="shared" si="4"/>
        <v>24239000000</v>
      </c>
      <c r="O13" s="89">
        <f t="shared" si="5"/>
        <v>60024000000</v>
      </c>
      <c r="P13" s="87">
        <f t="shared" si="0"/>
        <v>0.27835410106706115</v>
      </c>
      <c r="Q13" s="87">
        <f t="shared" si="1"/>
        <v>0.39075955648097049</v>
      </c>
    </row>
    <row r="14" spans="1:17">
      <c r="A14" s="83">
        <v>12</v>
      </c>
      <c r="B14" s="83" t="s">
        <v>30</v>
      </c>
      <c r="C14" s="83" t="s">
        <v>18</v>
      </c>
      <c r="D14" s="84">
        <v>41286</v>
      </c>
      <c r="E14" s="85">
        <f t="shared" si="2"/>
        <v>2013</v>
      </c>
      <c r="F14" s="86">
        <v>18380000000</v>
      </c>
      <c r="G14" s="86">
        <v>4508000000</v>
      </c>
      <c r="H14" s="86">
        <v>4989000000</v>
      </c>
      <c r="I14" s="86">
        <v>2778000000</v>
      </c>
      <c r="J14" s="86">
        <v>0</v>
      </c>
      <c r="K14" s="83" t="s">
        <v>31</v>
      </c>
      <c r="L14" s="83" t="s">
        <v>32</v>
      </c>
      <c r="M14" s="91">
        <f t="shared" si="3"/>
        <v>13872000000</v>
      </c>
      <c r="N14" s="86">
        <f t="shared" si="4"/>
        <v>7767000000</v>
      </c>
      <c r="O14" s="86">
        <f t="shared" si="5"/>
        <v>6105000000</v>
      </c>
      <c r="P14" s="83">
        <f t="shared" si="0"/>
        <v>0.33215451577801958</v>
      </c>
      <c r="Q14" s="83">
        <f t="shared" si="1"/>
        <v>0.75473340587595206</v>
      </c>
    </row>
    <row r="15" spans="1:17">
      <c r="A15" s="87">
        <v>13</v>
      </c>
      <c r="B15" s="87" t="s">
        <v>30</v>
      </c>
      <c r="C15" s="87" t="s">
        <v>21</v>
      </c>
      <c r="D15" s="84">
        <v>41287</v>
      </c>
      <c r="E15" s="88">
        <f t="shared" si="2"/>
        <v>2013</v>
      </c>
      <c r="F15" s="89">
        <v>18790000000</v>
      </c>
      <c r="G15" s="89">
        <v>4581000000</v>
      </c>
      <c r="H15" s="89">
        <v>5352000000</v>
      </c>
      <c r="I15" s="89">
        <v>2855000000</v>
      </c>
      <c r="J15" s="89">
        <v>0</v>
      </c>
      <c r="K15" s="87" t="s">
        <v>31</v>
      </c>
      <c r="L15" s="87" t="s">
        <v>32</v>
      </c>
      <c r="M15" s="90">
        <f t="shared" si="3"/>
        <v>14209000000</v>
      </c>
      <c r="N15" s="89">
        <f t="shared" si="4"/>
        <v>8207000000</v>
      </c>
      <c r="O15" s="89">
        <f t="shared" si="5"/>
        <v>6002000000</v>
      </c>
      <c r="P15" s="87">
        <f t="shared" si="0"/>
        <v>0.31942522618414049</v>
      </c>
      <c r="Q15" s="87">
        <f t="shared" si="1"/>
        <v>0.75620010643959557</v>
      </c>
    </row>
    <row r="16" spans="1:17">
      <c r="A16" s="83">
        <v>14</v>
      </c>
      <c r="B16" s="83" t="s">
        <v>30</v>
      </c>
      <c r="C16" s="83" t="s">
        <v>22</v>
      </c>
      <c r="D16" s="84">
        <v>41288</v>
      </c>
      <c r="E16" s="85">
        <f t="shared" si="2"/>
        <v>2013</v>
      </c>
      <c r="F16" s="86">
        <v>19960000000</v>
      </c>
      <c r="G16" s="86">
        <v>4426000000</v>
      </c>
      <c r="H16" s="86">
        <v>8474000000</v>
      </c>
      <c r="I16" s="86">
        <v>3297000000</v>
      </c>
      <c r="J16" s="86">
        <v>0</v>
      </c>
      <c r="K16" s="83" t="s">
        <v>31</v>
      </c>
      <c r="L16" s="83" t="s">
        <v>32</v>
      </c>
      <c r="M16" s="91">
        <f t="shared" si="3"/>
        <v>15534000000</v>
      </c>
      <c r="N16" s="86">
        <f t="shared" si="4"/>
        <v>11771000000</v>
      </c>
      <c r="O16" s="86">
        <f t="shared" si="5"/>
        <v>3763000000</v>
      </c>
      <c r="P16" s="83">
        <f t="shared" si="0"/>
        <v>0.18852705410821644</v>
      </c>
      <c r="Q16" s="83">
        <f t="shared" si="1"/>
        <v>0.77825651302605214</v>
      </c>
    </row>
    <row r="17" spans="1:17">
      <c r="A17" s="87">
        <v>15</v>
      </c>
      <c r="B17" s="87" t="s">
        <v>30</v>
      </c>
      <c r="C17" s="87" t="s">
        <v>23</v>
      </c>
      <c r="D17" s="84">
        <v>41289</v>
      </c>
      <c r="E17" s="88">
        <f t="shared" si="2"/>
        <v>2013</v>
      </c>
      <c r="F17" s="89">
        <v>22859000000</v>
      </c>
      <c r="G17" s="89">
        <v>4500000000</v>
      </c>
      <c r="H17" s="89">
        <v>6387000000</v>
      </c>
      <c r="I17" s="89">
        <v>4285000000</v>
      </c>
      <c r="J17" s="89">
        <v>0</v>
      </c>
      <c r="K17" s="87" t="s">
        <v>31</v>
      </c>
      <c r="L17" s="87" t="s">
        <v>32</v>
      </c>
      <c r="M17" s="90">
        <f t="shared" si="3"/>
        <v>18359000000</v>
      </c>
      <c r="N17" s="89">
        <f t="shared" si="4"/>
        <v>10672000000</v>
      </c>
      <c r="O17" s="89">
        <f t="shared" si="5"/>
        <v>7687000000</v>
      </c>
      <c r="P17" s="87">
        <f t="shared" si="0"/>
        <v>0.33627892733715387</v>
      </c>
      <c r="Q17" s="87">
        <f t="shared" si="1"/>
        <v>0.803140994794173</v>
      </c>
    </row>
    <row r="18" spans="1:17">
      <c r="A18" s="83">
        <v>16</v>
      </c>
      <c r="B18" s="83" t="s">
        <v>33</v>
      </c>
      <c r="C18" s="83" t="s">
        <v>18</v>
      </c>
      <c r="D18" s="84">
        <v>41290</v>
      </c>
      <c r="E18" s="85">
        <f t="shared" si="2"/>
        <v>2013</v>
      </c>
      <c r="F18" s="86">
        <v>87959167000</v>
      </c>
      <c r="G18" s="86">
        <v>85451348000</v>
      </c>
      <c r="H18" s="86">
        <v>1447234000</v>
      </c>
      <c r="I18" s="86">
        <v>0</v>
      </c>
      <c r="J18" s="86">
        <v>162186000</v>
      </c>
      <c r="K18" s="83" t="s">
        <v>31</v>
      </c>
      <c r="L18" s="83" t="s">
        <v>34</v>
      </c>
      <c r="M18" s="91">
        <f t="shared" si="3"/>
        <v>2507819000</v>
      </c>
      <c r="N18" s="86">
        <f t="shared" si="4"/>
        <v>1609420000</v>
      </c>
      <c r="O18" s="86">
        <f t="shared" si="5"/>
        <v>898399000</v>
      </c>
      <c r="P18" s="83">
        <f t="shared" si="0"/>
        <v>1.0213818873477963E-2</v>
      </c>
      <c r="Q18" s="83">
        <f t="shared" si="1"/>
        <v>2.8511172689936859E-2</v>
      </c>
    </row>
    <row r="19" spans="1:17">
      <c r="A19" s="87">
        <v>17</v>
      </c>
      <c r="B19" s="87" t="s">
        <v>33</v>
      </c>
      <c r="C19" s="87" t="s">
        <v>21</v>
      </c>
      <c r="D19" s="84">
        <v>41291</v>
      </c>
      <c r="E19" s="88">
        <f t="shared" si="2"/>
        <v>2013</v>
      </c>
      <c r="F19" s="89">
        <v>119569127000</v>
      </c>
      <c r="G19" s="89">
        <v>116586761000</v>
      </c>
      <c r="H19" s="89">
        <v>2011595000</v>
      </c>
      <c r="I19" s="89">
        <v>0</v>
      </c>
      <c r="J19" s="89">
        <v>188680000</v>
      </c>
      <c r="K19" s="87" t="s">
        <v>31</v>
      </c>
      <c r="L19" s="87" t="s">
        <v>34</v>
      </c>
      <c r="M19" s="90">
        <f t="shared" si="3"/>
        <v>2982366000</v>
      </c>
      <c r="N19" s="89">
        <f t="shared" si="4"/>
        <v>2200275000</v>
      </c>
      <c r="O19" s="89">
        <f t="shared" si="5"/>
        <v>782091000</v>
      </c>
      <c r="P19" s="87">
        <f t="shared" si="0"/>
        <v>6.5409108490020167E-3</v>
      </c>
      <c r="Q19" s="87">
        <f t="shared" si="1"/>
        <v>2.4942609140234051E-2</v>
      </c>
    </row>
    <row r="20" spans="1:17">
      <c r="A20" s="83">
        <v>18</v>
      </c>
      <c r="B20" s="83" t="s">
        <v>33</v>
      </c>
      <c r="C20" s="83" t="s">
        <v>22</v>
      </c>
      <c r="D20" s="84">
        <v>41292</v>
      </c>
      <c r="E20" s="85">
        <f t="shared" si="2"/>
        <v>2013</v>
      </c>
      <c r="F20" s="86">
        <v>135961803000</v>
      </c>
      <c r="G20" s="86">
        <v>132432490000</v>
      </c>
      <c r="H20" s="86">
        <v>2858458000</v>
      </c>
      <c r="I20" s="86">
        <v>0</v>
      </c>
      <c r="J20" s="86">
        <v>248635000</v>
      </c>
      <c r="K20" s="83" t="s">
        <v>31</v>
      </c>
      <c r="L20" s="83" t="s">
        <v>34</v>
      </c>
      <c r="M20" s="91">
        <f t="shared" si="3"/>
        <v>3529313000</v>
      </c>
      <c r="N20" s="86">
        <f t="shared" si="4"/>
        <v>3107093000</v>
      </c>
      <c r="O20" s="86">
        <f t="shared" si="5"/>
        <v>422220000</v>
      </c>
      <c r="P20" s="83">
        <f t="shared" si="0"/>
        <v>3.1054310157978709E-3</v>
      </c>
      <c r="Q20" s="83">
        <f t="shared" si="1"/>
        <v>2.5958121487988817E-2</v>
      </c>
    </row>
    <row r="21" spans="1:17">
      <c r="A21" s="87">
        <v>19</v>
      </c>
      <c r="B21" s="87" t="s">
        <v>33</v>
      </c>
      <c r="C21" s="87" t="s">
        <v>23</v>
      </c>
      <c r="D21" s="84">
        <v>41293</v>
      </c>
      <c r="E21" s="88">
        <f t="shared" si="2"/>
        <v>2013</v>
      </c>
      <c r="F21" s="89">
        <v>146849686000</v>
      </c>
      <c r="G21" s="89">
        <v>142577080000</v>
      </c>
      <c r="H21" s="89">
        <v>2382097000</v>
      </c>
      <c r="I21" s="89">
        <v>0</v>
      </c>
      <c r="J21" s="89">
        <v>364735000</v>
      </c>
      <c r="K21" s="87" t="s">
        <v>31</v>
      </c>
      <c r="L21" s="87" t="s">
        <v>34</v>
      </c>
      <c r="M21" s="90">
        <f t="shared" si="3"/>
        <v>4272606000</v>
      </c>
      <c r="N21" s="89">
        <f t="shared" si="4"/>
        <v>2746832000</v>
      </c>
      <c r="O21" s="89">
        <f t="shared" si="5"/>
        <v>1525774000</v>
      </c>
      <c r="P21" s="87">
        <f t="shared" si="0"/>
        <v>1.0390039240533343E-2</v>
      </c>
      <c r="Q21" s="87">
        <f t="shared" si="1"/>
        <v>2.9095097962960614E-2</v>
      </c>
    </row>
    <row r="22" spans="1:17">
      <c r="A22" s="83">
        <v>20</v>
      </c>
      <c r="B22" s="83" t="s">
        <v>35</v>
      </c>
      <c r="C22" s="83" t="s">
        <v>18</v>
      </c>
      <c r="D22" s="84">
        <v>41294</v>
      </c>
      <c r="E22" s="85">
        <f t="shared" si="2"/>
        <v>2013</v>
      </c>
      <c r="F22" s="86">
        <v>19050000000</v>
      </c>
      <c r="G22" s="86">
        <v>8899000000</v>
      </c>
      <c r="H22" s="86">
        <v>6735000000</v>
      </c>
      <c r="I22" s="86">
        <v>1461000000</v>
      </c>
      <c r="J22" s="86">
        <v>595000000</v>
      </c>
      <c r="K22" s="83" t="s">
        <v>31</v>
      </c>
      <c r="L22" s="83" t="s">
        <v>36</v>
      </c>
      <c r="M22" s="91">
        <f t="shared" si="3"/>
        <v>10151000000</v>
      </c>
      <c r="N22" s="86">
        <f t="shared" si="4"/>
        <v>8791000000</v>
      </c>
      <c r="O22" s="86">
        <f t="shared" si="5"/>
        <v>1360000000</v>
      </c>
      <c r="P22" s="83">
        <f t="shared" si="0"/>
        <v>7.1391076115485563E-2</v>
      </c>
      <c r="Q22" s="83">
        <f t="shared" si="1"/>
        <v>0.53286089238845147</v>
      </c>
    </row>
    <row r="23" spans="1:17">
      <c r="A23" s="87">
        <v>21</v>
      </c>
      <c r="B23" s="87" t="s">
        <v>35</v>
      </c>
      <c r="C23" s="87" t="s">
        <v>21</v>
      </c>
      <c r="D23" s="84">
        <v>41295</v>
      </c>
      <c r="E23" s="88">
        <f t="shared" si="2"/>
        <v>2013</v>
      </c>
      <c r="F23" s="89">
        <v>19657000000</v>
      </c>
      <c r="G23" s="89">
        <v>9193000000</v>
      </c>
      <c r="H23" s="89">
        <v>6372000000</v>
      </c>
      <c r="I23" s="89">
        <v>1371000000</v>
      </c>
      <c r="J23" s="89">
        <v>588000000</v>
      </c>
      <c r="K23" s="87" t="s">
        <v>31</v>
      </c>
      <c r="L23" s="87" t="s">
        <v>36</v>
      </c>
      <c r="M23" s="90">
        <f t="shared" si="3"/>
        <v>10464000000</v>
      </c>
      <c r="N23" s="89">
        <f t="shared" si="4"/>
        <v>8331000000</v>
      </c>
      <c r="O23" s="89">
        <f t="shared" si="5"/>
        <v>2133000000</v>
      </c>
      <c r="P23" s="87">
        <f t="shared" si="0"/>
        <v>0.10851096301571959</v>
      </c>
      <c r="Q23" s="87">
        <f t="shared" si="1"/>
        <v>0.53232945006867782</v>
      </c>
    </row>
    <row r="24" spans="1:17">
      <c r="A24" s="83">
        <v>22</v>
      </c>
      <c r="B24" s="83" t="s">
        <v>35</v>
      </c>
      <c r="C24" s="83" t="s">
        <v>22</v>
      </c>
      <c r="D24" s="84">
        <v>41296</v>
      </c>
      <c r="E24" s="85">
        <f t="shared" si="2"/>
        <v>2013</v>
      </c>
      <c r="F24" s="86">
        <v>20247000000</v>
      </c>
      <c r="G24" s="86">
        <v>9218000000</v>
      </c>
      <c r="H24" s="86">
        <v>6530000000</v>
      </c>
      <c r="I24" s="86">
        <v>1345000000</v>
      </c>
      <c r="J24" s="86">
        <v>555000000</v>
      </c>
      <c r="K24" s="83" t="s">
        <v>31</v>
      </c>
      <c r="L24" s="83" t="s">
        <v>36</v>
      </c>
      <c r="M24" s="91">
        <f t="shared" si="3"/>
        <v>11029000000</v>
      </c>
      <c r="N24" s="86">
        <f t="shared" si="4"/>
        <v>8430000000</v>
      </c>
      <c r="O24" s="86">
        <f t="shared" si="5"/>
        <v>2599000000</v>
      </c>
      <c r="P24" s="83">
        <f t="shared" si="0"/>
        <v>0.12836469600434633</v>
      </c>
      <c r="Q24" s="83">
        <f t="shared" si="1"/>
        <v>0.54472267496419224</v>
      </c>
    </row>
    <row r="25" spans="1:17">
      <c r="A25" s="87">
        <v>23</v>
      </c>
      <c r="B25" s="87" t="s">
        <v>35</v>
      </c>
      <c r="C25" s="87" t="s">
        <v>23</v>
      </c>
      <c r="D25" s="84">
        <v>41297</v>
      </c>
      <c r="E25" s="88">
        <f t="shared" si="2"/>
        <v>2013</v>
      </c>
      <c r="F25" s="89">
        <v>20405000000</v>
      </c>
      <c r="G25" s="89">
        <v>8747000000</v>
      </c>
      <c r="H25" s="89">
        <v>6785000000</v>
      </c>
      <c r="I25" s="89">
        <v>1405000000</v>
      </c>
      <c r="J25" s="89">
        <v>601000000</v>
      </c>
      <c r="K25" s="87" t="s">
        <v>31</v>
      </c>
      <c r="L25" s="87" t="s">
        <v>36</v>
      </c>
      <c r="M25" s="90">
        <f t="shared" si="3"/>
        <v>11658000000</v>
      </c>
      <c r="N25" s="89">
        <f t="shared" si="4"/>
        <v>8791000000</v>
      </c>
      <c r="O25" s="89">
        <f t="shared" si="5"/>
        <v>2867000000</v>
      </c>
      <c r="P25" s="87">
        <f t="shared" si="0"/>
        <v>0.14050477824062729</v>
      </c>
      <c r="Q25" s="87">
        <f t="shared" si="1"/>
        <v>0.57133055623621654</v>
      </c>
    </row>
    <row r="26" spans="1:17">
      <c r="A26" s="83">
        <v>24</v>
      </c>
      <c r="B26" s="83" t="s">
        <v>37</v>
      </c>
      <c r="C26" s="83" t="s">
        <v>18</v>
      </c>
      <c r="D26" s="84">
        <v>41298</v>
      </c>
      <c r="E26" s="85">
        <f t="shared" si="2"/>
        <v>2013</v>
      </c>
      <c r="F26" s="86">
        <v>4055240000</v>
      </c>
      <c r="G26" s="86">
        <v>586557000</v>
      </c>
      <c r="H26" s="86">
        <v>2140578000</v>
      </c>
      <c r="I26" s="86">
        <v>826631000</v>
      </c>
      <c r="J26" s="86">
        <v>52254000</v>
      </c>
      <c r="K26" s="83" t="s">
        <v>28</v>
      </c>
      <c r="L26" s="83" t="s">
        <v>38</v>
      </c>
      <c r="M26" s="91">
        <f t="shared" si="3"/>
        <v>3468683000</v>
      </c>
      <c r="N26" s="86">
        <f t="shared" si="4"/>
        <v>3019463000</v>
      </c>
      <c r="O26" s="86">
        <f t="shared" si="5"/>
        <v>449220000</v>
      </c>
      <c r="P26" s="83">
        <f t="shared" si="0"/>
        <v>0.11077519456308381</v>
      </c>
      <c r="Q26" s="83">
        <f t="shared" si="1"/>
        <v>0.85535825253252584</v>
      </c>
    </row>
    <row r="27" spans="1:17">
      <c r="A27" s="87">
        <v>25</v>
      </c>
      <c r="B27" s="87" t="s">
        <v>37</v>
      </c>
      <c r="C27" s="87" t="s">
        <v>21</v>
      </c>
      <c r="D27" s="84">
        <v>41299</v>
      </c>
      <c r="E27" s="88">
        <f t="shared" si="2"/>
        <v>2013</v>
      </c>
      <c r="F27" s="89">
        <v>4147065000</v>
      </c>
      <c r="G27" s="89">
        <v>622080000</v>
      </c>
      <c r="H27" s="89">
        <v>2195640000</v>
      </c>
      <c r="I27" s="89">
        <v>844353000</v>
      </c>
      <c r="J27" s="89">
        <v>52424000</v>
      </c>
      <c r="K27" s="87" t="s">
        <v>28</v>
      </c>
      <c r="L27" s="87" t="s">
        <v>38</v>
      </c>
      <c r="M27" s="90">
        <f t="shared" si="3"/>
        <v>3524985000</v>
      </c>
      <c r="N27" s="89">
        <f t="shared" si="4"/>
        <v>3092417000</v>
      </c>
      <c r="O27" s="89">
        <f t="shared" si="5"/>
        <v>432568000</v>
      </c>
      <c r="P27" s="87">
        <f t="shared" si="0"/>
        <v>0.10430702195408077</v>
      </c>
      <c r="Q27" s="87">
        <f t="shared" si="1"/>
        <v>0.84999511702854913</v>
      </c>
    </row>
    <row r="28" spans="1:17">
      <c r="A28" s="83">
        <v>26</v>
      </c>
      <c r="B28" s="83" t="s">
        <v>37</v>
      </c>
      <c r="C28" s="83" t="s">
        <v>22</v>
      </c>
      <c r="D28" s="84">
        <v>41300</v>
      </c>
      <c r="E28" s="85">
        <f t="shared" si="2"/>
        <v>2013</v>
      </c>
      <c r="F28" s="86">
        <v>4795511000</v>
      </c>
      <c r="G28" s="86">
        <v>744317000</v>
      </c>
      <c r="H28" s="86">
        <v>2215161000</v>
      </c>
      <c r="I28" s="86">
        <v>862730000</v>
      </c>
      <c r="J28" s="86">
        <v>68649000</v>
      </c>
      <c r="K28" s="83" t="s">
        <v>28</v>
      </c>
      <c r="L28" s="83" t="s">
        <v>38</v>
      </c>
      <c r="M28" s="91">
        <f t="shared" si="3"/>
        <v>4051194000</v>
      </c>
      <c r="N28" s="86">
        <f t="shared" si="4"/>
        <v>3146540000</v>
      </c>
      <c r="O28" s="86">
        <f t="shared" si="5"/>
        <v>904654000</v>
      </c>
      <c r="P28" s="83">
        <f t="shared" si="0"/>
        <v>0.18864600665080322</v>
      </c>
      <c r="Q28" s="83">
        <f t="shared" si="1"/>
        <v>0.84478880352896701</v>
      </c>
    </row>
    <row r="29" spans="1:17">
      <c r="A29" s="87">
        <v>27</v>
      </c>
      <c r="B29" s="87" t="s">
        <v>37</v>
      </c>
      <c r="C29" s="87" t="s">
        <v>23</v>
      </c>
      <c r="D29" s="84">
        <v>41301</v>
      </c>
      <c r="E29" s="88">
        <f t="shared" si="2"/>
        <v>2013</v>
      </c>
      <c r="F29" s="89">
        <v>5854430000</v>
      </c>
      <c r="G29" s="89">
        <v>819908000</v>
      </c>
      <c r="H29" s="89">
        <v>2487907000</v>
      </c>
      <c r="I29" s="89">
        <v>975987000</v>
      </c>
      <c r="J29" s="89">
        <v>78534000</v>
      </c>
      <c r="K29" s="87" t="s">
        <v>28</v>
      </c>
      <c r="L29" s="87" t="s">
        <v>38</v>
      </c>
      <c r="M29" s="90">
        <f t="shared" si="3"/>
        <v>5034522000</v>
      </c>
      <c r="N29" s="89">
        <f t="shared" si="4"/>
        <v>3542428000</v>
      </c>
      <c r="O29" s="89">
        <f t="shared" si="5"/>
        <v>1492094000</v>
      </c>
      <c r="P29" s="87">
        <f t="shared" si="0"/>
        <v>0.25486580247778179</v>
      </c>
      <c r="Q29" s="87">
        <f t="shared" si="1"/>
        <v>0.8599508406454599</v>
      </c>
    </row>
    <row r="30" spans="1:17">
      <c r="A30" s="83">
        <v>28</v>
      </c>
      <c r="B30" s="83" t="s">
        <v>39</v>
      </c>
      <c r="C30" s="83" t="s">
        <v>18</v>
      </c>
      <c r="D30" s="84">
        <v>41302</v>
      </c>
      <c r="E30" s="85">
        <f t="shared" si="2"/>
        <v>2013</v>
      </c>
      <c r="F30" s="86">
        <v>2633689000</v>
      </c>
      <c r="G30" s="86">
        <v>941278000</v>
      </c>
      <c r="H30" s="86">
        <v>396233000</v>
      </c>
      <c r="I30" s="86">
        <v>513035000</v>
      </c>
      <c r="J30" s="86">
        <v>220000</v>
      </c>
      <c r="K30" s="83" t="s">
        <v>28</v>
      </c>
      <c r="L30" s="83" t="s">
        <v>40</v>
      </c>
      <c r="M30" s="91">
        <f t="shared" si="3"/>
        <v>1692411000</v>
      </c>
      <c r="N30" s="86">
        <f t="shared" si="4"/>
        <v>909488000</v>
      </c>
      <c r="O30" s="86">
        <f t="shared" si="5"/>
        <v>782923000</v>
      </c>
      <c r="P30" s="83">
        <f t="shared" si="0"/>
        <v>0.29727238105941894</v>
      </c>
      <c r="Q30" s="83">
        <f t="shared" si="1"/>
        <v>0.64260092972252991</v>
      </c>
    </row>
    <row r="31" spans="1:17">
      <c r="A31" s="87">
        <v>29</v>
      </c>
      <c r="B31" s="87" t="s">
        <v>39</v>
      </c>
      <c r="C31" s="87" t="s">
        <v>21</v>
      </c>
      <c r="D31" s="84">
        <v>41303</v>
      </c>
      <c r="E31" s="88">
        <f t="shared" si="2"/>
        <v>2013</v>
      </c>
      <c r="F31" s="89">
        <v>2864773000</v>
      </c>
      <c r="G31" s="89">
        <v>1034585000</v>
      </c>
      <c r="H31" s="89">
        <v>454676000</v>
      </c>
      <c r="I31" s="89">
        <v>559686000</v>
      </c>
      <c r="J31" s="89">
        <v>26020000</v>
      </c>
      <c r="K31" s="87" t="s">
        <v>28</v>
      </c>
      <c r="L31" s="87" t="s">
        <v>40</v>
      </c>
      <c r="M31" s="90">
        <f t="shared" si="3"/>
        <v>1830188000</v>
      </c>
      <c r="N31" s="89">
        <f t="shared" si="4"/>
        <v>1040382000</v>
      </c>
      <c r="O31" s="89">
        <f t="shared" si="5"/>
        <v>789806000</v>
      </c>
      <c r="P31" s="87">
        <f t="shared" si="0"/>
        <v>0.27569584047322421</v>
      </c>
      <c r="Q31" s="87">
        <f t="shared" si="1"/>
        <v>0.6388596932462014</v>
      </c>
    </row>
    <row r="32" spans="1:17">
      <c r="A32" s="83">
        <v>30</v>
      </c>
      <c r="B32" s="83" t="s">
        <v>39</v>
      </c>
      <c r="C32" s="83" t="s">
        <v>22</v>
      </c>
      <c r="D32" s="84">
        <v>41304</v>
      </c>
      <c r="E32" s="85">
        <f t="shared" si="2"/>
        <v>2013</v>
      </c>
      <c r="F32" s="86">
        <v>3435092000</v>
      </c>
      <c r="G32" s="86">
        <v>1175830000</v>
      </c>
      <c r="H32" s="86">
        <v>702644000</v>
      </c>
      <c r="I32" s="86">
        <v>637459000</v>
      </c>
      <c r="J32" s="86">
        <v>88318000</v>
      </c>
      <c r="K32" s="83" t="s">
        <v>28</v>
      </c>
      <c r="L32" s="83" t="s">
        <v>40</v>
      </c>
      <c r="M32" s="91">
        <f t="shared" si="3"/>
        <v>2259262000</v>
      </c>
      <c r="N32" s="86">
        <f t="shared" si="4"/>
        <v>1428421000</v>
      </c>
      <c r="O32" s="86">
        <f t="shared" si="5"/>
        <v>830841000</v>
      </c>
      <c r="P32" s="83">
        <f t="shared" si="0"/>
        <v>0.24186863117494378</v>
      </c>
      <c r="Q32" s="83">
        <f t="shared" si="1"/>
        <v>0.65770057978068708</v>
      </c>
    </row>
    <row r="33" spans="1:17">
      <c r="A33" s="87">
        <v>31</v>
      </c>
      <c r="B33" s="87" t="s">
        <v>39</v>
      </c>
      <c r="C33" s="87" t="s">
        <v>23</v>
      </c>
      <c r="D33" s="84">
        <v>41305</v>
      </c>
      <c r="E33" s="88">
        <f t="shared" si="2"/>
        <v>2013</v>
      </c>
      <c r="F33" s="89">
        <v>3421409000</v>
      </c>
      <c r="G33" s="89">
        <v>1194236000</v>
      </c>
      <c r="H33" s="89">
        <v>461438000</v>
      </c>
      <c r="I33" s="89">
        <v>653816000</v>
      </c>
      <c r="J33" s="89">
        <v>70123000</v>
      </c>
      <c r="K33" s="87" t="s">
        <v>28</v>
      </c>
      <c r="L33" s="87" t="s">
        <v>40</v>
      </c>
      <c r="M33" s="90">
        <f t="shared" si="3"/>
        <v>2227173000</v>
      </c>
      <c r="N33" s="89">
        <f t="shared" si="4"/>
        <v>1185377000</v>
      </c>
      <c r="O33" s="89">
        <f t="shared" si="5"/>
        <v>1041796000</v>
      </c>
      <c r="P33" s="87">
        <f t="shared" si="0"/>
        <v>0.30449326578611324</v>
      </c>
      <c r="Q33" s="87">
        <f t="shared" si="1"/>
        <v>0.65095199083184729</v>
      </c>
    </row>
    <row r="34" spans="1:17">
      <c r="A34" s="83">
        <v>32</v>
      </c>
      <c r="B34" s="83" t="s">
        <v>41</v>
      </c>
      <c r="C34" s="83" t="s">
        <v>18</v>
      </c>
      <c r="D34" s="84">
        <v>41306</v>
      </c>
      <c r="E34" s="85">
        <f t="shared" si="2"/>
        <v>2013</v>
      </c>
      <c r="F34" s="86">
        <v>90559000000</v>
      </c>
      <c r="G34" s="86">
        <v>86936000000</v>
      </c>
      <c r="H34" s="86">
        <v>1665000000</v>
      </c>
      <c r="I34" s="86">
        <v>0</v>
      </c>
      <c r="J34" s="86">
        <v>0</v>
      </c>
      <c r="K34" s="83" t="s">
        <v>42</v>
      </c>
      <c r="L34" s="83" t="s">
        <v>43</v>
      </c>
      <c r="M34" s="91">
        <f t="shared" si="3"/>
        <v>3623000000</v>
      </c>
      <c r="N34" s="86">
        <f t="shared" si="4"/>
        <v>1665000000</v>
      </c>
      <c r="O34" s="86">
        <f t="shared" si="5"/>
        <v>1958000000</v>
      </c>
      <c r="P34" s="83">
        <f t="shared" si="0"/>
        <v>2.1621263485683367E-2</v>
      </c>
      <c r="Q34" s="83">
        <f t="shared" si="1"/>
        <v>4.0007067215848235E-2</v>
      </c>
    </row>
    <row r="35" spans="1:17">
      <c r="A35" s="87">
        <v>33</v>
      </c>
      <c r="B35" s="87" t="s">
        <v>41</v>
      </c>
      <c r="C35" s="87" t="s">
        <v>21</v>
      </c>
      <c r="D35" s="84">
        <v>41307</v>
      </c>
      <c r="E35" s="88">
        <f t="shared" si="2"/>
        <v>2013</v>
      </c>
      <c r="F35" s="89">
        <v>89804000000</v>
      </c>
      <c r="G35" s="89">
        <v>85915000000</v>
      </c>
      <c r="H35" s="89">
        <v>1759000000</v>
      </c>
      <c r="I35" s="89">
        <v>0</v>
      </c>
      <c r="J35" s="89">
        <v>0</v>
      </c>
      <c r="K35" s="87" t="s">
        <v>42</v>
      </c>
      <c r="L35" s="87" t="s">
        <v>43</v>
      </c>
      <c r="M35" s="90">
        <f t="shared" si="3"/>
        <v>3889000000</v>
      </c>
      <c r="N35" s="89">
        <f t="shared" si="4"/>
        <v>1759000000</v>
      </c>
      <c r="O35" s="89">
        <f t="shared" si="5"/>
        <v>2130000000</v>
      </c>
      <c r="P35" s="87">
        <f t="shared" si="0"/>
        <v>2.3718319896663845E-2</v>
      </c>
      <c r="Q35" s="87">
        <f t="shared" si="1"/>
        <v>4.330542069395571E-2</v>
      </c>
    </row>
    <row r="36" spans="1:17">
      <c r="A36" s="83">
        <v>34</v>
      </c>
      <c r="B36" s="83" t="s">
        <v>41</v>
      </c>
      <c r="C36" s="83" t="s">
        <v>22</v>
      </c>
      <c r="D36" s="84">
        <v>41308</v>
      </c>
      <c r="E36" s="85">
        <f t="shared" si="2"/>
        <v>2013</v>
      </c>
      <c r="F36" s="86">
        <v>81201000000</v>
      </c>
      <c r="G36" s="86">
        <v>76433000000</v>
      </c>
      <c r="H36" s="86">
        <v>1907000000</v>
      </c>
      <c r="I36" s="86">
        <v>0</v>
      </c>
      <c r="J36" s="86">
        <v>0</v>
      </c>
      <c r="K36" s="83" t="s">
        <v>42</v>
      </c>
      <c r="L36" s="83" t="s">
        <v>43</v>
      </c>
      <c r="M36" s="91">
        <f t="shared" si="3"/>
        <v>4768000000</v>
      </c>
      <c r="N36" s="86">
        <f t="shared" si="4"/>
        <v>1907000000</v>
      </c>
      <c r="O36" s="86">
        <f t="shared" si="5"/>
        <v>2861000000</v>
      </c>
      <c r="P36" s="83">
        <f t="shared" si="0"/>
        <v>3.5233556236992154E-2</v>
      </c>
      <c r="Q36" s="83">
        <f t="shared" si="1"/>
        <v>5.8718488688562998E-2</v>
      </c>
    </row>
    <row r="37" spans="1:17">
      <c r="A37" s="87">
        <v>35</v>
      </c>
      <c r="B37" s="87" t="s">
        <v>41</v>
      </c>
      <c r="C37" s="87" t="s">
        <v>23</v>
      </c>
      <c r="D37" s="84">
        <v>41309</v>
      </c>
      <c r="E37" s="88">
        <f t="shared" si="2"/>
        <v>2013</v>
      </c>
      <c r="F37" s="89">
        <v>67702000000</v>
      </c>
      <c r="G37" s="89">
        <v>63682000000</v>
      </c>
      <c r="H37" s="89">
        <v>2010000000</v>
      </c>
      <c r="I37" s="89">
        <v>0</v>
      </c>
      <c r="J37" s="89">
        <v>0</v>
      </c>
      <c r="K37" s="87" t="s">
        <v>42</v>
      </c>
      <c r="L37" s="87" t="s">
        <v>43</v>
      </c>
      <c r="M37" s="90">
        <f t="shared" si="3"/>
        <v>4020000000</v>
      </c>
      <c r="N37" s="89">
        <f t="shared" si="4"/>
        <v>2010000000</v>
      </c>
      <c r="O37" s="89">
        <f t="shared" si="5"/>
        <v>2010000000</v>
      </c>
      <c r="P37" s="87">
        <f t="shared" si="0"/>
        <v>2.9688930903075242E-2</v>
      </c>
      <c r="Q37" s="87">
        <f t="shared" si="1"/>
        <v>5.9377861806150456E-2</v>
      </c>
    </row>
    <row r="38" spans="1:17">
      <c r="A38" s="83">
        <v>36</v>
      </c>
      <c r="B38" s="83" t="s">
        <v>44</v>
      </c>
      <c r="C38" s="83" t="s">
        <v>18</v>
      </c>
      <c r="D38" s="84">
        <v>41310</v>
      </c>
      <c r="E38" s="85">
        <f t="shared" si="2"/>
        <v>2013</v>
      </c>
      <c r="F38" s="86">
        <v>3641390000</v>
      </c>
      <c r="G38" s="86">
        <v>2392091000</v>
      </c>
      <c r="H38" s="86">
        <v>108059000</v>
      </c>
      <c r="I38" s="86">
        <v>0</v>
      </c>
      <c r="J38" s="86">
        <v>166876000</v>
      </c>
      <c r="K38" s="83" t="s">
        <v>28</v>
      </c>
      <c r="L38" s="83" t="s">
        <v>45</v>
      </c>
      <c r="M38" s="91">
        <f t="shared" si="3"/>
        <v>1249299000</v>
      </c>
      <c r="N38" s="86">
        <f t="shared" si="4"/>
        <v>274935000</v>
      </c>
      <c r="O38" s="86">
        <f t="shared" si="5"/>
        <v>974364000</v>
      </c>
      <c r="P38" s="83">
        <f t="shared" si="0"/>
        <v>0.26758023721710666</v>
      </c>
      <c r="Q38" s="83">
        <f t="shared" si="1"/>
        <v>0.34308299852528845</v>
      </c>
    </row>
    <row r="39" spans="1:17">
      <c r="A39" s="87">
        <v>37</v>
      </c>
      <c r="B39" s="87" t="s">
        <v>44</v>
      </c>
      <c r="C39" s="87" t="s">
        <v>21</v>
      </c>
      <c r="D39" s="84">
        <v>41311</v>
      </c>
      <c r="E39" s="88">
        <f t="shared" si="2"/>
        <v>2013</v>
      </c>
      <c r="F39" s="89">
        <v>4319063000</v>
      </c>
      <c r="G39" s="89">
        <v>2894917000</v>
      </c>
      <c r="H39" s="89">
        <v>109115000</v>
      </c>
      <c r="I39" s="89">
        <v>0</v>
      </c>
      <c r="J39" s="89">
        <v>216119000</v>
      </c>
      <c r="K39" s="87" t="s">
        <v>28</v>
      </c>
      <c r="L39" s="87" t="s">
        <v>45</v>
      </c>
      <c r="M39" s="90">
        <f t="shared" si="3"/>
        <v>1424146000</v>
      </c>
      <c r="N39" s="89">
        <f t="shared" si="4"/>
        <v>325234000</v>
      </c>
      <c r="O39" s="89">
        <f t="shared" si="5"/>
        <v>1098912000</v>
      </c>
      <c r="P39" s="87">
        <f t="shared" si="0"/>
        <v>0.25443296381645741</v>
      </c>
      <c r="Q39" s="87">
        <f t="shared" si="1"/>
        <v>0.32973494482483812</v>
      </c>
    </row>
    <row r="40" spans="1:17">
      <c r="A40" s="83">
        <v>38</v>
      </c>
      <c r="B40" s="83" t="s">
        <v>44</v>
      </c>
      <c r="C40" s="83" t="s">
        <v>22</v>
      </c>
      <c r="D40" s="84">
        <v>41312</v>
      </c>
      <c r="E40" s="85">
        <f t="shared" si="2"/>
        <v>2013</v>
      </c>
      <c r="F40" s="86">
        <v>5302940000</v>
      </c>
      <c r="G40" s="86">
        <v>3643979000</v>
      </c>
      <c r="H40" s="86">
        <v>247412000</v>
      </c>
      <c r="I40" s="86">
        <v>0</v>
      </c>
      <c r="J40" s="86">
        <v>313082000</v>
      </c>
      <c r="K40" s="83" t="s">
        <v>28</v>
      </c>
      <c r="L40" s="83" t="s">
        <v>45</v>
      </c>
      <c r="M40" s="91">
        <f t="shared" si="3"/>
        <v>1658961000</v>
      </c>
      <c r="N40" s="86">
        <f t="shared" si="4"/>
        <v>560494000</v>
      </c>
      <c r="O40" s="86">
        <f t="shared" si="5"/>
        <v>1098467000</v>
      </c>
      <c r="P40" s="83">
        <f t="shared" si="0"/>
        <v>0.20714301877826263</v>
      </c>
      <c r="Q40" s="83">
        <f t="shared" si="1"/>
        <v>0.31283797289805282</v>
      </c>
    </row>
    <row r="41" spans="1:17">
      <c r="A41" s="87">
        <v>39</v>
      </c>
      <c r="B41" s="87" t="s">
        <v>44</v>
      </c>
      <c r="C41" s="87" t="s">
        <v>23</v>
      </c>
      <c r="D41" s="84">
        <v>41313</v>
      </c>
      <c r="E41" s="88">
        <f t="shared" si="2"/>
        <v>2013</v>
      </c>
      <c r="F41" s="89">
        <v>6439746000</v>
      </c>
      <c r="G41" s="89">
        <v>4482700000</v>
      </c>
      <c r="H41" s="89">
        <v>203046000</v>
      </c>
      <c r="I41" s="89">
        <v>0</v>
      </c>
      <c r="J41" s="89">
        <v>492140000</v>
      </c>
      <c r="K41" s="87" t="s">
        <v>28</v>
      </c>
      <c r="L41" s="87" t="s">
        <v>45</v>
      </c>
      <c r="M41" s="90">
        <f t="shared" si="3"/>
        <v>1957046000</v>
      </c>
      <c r="N41" s="89">
        <f t="shared" si="4"/>
        <v>695186000</v>
      </c>
      <c r="O41" s="89">
        <f t="shared" si="5"/>
        <v>1261860000</v>
      </c>
      <c r="P41" s="87">
        <f t="shared" si="0"/>
        <v>0.19594872220115514</v>
      </c>
      <c r="Q41" s="87">
        <f t="shared" si="1"/>
        <v>0.30390111659683472</v>
      </c>
    </row>
    <row r="42" spans="1:17">
      <c r="A42" s="83">
        <v>40</v>
      </c>
      <c r="B42" s="83" t="s">
        <v>46</v>
      </c>
      <c r="C42" s="83" t="s">
        <v>18</v>
      </c>
      <c r="D42" s="84">
        <v>41314</v>
      </c>
      <c r="E42" s="85">
        <f t="shared" si="2"/>
        <v>2013</v>
      </c>
      <c r="F42" s="86">
        <v>2312200000</v>
      </c>
      <c r="G42" s="86">
        <v>238500000</v>
      </c>
      <c r="H42" s="86">
        <v>1081800000</v>
      </c>
      <c r="I42" s="86">
        <v>600000000</v>
      </c>
      <c r="J42" s="86">
        <v>42100000</v>
      </c>
      <c r="K42" s="83" t="s">
        <v>28</v>
      </c>
      <c r="L42" s="83" t="s">
        <v>38</v>
      </c>
      <c r="M42" s="91">
        <f t="shared" si="3"/>
        <v>2073700000</v>
      </c>
      <c r="N42" s="86">
        <f t="shared" si="4"/>
        <v>1723900000</v>
      </c>
      <c r="O42" s="86">
        <f t="shared" si="5"/>
        <v>349800000</v>
      </c>
      <c r="P42" s="83">
        <f t="shared" si="0"/>
        <v>0.15128449096098953</v>
      </c>
      <c r="Q42" s="83">
        <f t="shared" si="1"/>
        <v>0.89685148343568899</v>
      </c>
    </row>
    <row r="43" spans="1:17">
      <c r="A43" s="87">
        <v>41</v>
      </c>
      <c r="B43" s="87" t="s">
        <v>46</v>
      </c>
      <c r="C43" s="87" t="s">
        <v>21</v>
      </c>
      <c r="D43" s="84">
        <v>41315</v>
      </c>
      <c r="E43" s="88">
        <f t="shared" si="2"/>
        <v>2013</v>
      </c>
      <c r="F43" s="89">
        <v>2273900000</v>
      </c>
      <c r="G43" s="89">
        <v>274300000</v>
      </c>
      <c r="H43" s="89">
        <v>1054400000</v>
      </c>
      <c r="I43" s="89">
        <v>611100000</v>
      </c>
      <c r="J43" s="89">
        <v>36500000</v>
      </c>
      <c r="K43" s="87" t="s">
        <v>28</v>
      </c>
      <c r="L43" s="87" t="s">
        <v>38</v>
      </c>
      <c r="M43" s="90">
        <f t="shared" si="3"/>
        <v>1999600000</v>
      </c>
      <c r="N43" s="89">
        <f t="shared" si="4"/>
        <v>1702000000</v>
      </c>
      <c r="O43" s="89">
        <f t="shared" si="5"/>
        <v>297600000</v>
      </c>
      <c r="P43" s="87">
        <f t="shared" si="0"/>
        <v>0.1308764677426448</v>
      </c>
      <c r="Q43" s="87">
        <f t="shared" si="1"/>
        <v>0.87937024495360394</v>
      </c>
    </row>
    <row r="44" spans="1:17">
      <c r="A44" s="83">
        <v>42</v>
      </c>
      <c r="B44" s="83" t="s">
        <v>46</v>
      </c>
      <c r="C44" s="83" t="s">
        <v>22</v>
      </c>
      <c r="D44" s="84">
        <v>41316</v>
      </c>
      <c r="E44" s="85">
        <f t="shared" si="2"/>
        <v>2013</v>
      </c>
      <c r="F44" s="86">
        <v>2512200000</v>
      </c>
      <c r="G44" s="86">
        <v>342100000</v>
      </c>
      <c r="H44" s="86">
        <v>1281300000</v>
      </c>
      <c r="I44" s="86">
        <v>725200000</v>
      </c>
      <c r="J44" s="86">
        <v>39800000</v>
      </c>
      <c r="K44" s="83" t="s">
        <v>28</v>
      </c>
      <c r="L44" s="83" t="s">
        <v>38</v>
      </c>
      <c r="M44" s="91">
        <f t="shared" si="3"/>
        <v>2170100000</v>
      </c>
      <c r="N44" s="86">
        <f t="shared" si="4"/>
        <v>2046300000</v>
      </c>
      <c r="O44" s="86">
        <f t="shared" si="5"/>
        <v>123800000</v>
      </c>
      <c r="P44" s="83">
        <f t="shared" si="0"/>
        <v>4.9279515962104926E-2</v>
      </c>
      <c r="Q44" s="83">
        <f t="shared" si="1"/>
        <v>0.86382453626303635</v>
      </c>
    </row>
    <row r="45" spans="1:17">
      <c r="A45" s="87">
        <v>43</v>
      </c>
      <c r="B45" s="87" t="s">
        <v>46</v>
      </c>
      <c r="C45" s="87" t="s">
        <v>23</v>
      </c>
      <c r="D45" s="84">
        <v>41317</v>
      </c>
      <c r="E45" s="88">
        <f t="shared" si="2"/>
        <v>2013</v>
      </c>
      <c r="F45" s="89">
        <v>2504100000</v>
      </c>
      <c r="G45" s="89">
        <v>370700000</v>
      </c>
      <c r="H45" s="89">
        <v>1308900000</v>
      </c>
      <c r="I45" s="89">
        <v>790000000</v>
      </c>
      <c r="J45" s="89">
        <v>33200000</v>
      </c>
      <c r="K45" s="87" t="s">
        <v>28</v>
      </c>
      <c r="L45" s="87" t="s">
        <v>38</v>
      </c>
      <c r="M45" s="90">
        <f t="shared" si="3"/>
        <v>2133400000</v>
      </c>
      <c r="N45" s="89">
        <f t="shared" si="4"/>
        <v>2132100000</v>
      </c>
      <c r="O45" s="89">
        <f t="shared" si="5"/>
        <v>1300000</v>
      </c>
      <c r="P45" s="87">
        <f t="shared" si="0"/>
        <v>5.1914859630206457E-4</v>
      </c>
      <c r="Q45" s="87">
        <f t="shared" si="1"/>
        <v>0.85196278103909595</v>
      </c>
    </row>
    <row r="46" spans="1:17">
      <c r="A46" s="83">
        <v>44</v>
      </c>
      <c r="B46" s="83" t="s">
        <v>47</v>
      </c>
      <c r="C46" s="83" t="s">
        <v>18</v>
      </c>
      <c r="D46" s="84">
        <v>41318</v>
      </c>
      <c r="E46" s="85">
        <f t="shared" si="2"/>
        <v>2013</v>
      </c>
      <c r="F46" s="86">
        <v>5781000000</v>
      </c>
      <c r="G46" s="86">
        <v>3477000000</v>
      </c>
      <c r="H46" s="86">
        <v>443000000</v>
      </c>
      <c r="I46" s="86">
        <v>0</v>
      </c>
      <c r="J46" s="86">
        <v>673000000</v>
      </c>
      <c r="K46" s="83" t="s">
        <v>48</v>
      </c>
      <c r="L46" s="83" t="s">
        <v>49</v>
      </c>
      <c r="M46" s="91">
        <f t="shared" si="3"/>
        <v>2304000000</v>
      </c>
      <c r="N46" s="86">
        <f t="shared" si="4"/>
        <v>1116000000</v>
      </c>
      <c r="O46" s="86">
        <f t="shared" si="5"/>
        <v>1188000000</v>
      </c>
      <c r="P46" s="83">
        <f t="shared" si="0"/>
        <v>0.20550077841203945</v>
      </c>
      <c r="Q46" s="83">
        <f t="shared" si="1"/>
        <v>0.39854696419304614</v>
      </c>
    </row>
    <row r="47" spans="1:17">
      <c r="A47" s="87">
        <v>45</v>
      </c>
      <c r="B47" s="87" t="s">
        <v>47</v>
      </c>
      <c r="C47" s="87" t="s">
        <v>21</v>
      </c>
      <c r="D47" s="84">
        <v>41319</v>
      </c>
      <c r="E47" s="88">
        <f t="shared" si="2"/>
        <v>2013</v>
      </c>
      <c r="F47" s="89">
        <v>5838000000</v>
      </c>
      <c r="G47" s="89">
        <v>3490000000</v>
      </c>
      <c r="H47" s="89">
        <v>458000000</v>
      </c>
      <c r="I47" s="89">
        <v>0</v>
      </c>
      <c r="J47" s="89">
        <v>706000000</v>
      </c>
      <c r="K47" s="87" t="s">
        <v>48</v>
      </c>
      <c r="L47" s="87" t="s">
        <v>49</v>
      </c>
      <c r="M47" s="90">
        <f t="shared" si="3"/>
        <v>2348000000</v>
      </c>
      <c r="N47" s="89">
        <f t="shared" si="4"/>
        <v>1164000000</v>
      </c>
      <c r="O47" s="89">
        <f t="shared" si="5"/>
        <v>1184000000</v>
      </c>
      <c r="P47" s="87">
        <f t="shared" si="0"/>
        <v>0.20280918122644742</v>
      </c>
      <c r="Q47" s="87">
        <f t="shared" si="1"/>
        <v>0.40219253168893454</v>
      </c>
    </row>
    <row r="48" spans="1:17">
      <c r="A48" s="83">
        <v>46</v>
      </c>
      <c r="B48" s="83" t="s">
        <v>47</v>
      </c>
      <c r="C48" s="83" t="s">
        <v>22</v>
      </c>
      <c r="D48" s="84">
        <v>41320</v>
      </c>
      <c r="E48" s="85">
        <f t="shared" si="2"/>
        <v>2013</v>
      </c>
      <c r="F48" s="86">
        <v>6053000000</v>
      </c>
      <c r="G48" s="86">
        <v>3586000000</v>
      </c>
      <c r="H48" s="86">
        <v>468000000</v>
      </c>
      <c r="I48" s="86">
        <v>0</v>
      </c>
      <c r="J48" s="86">
        <v>745000000</v>
      </c>
      <c r="K48" s="83" t="s">
        <v>48</v>
      </c>
      <c r="L48" s="83" t="s">
        <v>49</v>
      </c>
      <c r="M48" s="91">
        <f t="shared" si="3"/>
        <v>2467000000</v>
      </c>
      <c r="N48" s="86">
        <f t="shared" si="4"/>
        <v>1213000000</v>
      </c>
      <c r="O48" s="86">
        <f t="shared" si="5"/>
        <v>1254000000</v>
      </c>
      <c r="P48" s="83">
        <f t="shared" si="0"/>
        <v>0.20716999834792665</v>
      </c>
      <c r="Q48" s="83">
        <f t="shared" si="1"/>
        <v>0.40756649595242034</v>
      </c>
    </row>
    <row r="49" spans="1:17">
      <c r="A49" s="87">
        <v>47</v>
      </c>
      <c r="B49" s="87" t="s">
        <v>47</v>
      </c>
      <c r="C49" s="87" t="s">
        <v>23</v>
      </c>
      <c r="D49" s="84">
        <v>41321</v>
      </c>
      <c r="E49" s="88">
        <f t="shared" si="2"/>
        <v>2013</v>
      </c>
      <c r="F49" s="89">
        <v>6098000000</v>
      </c>
      <c r="G49" s="89">
        <v>3501000000</v>
      </c>
      <c r="H49" s="89">
        <v>542000000</v>
      </c>
      <c r="I49" s="89">
        <v>0</v>
      </c>
      <c r="J49" s="89">
        <v>796000000</v>
      </c>
      <c r="K49" s="87" t="s">
        <v>48</v>
      </c>
      <c r="L49" s="87" t="s">
        <v>49</v>
      </c>
      <c r="M49" s="90">
        <f t="shared" si="3"/>
        <v>2597000000</v>
      </c>
      <c r="N49" s="89">
        <f t="shared" si="4"/>
        <v>1338000000</v>
      </c>
      <c r="O49" s="89">
        <f t="shared" si="5"/>
        <v>1259000000</v>
      </c>
      <c r="P49" s="87">
        <f t="shared" si="0"/>
        <v>0.20646113479829453</v>
      </c>
      <c r="Q49" s="87">
        <f t="shared" si="1"/>
        <v>0.42587733683174811</v>
      </c>
    </row>
    <row r="50" spans="1:17">
      <c r="A50" s="83">
        <v>48</v>
      </c>
      <c r="B50" s="83" t="s">
        <v>50</v>
      </c>
      <c r="C50" s="83" t="s">
        <v>18</v>
      </c>
      <c r="D50" s="84">
        <v>41322</v>
      </c>
      <c r="E50" s="85">
        <f t="shared" si="2"/>
        <v>2013</v>
      </c>
      <c r="F50" s="86">
        <v>14945000000</v>
      </c>
      <c r="G50" s="86">
        <v>6395000000</v>
      </c>
      <c r="H50" s="86">
        <v>3812000000</v>
      </c>
      <c r="I50" s="86">
        <v>0</v>
      </c>
      <c r="J50" s="86">
        <v>1782000000</v>
      </c>
      <c r="K50" s="83" t="s">
        <v>48</v>
      </c>
      <c r="L50" s="83" t="s">
        <v>51</v>
      </c>
      <c r="M50" s="91">
        <f t="shared" si="3"/>
        <v>8550000000</v>
      </c>
      <c r="N50" s="86">
        <f t="shared" si="4"/>
        <v>5594000000</v>
      </c>
      <c r="O50" s="86">
        <f t="shared" si="5"/>
        <v>2956000000</v>
      </c>
      <c r="P50" s="83">
        <f t="shared" si="0"/>
        <v>0.19779190364670457</v>
      </c>
      <c r="Q50" s="83">
        <f t="shared" si="1"/>
        <v>0.57209769153563061</v>
      </c>
    </row>
    <row r="51" spans="1:17">
      <c r="A51" s="87">
        <v>49</v>
      </c>
      <c r="B51" s="87" t="s">
        <v>50</v>
      </c>
      <c r="C51" s="87" t="s">
        <v>21</v>
      </c>
      <c r="D51" s="84">
        <v>41323</v>
      </c>
      <c r="E51" s="88">
        <f t="shared" si="2"/>
        <v>2013</v>
      </c>
      <c r="F51" s="89">
        <v>14813500000</v>
      </c>
      <c r="G51" s="89">
        <v>6722300000</v>
      </c>
      <c r="H51" s="89">
        <v>3329800000</v>
      </c>
      <c r="I51" s="89">
        <v>0</v>
      </c>
      <c r="J51" s="89">
        <v>1712500000</v>
      </c>
      <c r="K51" s="87" t="s">
        <v>48</v>
      </c>
      <c r="L51" s="87" t="s">
        <v>51</v>
      </c>
      <c r="M51" s="90">
        <f t="shared" si="3"/>
        <v>8091200000</v>
      </c>
      <c r="N51" s="89">
        <f t="shared" si="4"/>
        <v>5042300000</v>
      </c>
      <c r="O51" s="89">
        <f t="shared" si="5"/>
        <v>3048900000</v>
      </c>
      <c r="P51" s="87">
        <f t="shared" si="0"/>
        <v>0.20581901643770883</v>
      </c>
      <c r="Q51" s="87">
        <f t="shared" si="1"/>
        <v>0.54620447564721375</v>
      </c>
    </row>
    <row r="52" spans="1:17">
      <c r="A52" s="83">
        <v>50</v>
      </c>
      <c r="B52" s="83" t="s">
        <v>50</v>
      </c>
      <c r="C52" s="83" t="s">
        <v>22</v>
      </c>
      <c r="D52" s="84">
        <v>41324</v>
      </c>
      <c r="E52" s="85">
        <f t="shared" si="2"/>
        <v>2013</v>
      </c>
      <c r="F52" s="86">
        <v>16378600000</v>
      </c>
      <c r="G52" s="86">
        <v>7685700000</v>
      </c>
      <c r="H52" s="86">
        <v>3667900000</v>
      </c>
      <c r="I52" s="86">
        <v>0</v>
      </c>
      <c r="J52" s="86">
        <v>1897600000</v>
      </c>
      <c r="K52" s="83" t="s">
        <v>48</v>
      </c>
      <c r="L52" s="83" t="s">
        <v>51</v>
      </c>
      <c r="M52" s="91">
        <f t="shared" si="3"/>
        <v>8692900000</v>
      </c>
      <c r="N52" s="86">
        <f t="shared" si="4"/>
        <v>5565500000</v>
      </c>
      <c r="O52" s="86">
        <f t="shared" si="5"/>
        <v>3127400000</v>
      </c>
      <c r="P52" s="83">
        <f t="shared" si="0"/>
        <v>0.19094428095197391</v>
      </c>
      <c r="Q52" s="83">
        <f t="shared" si="1"/>
        <v>0.53074743873102714</v>
      </c>
    </row>
    <row r="53" spans="1:17">
      <c r="A53" s="87">
        <v>51</v>
      </c>
      <c r="B53" s="87" t="s">
        <v>50</v>
      </c>
      <c r="C53" s="87" t="s">
        <v>23</v>
      </c>
      <c r="D53" s="84">
        <v>41325</v>
      </c>
      <c r="E53" s="88">
        <f t="shared" si="2"/>
        <v>2013</v>
      </c>
      <c r="F53" s="89">
        <v>16453200000</v>
      </c>
      <c r="G53" s="89">
        <v>7433500000</v>
      </c>
      <c r="H53" s="89">
        <v>3676500000</v>
      </c>
      <c r="I53" s="89">
        <v>0</v>
      </c>
      <c r="J53" s="89">
        <v>2009700000</v>
      </c>
      <c r="K53" s="87" t="s">
        <v>48</v>
      </c>
      <c r="L53" s="87" t="s">
        <v>51</v>
      </c>
      <c r="M53" s="90">
        <f t="shared" si="3"/>
        <v>9019700000</v>
      </c>
      <c r="N53" s="89">
        <f t="shared" si="4"/>
        <v>5686200000</v>
      </c>
      <c r="O53" s="89">
        <f t="shared" si="5"/>
        <v>3333500000</v>
      </c>
      <c r="P53" s="87">
        <f t="shared" si="0"/>
        <v>0.20260496438382808</v>
      </c>
      <c r="Q53" s="87">
        <f t="shared" si="1"/>
        <v>0.54820338900639387</v>
      </c>
    </row>
    <row r="54" spans="1:17">
      <c r="A54" s="83">
        <v>52</v>
      </c>
      <c r="B54" s="83" t="s">
        <v>52</v>
      </c>
      <c r="C54" s="83" t="s">
        <v>18</v>
      </c>
      <c r="D54" s="84">
        <v>41326</v>
      </c>
      <c r="E54" s="85">
        <f t="shared" si="2"/>
        <v>2013</v>
      </c>
      <c r="F54" s="86">
        <v>25364000000</v>
      </c>
      <c r="G54" s="86">
        <v>17074000000</v>
      </c>
      <c r="H54" s="86">
        <v>0</v>
      </c>
      <c r="I54" s="86">
        <v>0</v>
      </c>
      <c r="J54" s="86">
        <v>3727000000</v>
      </c>
      <c r="K54" s="83" t="s">
        <v>53</v>
      </c>
      <c r="L54" s="83" t="s">
        <v>54</v>
      </c>
      <c r="M54" s="91">
        <f t="shared" si="3"/>
        <v>8290000000</v>
      </c>
      <c r="N54" s="86">
        <f t="shared" si="4"/>
        <v>3727000000</v>
      </c>
      <c r="O54" s="86">
        <f t="shared" si="5"/>
        <v>4563000000</v>
      </c>
      <c r="P54" s="83">
        <f t="shared" si="0"/>
        <v>0.17990064658571203</v>
      </c>
      <c r="Q54" s="83">
        <f t="shared" si="1"/>
        <v>0.32684119224097141</v>
      </c>
    </row>
    <row r="55" spans="1:17">
      <c r="A55" s="87">
        <v>53</v>
      </c>
      <c r="B55" s="87" t="s">
        <v>52</v>
      </c>
      <c r="C55" s="87" t="s">
        <v>21</v>
      </c>
      <c r="D55" s="84">
        <v>41327</v>
      </c>
      <c r="E55" s="88">
        <f t="shared" si="2"/>
        <v>2013</v>
      </c>
      <c r="F55" s="89">
        <v>23939000000</v>
      </c>
      <c r="G55" s="89">
        <v>15341000000</v>
      </c>
      <c r="H55" s="89">
        <v>0</v>
      </c>
      <c r="I55" s="89">
        <v>0</v>
      </c>
      <c r="J55" s="89">
        <v>3489000000</v>
      </c>
      <c r="K55" s="87" t="s">
        <v>53</v>
      </c>
      <c r="L55" s="87" t="s">
        <v>54</v>
      </c>
      <c r="M55" s="90">
        <f t="shared" si="3"/>
        <v>8598000000</v>
      </c>
      <c r="N55" s="89">
        <f t="shared" si="4"/>
        <v>3489000000</v>
      </c>
      <c r="O55" s="89">
        <f t="shared" si="5"/>
        <v>5109000000</v>
      </c>
      <c r="P55" s="87">
        <f t="shared" si="0"/>
        <v>0.21341743598312377</v>
      </c>
      <c r="Q55" s="87">
        <f t="shared" si="1"/>
        <v>0.35916287230043031</v>
      </c>
    </row>
    <row r="56" spans="1:17">
      <c r="A56" s="83">
        <v>54</v>
      </c>
      <c r="B56" s="83" t="s">
        <v>52</v>
      </c>
      <c r="C56" s="83" t="s">
        <v>22</v>
      </c>
      <c r="D56" s="84">
        <v>41328</v>
      </c>
      <c r="E56" s="85">
        <f t="shared" si="2"/>
        <v>2013</v>
      </c>
      <c r="F56" s="86">
        <v>22728000000</v>
      </c>
      <c r="G56" s="86">
        <v>14373000000</v>
      </c>
      <c r="H56" s="86">
        <v>0</v>
      </c>
      <c r="I56" s="86">
        <v>0</v>
      </c>
      <c r="J56" s="86">
        <v>3547000000</v>
      </c>
      <c r="K56" s="83" t="s">
        <v>53</v>
      </c>
      <c r="L56" s="83" t="s">
        <v>54</v>
      </c>
      <c r="M56" s="91">
        <f t="shared" si="3"/>
        <v>8355000000</v>
      </c>
      <c r="N56" s="86">
        <f t="shared" si="4"/>
        <v>3547000000</v>
      </c>
      <c r="O56" s="86">
        <f t="shared" si="5"/>
        <v>4808000000</v>
      </c>
      <c r="P56" s="83">
        <f t="shared" si="0"/>
        <v>0.21154523055262231</v>
      </c>
      <c r="Q56" s="83">
        <f t="shared" si="1"/>
        <v>0.36760823653643082</v>
      </c>
    </row>
    <row r="57" spans="1:17">
      <c r="A57" s="87">
        <v>55</v>
      </c>
      <c r="B57" s="87" t="s">
        <v>52</v>
      </c>
      <c r="C57" s="87" t="s">
        <v>23</v>
      </c>
      <c r="D57" s="84">
        <v>41329</v>
      </c>
      <c r="E57" s="88">
        <f t="shared" si="2"/>
        <v>2013</v>
      </c>
      <c r="F57" s="89">
        <v>20872000000</v>
      </c>
      <c r="G57" s="89">
        <v>13049000000</v>
      </c>
      <c r="H57" s="89">
        <v>0</v>
      </c>
      <c r="I57" s="89">
        <v>0</v>
      </c>
      <c r="J57" s="89">
        <v>3672000000</v>
      </c>
      <c r="K57" s="87" t="s">
        <v>53</v>
      </c>
      <c r="L57" s="87" t="s">
        <v>54</v>
      </c>
      <c r="M57" s="90">
        <f t="shared" si="3"/>
        <v>7823000000</v>
      </c>
      <c r="N57" s="89">
        <f t="shared" si="4"/>
        <v>3672000000</v>
      </c>
      <c r="O57" s="89">
        <f t="shared" si="5"/>
        <v>4151000000</v>
      </c>
      <c r="P57" s="87">
        <f t="shared" si="0"/>
        <v>0.19887888079724031</v>
      </c>
      <c r="Q57" s="87">
        <f t="shared" si="1"/>
        <v>0.3748083556918359</v>
      </c>
    </row>
    <row r="58" spans="1:17">
      <c r="A58" s="83">
        <v>56</v>
      </c>
      <c r="B58" s="83" t="s">
        <v>55</v>
      </c>
      <c r="C58" s="83" t="s">
        <v>18</v>
      </c>
      <c r="D58" s="84">
        <v>41330</v>
      </c>
      <c r="E58" s="85">
        <f t="shared" si="2"/>
        <v>2013</v>
      </c>
      <c r="F58" s="86">
        <v>71214000000</v>
      </c>
      <c r="G58" s="86">
        <v>37745000000</v>
      </c>
      <c r="H58" s="86">
        <v>21491000000</v>
      </c>
      <c r="I58" s="86">
        <v>0</v>
      </c>
      <c r="J58" s="86">
        <v>0</v>
      </c>
      <c r="K58" s="83" t="s">
        <v>53</v>
      </c>
      <c r="L58" s="83" t="s">
        <v>56</v>
      </c>
      <c r="M58" s="91">
        <f t="shared" si="3"/>
        <v>33469000000</v>
      </c>
      <c r="N58" s="86">
        <f t="shared" si="4"/>
        <v>21491000000</v>
      </c>
      <c r="O58" s="86">
        <f t="shared" si="5"/>
        <v>11978000000</v>
      </c>
      <c r="P58" s="83">
        <f t="shared" si="0"/>
        <v>0.16819726458280676</v>
      </c>
      <c r="Q58" s="83">
        <f t="shared" si="1"/>
        <v>0.46997781335130728</v>
      </c>
    </row>
    <row r="59" spans="1:17">
      <c r="A59" s="87">
        <v>57</v>
      </c>
      <c r="B59" s="87" t="s">
        <v>55</v>
      </c>
      <c r="C59" s="87" t="s">
        <v>21</v>
      </c>
      <c r="D59" s="84">
        <v>41331</v>
      </c>
      <c r="E59" s="88">
        <f t="shared" si="2"/>
        <v>2013</v>
      </c>
      <c r="F59" s="89">
        <v>68874000000</v>
      </c>
      <c r="G59" s="89">
        <v>34660000000</v>
      </c>
      <c r="H59" s="89">
        <v>22005000000</v>
      </c>
      <c r="I59" s="89">
        <v>0</v>
      </c>
      <c r="J59" s="89">
        <v>0</v>
      </c>
      <c r="K59" s="87" t="s">
        <v>53</v>
      </c>
      <c r="L59" s="87" t="s">
        <v>56</v>
      </c>
      <c r="M59" s="90">
        <f t="shared" si="3"/>
        <v>34214000000</v>
      </c>
      <c r="N59" s="89">
        <f t="shared" si="4"/>
        <v>22005000000</v>
      </c>
      <c r="O59" s="89">
        <f t="shared" si="5"/>
        <v>12209000000</v>
      </c>
      <c r="P59" s="87">
        <f t="shared" si="0"/>
        <v>0.17726573162586753</v>
      </c>
      <c r="Q59" s="87">
        <f t="shared" si="1"/>
        <v>0.49676220344397015</v>
      </c>
    </row>
    <row r="60" spans="1:17">
      <c r="A60" s="83">
        <v>58</v>
      </c>
      <c r="B60" s="83" t="s">
        <v>55</v>
      </c>
      <c r="C60" s="83" t="s">
        <v>22</v>
      </c>
      <c r="D60" s="84">
        <v>41332</v>
      </c>
      <c r="E60" s="85">
        <f t="shared" si="2"/>
        <v>2013</v>
      </c>
      <c r="F60" s="86">
        <v>64406000000</v>
      </c>
      <c r="G60" s="86">
        <v>33611000000</v>
      </c>
      <c r="H60" s="86">
        <v>18491000000</v>
      </c>
      <c r="I60" s="86">
        <v>0</v>
      </c>
      <c r="J60" s="86">
        <v>0</v>
      </c>
      <c r="K60" s="83" t="s">
        <v>53</v>
      </c>
      <c r="L60" s="83" t="s">
        <v>56</v>
      </c>
      <c r="M60" s="91">
        <f t="shared" si="3"/>
        <v>30795000000</v>
      </c>
      <c r="N60" s="86">
        <f t="shared" si="4"/>
        <v>18491000000</v>
      </c>
      <c r="O60" s="86">
        <f t="shared" si="5"/>
        <v>12304000000</v>
      </c>
      <c r="P60" s="83">
        <f t="shared" si="0"/>
        <v>0.19103810204018259</v>
      </c>
      <c r="Q60" s="83">
        <f t="shared" si="1"/>
        <v>0.47813868273142257</v>
      </c>
    </row>
    <row r="61" spans="1:17">
      <c r="A61" s="87">
        <v>59</v>
      </c>
      <c r="B61" s="87" t="s">
        <v>55</v>
      </c>
      <c r="C61" s="87" t="s">
        <v>23</v>
      </c>
      <c r="D61" s="84">
        <v>41333</v>
      </c>
      <c r="E61" s="88">
        <f t="shared" si="2"/>
        <v>2013</v>
      </c>
      <c r="F61" s="89">
        <v>58327000000</v>
      </c>
      <c r="G61" s="89">
        <v>36581000000</v>
      </c>
      <c r="H61" s="89">
        <v>16417000000</v>
      </c>
      <c r="I61" s="89">
        <v>0</v>
      </c>
      <c r="J61" s="89">
        <v>0</v>
      </c>
      <c r="K61" s="87" t="s">
        <v>53</v>
      </c>
      <c r="L61" s="87" t="s">
        <v>56</v>
      </c>
      <c r="M61" s="90">
        <f t="shared" si="3"/>
        <v>21746000000</v>
      </c>
      <c r="N61" s="89">
        <f t="shared" si="4"/>
        <v>16417000000</v>
      </c>
      <c r="O61" s="89">
        <f t="shared" si="5"/>
        <v>5329000000</v>
      </c>
      <c r="P61" s="87">
        <f t="shared" si="0"/>
        <v>9.1364205256570713E-2</v>
      </c>
      <c r="Q61" s="87">
        <f t="shared" si="1"/>
        <v>0.37282905001114408</v>
      </c>
    </row>
    <row r="62" spans="1:17">
      <c r="A62" s="83">
        <v>60</v>
      </c>
      <c r="B62" s="83" t="s">
        <v>57</v>
      </c>
      <c r="C62" s="83" t="s">
        <v>18</v>
      </c>
      <c r="D62" s="84">
        <v>41334</v>
      </c>
      <c r="E62" s="85">
        <f t="shared" si="2"/>
        <v>2013</v>
      </c>
      <c r="F62" s="86">
        <v>958511000</v>
      </c>
      <c r="G62" s="86">
        <v>386355000</v>
      </c>
      <c r="H62" s="86">
        <v>61732000</v>
      </c>
      <c r="I62" s="86">
        <v>0</v>
      </c>
      <c r="J62" s="86">
        <v>325173000</v>
      </c>
      <c r="K62" s="83" t="s">
        <v>58</v>
      </c>
      <c r="L62" s="83" t="s">
        <v>59</v>
      </c>
      <c r="M62" s="91">
        <f t="shared" si="3"/>
        <v>572156000</v>
      </c>
      <c r="N62" s="86">
        <f t="shared" si="4"/>
        <v>386905000</v>
      </c>
      <c r="O62" s="86">
        <f t="shared" si="5"/>
        <v>185251000</v>
      </c>
      <c r="P62" s="83">
        <f t="shared" si="0"/>
        <v>0.19326956080837884</v>
      </c>
      <c r="Q62" s="83">
        <f t="shared" si="1"/>
        <v>0.59692168373654553</v>
      </c>
    </row>
    <row r="63" spans="1:17">
      <c r="A63" s="87">
        <v>61</v>
      </c>
      <c r="B63" s="87" t="s">
        <v>57</v>
      </c>
      <c r="C63" s="87" t="s">
        <v>21</v>
      </c>
      <c r="D63" s="84">
        <v>41335</v>
      </c>
      <c r="E63" s="88">
        <f t="shared" si="2"/>
        <v>2013</v>
      </c>
      <c r="F63" s="89">
        <v>974053000</v>
      </c>
      <c r="G63" s="89">
        <v>380051000</v>
      </c>
      <c r="H63" s="89">
        <v>53073000</v>
      </c>
      <c r="I63" s="89">
        <v>0</v>
      </c>
      <c r="J63" s="89">
        <v>291910000</v>
      </c>
      <c r="K63" s="87" t="s">
        <v>58</v>
      </c>
      <c r="L63" s="87" t="s">
        <v>59</v>
      </c>
      <c r="M63" s="90">
        <f t="shared" si="3"/>
        <v>594002000</v>
      </c>
      <c r="N63" s="89">
        <f t="shared" si="4"/>
        <v>344983000</v>
      </c>
      <c r="O63" s="89">
        <f t="shared" si="5"/>
        <v>249019000</v>
      </c>
      <c r="P63" s="87">
        <f t="shared" si="0"/>
        <v>0.25565241316437609</v>
      </c>
      <c r="Q63" s="87">
        <f t="shared" si="1"/>
        <v>0.6098251327186508</v>
      </c>
    </row>
    <row r="64" spans="1:17">
      <c r="A64" s="83">
        <v>62</v>
      </c>
      <c r="B64" s="83" t="s">
        <v>57</v>
      </c>
      <c r="C64" s="83" t="s">
        <v>22</v>
      </c>
      <c r="D64" s="84">
        <v>41336</v>
      </c>
      <c r="E64" s="85">
        <f t="shared" si="2"/>
        <v>2013</v>
      </c>
      <c r="F64" s="86">
        <v>984363000</v>
      </c>
      <c r="G64" s="86">
        <v>380964000</v>
      </c>
      <c r="H64" s="86">
        <v>56621000</v>
      </c>
      <c r="I64" s="86">
        <v>0</v>
      </c>
      <c r="J64" s="86">
        <v>282608000</v>
      </c>
      <c r="K64" s="83" t="s">
        <v>58</v>
      </c>
      <c r="L64" s="83" t="s">
        <v>59</v>
      </c>
      <c r="M64" s="91">
        <f t="shared" si="3"/>
        <v>603399000</v>
      </c>
      <c r="N64" s="86">
        <f t="shared" si="4"/>
        <v>339229000</v>
      </c>
      <c r="O64" s="86">
        <f t="shared" si="5"/>
        <v>264170000</v>
      </c>
      <c r="P64" s="83">
        <f t="shared" si="0"/>
        <v>0.2683664461179463</v>
      </c>
      <c r="Q64" s="83">
        <f t="shared" si="1"/>
        <v>0.61298423447447736</v>
      </c>
    </row>
    <row r="65" spans="1:17">
      <c r="A65" s="87">
        <v>63</v>
      </c>
      <c r="B65" s="87" t="s">
        <v>57</v>
      </c>
      <c r="C65" s="87" t="s">
        <v>23</v>
      </c>
      <c r="D65" s="84">
        <v>41337</v>
      </c>
      <c r="E65" s="88">
        <f t="shared" si="2"/>
        <v>2013</v>
      </c>
      <c r="F65" s="89">
        <v>981310000</v>
      </c>
      <c r="G65" s="89">
        <v>365248000</v>
      </c>
      <c r="H65" s="89">
        <v>53546000</v>
      </c>
      <c r="I65" s="89">
        <v>0</v>
      </c>
      <c r="J65" s="89">
        <v>306301000</v>
      </c>
      <c r="K65" s="87" t="s">
        <v>58</v>
      </c>
      <c r="L65" s="87" t="s">
        <v>59</v>
      </c>
      <c r="M65" s="90">
        <f t="shared" si="3"/>
        <v>616062000</v>
      </c>
      <c r="N65" s="89">
        <f t="shared" si="4"/>
        <v>359847000</v>
      </c>
      <c r="O65" s="89">
        <f t="shared" si="5"/>
        <v>256215000</v>
      </c>
      <c r="P65" s="87">
        <f t="shared" si="0"/>
        <v>0.26109486298926943</v>
      </c>
      <c r="Q65" s="87">
        <f t="shared" si="1"/>
        <v>0.62779549785490829</v>
      </c>
    </row>
    <row r="66" spans="1:17">
      <c r="A66" s="83">
        <v>64</v>
      </c>
      <c r="B66" s="83" t="s">
        <v>60</v>
      </c>
      <c r="C66" s="83" t="s">
        <v>18</v>
      </c>
      <c r="D66" s="84">
        <v>41338</v>
      </c>
      <c r="E66" s="85">
        <f t="shared" si="2"/>
        <v>2013</v>
      </c>
      <c r="F66" s="86">
        <v>9047657000</v>
      </c>
      <c r="G66" s="86">
        <v>6709936000</v>
      </c>
      <c r="H66" s="86">
        <v>0</v>
      </c>
      <c r="I66" s="86">
        <v>0</v>
      </c>
      <c r="J66" s="86">
        <v>1470287000</v>
      </c>
      <c r="K66" s="83" t="s">
        <v>53</v>
      </c>
      <c r="L66" s="83" t="s">
        <v>61</v>
      </c>
      <c r="M66" s="91">
        <f t="shared" si="3"/>
        <v>2337721000</v>
      </c>
      <c r="N66" s="86">
        <f t="shared" si="4"/>
        <v>1470287000</v>
      </c>
      <c r="O66" s="86">
        <f t="shared" si="5"/>
        <v>867434000</v>
      </c>
      <c r="P66" s="83">
        <f t="shared" ref="P66:P129" si="6">O66/F66</f>
        <v>9.5873882044821113E-2</v>
      </c>
      <c r="Q66" s="83">
        <f t="shared" ref="Q66:Q129" si="7">1-G66/F66</f>
        <v>0.25837860564342796</v>
      </c>
    </row>
    <row r="67" spans="1:17">
      <c r="A67" s="87">
        <v>65</v>
      </c>
      <c r="B67" s="87" t="s">
        <v>60</v>
      </c>
      <c r="C67" s="87" t="s">
        <v>21</v>
      </c>
      <c r="D67" s="84">
        <v>41339</v>
      </c>
      <c r="E67" s="88">
        <f t="shared" ref="E67:E125" si="8">YEAR(D67)</f>
        <v>2013</v>
      </c>
      <c r="F67" s="89">
        <v>10381653000</v>
      </c>
      <c r="G67" s="89">
        <v>8093563000</v>
      </c>
      <c r="H67" s="89">
        <v>0</v>
      </c>
      <c r="I67" s="89">
        <v>0</v>
      </c>
      <c r="J67" s="89">
        <v>1485558000</v>
      </c>
      <c r="K67" s="87" t="s">
        <v>53</v>
      </c>
      <c r="L67" s="87" t="s">
        <v>61</v>
      </c>
      <c r="M67" s="90">
        <f t="shared" ref="M67:M130" si="9">F67-G67</f>
        <v>2288090000</v>
      </c>
      <c r="N67" s="89">
        <f t="shared" ref="N67:N130" si="10">H67+I67+J67</f>
        <v>1485558000</v>
      </c>
      <c r="O67" s="89">
        <f t="shared" ref="O67:O130" si="11">M67-N67</f>
        <v>802532000</v>
      </c>
      <c r="P67" s="87">
        <f t="shared" si="6"/>
        <v>7.7302911203061792E-2</v>
      </c>
      <c r="Q67" s="87">
        <f t="shared" si="7"/>
        <v>0.22039746464267296</v>
      </c>
    </row>
    <row r="68" spans="1:17">
      <c r="A68" s="83">
        <v>66</v>
      </c>
      <c r="B68" s="83" t="s">
        <v>60</v>
      </c>
      <c r="C68" s="83" t="s">
        <v>22</v>
      </c>
      <c r="D68" s="84">
        <v>41340</v>
      </c>
      <c r="E68" s="85">
        <f t="shared" si="8"/>
        <v>2013</v>
      </c>
      <c r="F68" s="86">
        <v>10325494000</v>
      </c>
      <c r="G68" s="86">
        <v>8666624000</v>
      </c>
      <c r="H68" s="86">
        <v>0</v>
      </c>
      <c r="I68" s="86">
        <v>0</v>
      </c>
      <c r="J68" s="86">
        <v>1402573000</v>
      </c>
      <c r="K68" s="83" t="s">
        <v>53</v>
      </c>
      <c r="L68" s="83" t="s">
        <v>61</v>
      </c>
      <c r="M68" s="91">
        <f t="shared" si="9"/>
        <v>1658870000</v>
      </c>
      <c r="N68" s="86">
        <f t="shared" si="10"/>
        <v>1402573000</v>
      </c>
      <c r="O68" s="86">
        <f t="shared" si="11"/>
        <v>256297000</v>
      </c>
      <c r="P68" s="83">
        <f t="shared" si="6"/>
        <v>2.4821766396842609E-2</v>
      </c>
      <c r="Q68" s="83">
        <f t="shared" si="7"/>
        <v>0.16065768862971597</v>
      </c>
    </row>
    <row r="69" spans="1:17">
      <c r="A69" s="87">
        <v>67</v>
      </c>
      <c r="B69" s="87" t="s">
        <v>60</v>
      </c>
      <c r="C69" s="87" t="s">
        <v>23</v>
      </c>
      <c r="D69" s="84">
        <v>41341</v>
      </c>
      <c r="E69" s="88">
        <f t="shared" si="8"/>
        <v>2013</v>
      </c>
      <c r="F69" s="89">
        <v>7531780000</v>
      </c>
      <c r="G69" s="89">
        <v>5251228000</v>
      </c>
      <c r="H69" s="89">
        <v>0</v>
      </c>
      <c r="I69" s="89">
        <v>0</v>
      </c>
      <c r="J69" s="89">
        <v>1351314000</v>
      </c>
      <c r="K69" s="87" t="s">
        <v>53</v>
      </c>
      <c r="L69" s="87" t="s">
        <v>61</v>
      </c>
      <c r="M69" s="90">
        <f t="shared" si="9"/>
        <v>2280552000</v>
      </c>
      <c r="N69" s="89">
        <f t="shared" si="10"/>
        <v>1351314000</v>
      </c>
      <c r="O69" s="89">
        <f t="shared" si="11"/>
        <v>929238000</v>
      </c>
      <c r="P69" s="87">
        <f t="shared" si="6"/>
        <v>0.12337561638815792</v>
      </c>
      <c r="Q69" s="87">
        <f t="shared" si="7"/>
        <v>0.30279057540183063</v>
      </c>
    </row>
    <row r="70" spans="1:17">
      <c r="A70" s="83">
        <v>72</v>
      </c>
      <c r="B70" s="83" t="s">
        <v>62</v>
      </c>
      <c r="C70" s="83" t="s">
        <v>18</v>
      </c>
      <c r="D70" s="84">
        <v>41342</v>
      </c>
      <c r="E70" s="85">
        <f t="shared" si="8"/>
        <v>2013</v>
      </c>
      <c r="F70" s="86">
        <v>1373947000</v>
      </c>
      <c r="G70" s="86">
        <v>529900000</v>
      </c>
      <c r="H70" s="86">
        <v>433448000</v>
      </c>
      <c r="I70" s="86">
        <v>74744000</v>
      </c>
      <c r="J70" s="86">
        <v>20962000</v>
      </c>
      <c r="K70" s="83" t="s">
        <v>28</v>
      </c>
      <c r="L70" s="83" t="s">
        <v>63</v>
      </c>
      <c r="M70" s="91">
        <f t="shared" si="9"/>
        <v>844047000</v>
      </c>
      <c r="N70" s="86">
        <f t="shared" si="10"/>
        <v>529154000</v>
      </c>
      <c r="O70" s="86">
        <f t="shared" si="11"/>
        <v>314893000</v>
      </c>
      <c r="P70" s="83">
        <f t="shared" si="6"/>
        <v>0.2291886077119423</v>
      </c>
      <c r="Q70" s="83">
        <f t="shared" si="7"/>
        <v>0.61432282322389442</v>
      </c>
    </row>
    <row r="71" spans="1:17">
      <c r="A71" s="87">
        <v>73</v>
      </c>
      <c r="B71" s="87" t="s">
        <v>62</v>
      </c>
      <c r="C71" s="87" t="s">
        <v>21</v>
      </c>
      <c r="D71" s="84">
        <v>41343</v>
      </c>
      <c r="E71" s="88">
        <f t="shared" si="8"/>
        <v>2013</v>
      </c>
      <c r="F71" s="89">
        <v>1577922000</v>
      </c>
      <c r="G71" s="89">
        <v>511087000</v>
      </c>
      <c r="H71" s="89">
        <v>535598000</v>
      </c>
      <c r="I71" s="89">
        <v>93879000</v>
      </c>
      <c r="J71" s="89">
        <v>21547000</v>
      </c>
      <c r="K71" s="87" t="s">
        <v>28</v>
      </c>
      <c r="L71" s="87" t="s">
        <v>63</v>
      </c>
      <c r="M71" s="90">
        <f t="shared" si="9"/>
        <v>1066835000</v>
      </c>
      <c r="N71" s="89">
        <f t="shared" si="10"/>
        <v>651024000</v>
      </c>
      <c r="O71" s="89">
        <f t="shared" si="11"/>
        <v>415811000</v>
      </c>
      <c r="P71" s="87">
        <f t="shared" si="6"/>
        <v>0.26351809531776604</v>
      </c>
      <c r="Q71" s="87">
        <f t="shared" si="7"/>
        <v>0.67610122680335283</v>
      </c>
    </row>
    <row r="72" spans="1:17">
      <c r="A72" s="83">
        <v>74</v>
      </c>
      <c r="B72" s="83" t="s">
        <v>62</v>
      </c>
      <c r="C72" s="83" t="s">
        <v>22</v>
      </c>
      <c r="D72" s="84">
        <v>41344</v>
      </c>
      <c r="E72" s="85">
        <f t="shared" si="8"/>
        <v>2013</v>
      </c>
      <c r="F72" s="86">
        <v>1963874000</v>
      </c>
      <c r="G72" s="86">
        <v>610943000</v>
      </c>
      <c r="H72" s="86">
        <v>704880000</v>
      </c>
      <c r="I72" s="86">
        <v>125286000</v>
      </c>
      <c r="J72" s="86">
        <v>32057000</v>
      </c>
      <c r="K72" s="83" t="s">
        <v>28</v>
      </c>
      <c r="L72" s="83" t="s">
        <v>63</v>
      </c>
      <c r="M72" s="91">
        <f t="shared" si="9"/>
        <v>1352931000</v>
      </c>
      <c r="N72" s="86">
        <f t="shared" si="10"/>
        <v>862223000</v>
      </c>
      <c r="O72" s="86">
        <f t="shared" si="11"/>
        <v>490708000</v>
      </c>
      <c r="P72" s="83">
        <f t="shared" si="6"/>
        <v>0.24986735401558349</v>
      </c>
      <c r="Q72" s="83">
        <f t="shared" si="7"/>
        <v>0.68890926810986852</v>
      </c>
    </row>
    <row r="73" spans="1:17">
      <c r="A73" s="87">
        <v>75</v>
      </c>
      <c r="B73" s="87" t="s">
        <v>62</v>
      </c>
      <c r="C73" s="87" t="s">
        <v>23</v>
      </c>
      <c r="D73" s="84">
        <v>41345</v>
      </c>
      <c r="E73" s="88">
        <f t="shared" si="8"/>
        <v>2013</v>
      </c>
      <c r="F73" s="89">
        <v>2197448000</v>
      </c>
      <c r="G73" s="89">
        <v>725620000</v>
      </c>
      <c r="H73" s="89">
        <v>829253000</v>
      </c>
      <c r="I73" s="89">
        <v>148591000</v>
      </c>
      <c r="J73" s="89">
        <v>27067000</v>
      </c>
      <c r="K73" s="87" t="s">
        <v>28</v>
      </c>
      <c r="L73" s="87" t="s">
        <v>63</v>
      </c>
      <c r="M73" s="90">
        <f t="shared" si="9"/>
        <v>1471828000</v>
      </c>
      <c r="N73" s="89">
        <f t="shared" si="10"/>
        <v>1004911000</v>
      </c>
      <c r="O73" s="89">
        <f t="shared" si="11"/>
        <v>466917000</v>
      </c>
      <c r="P73" s="87">
        <f t="shared" si="6"/>
        <v>0.21248147851507748</v>
      </c>
      <c r="Q73" s="87">
        <f t="shared" si="7"/>
        <v>0.66978968330536148</v>
      </c>
    </row>
    <row r="74" spans="1:17">
      <c r="A74" s="83">
        <v>76</v>
      </c>
      <c r="B74" s="83" t="s">
        <v>64</v>
      </c>
      <c r="C74" s="83" t="s">
        <v>18</v>
      </c>
      <c r="D74" s="84">
        <v>41346</v>
      </c>
      <c r="E74" s="85">
        <f t="shared" si="8"/>
        <v>2013</v>
      </c>
      <c r="F74" s="86">
        <v>2519154000</v>
      </c>
      <c r="G74" s="86">
        <v>1620311000</v>
      </c>
      <c r="H74" s="86">
        <v>308456000</v>
      </c>
      <c r="I74" s="86">
        <v>78919000</v>
      </c>
      <c r="J74" s="86">
        <v>0</v>
      </c>
      <c r="K74" s="83" t="s">
        <v>65</v>
      </c>
      <c r="L74" s="83" t="s">
        <v>66</v>
      </c>
      <c r="M74" s="91">
        <f t="shared" si="9"/>
        <v>898843000</v>
      </c>
      <c r="N74" s="86">
        <f t="shared" si="10"/>
        <v>387375000</v>
      </c>
      <c r="O74" s="86">
        <f t="shared" si="11"/>
        <v>511468000</v>
      </c>
      <c r="P74" s="83">
        <f t="shared" si="6"/>
        <v>0.20303165268975221</v>
      </c>
      <c r="Q74" s="83">
        <f t="shared" si="7"/>
        <v>0.35680351419563872</v>
      </c>
    </row>
    <row r="75" spans="1:17">
      <c r="A75" s="87">
        <v>77</v>
      </c>
      <c r="B75" s="87" t="s">
        <v>64</v>
      </c>
      <c r="C75" s="87" t="s">
        <v>21</v>
      </c>
      <c r="D75" s="84">
        <v>41347</v>
      </c>
      <c r="E75" s="88">
        <f t="shared" si="8"/>
        <v>2013</v>
      </c>
      <c r="F75" s="89">
        <v>2394270000</v>
      </c>
      <c r="G75" s="89">
        <v>1543799000</v>
      </c>
      <c r="H75" s="89">
        <v>158189000</v>
      </c>
      <c r="I75" s="89">
        <v>82246000</v>
      </c>
      <c r="J75" s="89">
        <v>0</v>
      </c>
      <c r="K75" s="87" t="s">
        <v>65</v>
      </c>
      <c r="L75" s="87" t="s">
        <v>66</v>
      </c>
      <c r="M75" s="90">
        <f t="shared" si="9"/>
        <v>850471000</v>
      </c>
      <c r="N75" s="89">
        <f t="shared" si="10"/>
        <v>240435000</v>
      </c>
      <c r="O75" s="89">
        <f t="shared" si="11"/>
        <v>610036000</v>
      </c>
      <c r="P75" s="87">
        <f t="shared" si="6"/>
        <v>0.25478997773851736</v>
      </c>
      <c r="Q75" s="87">
        <f t="shared" si="7"/>
        <v>0.35521098288831254</v>
      </c>
    </row>
    <row r="76" spans="1:17">
      <c r="A76" s="83">
        <v>78</v>
      </c>
      <c r="B76" s="83" t="s">
        <v>64</v>
      </c>
      <c r="C76" s="83" t="s">
        <v>22</v>
      </c>
      <c r="D76" s="84">
        <v>41348</v>
      </c>
      <c r="E76" s="85">
        <f t="shared" si="8"/>
        <v>2013</v>
      </c>
      <c r="F76" s="86">
        <v>2445548000</v>
      </c>
      <c r="G76" s="86">
        <v>1674700000</v>
      </c>
      <c r="H76" s="86">
        <v>355135000</v>
      </c>
      <c r="I76" s="86">
        <v>88310000</v>
      </c>
      <c r="J76" s="86">
        <v>0</v>
      </c>
      <c r="K76" s="83" t="s">
        <v>65</v>
      </c>
      <c r="L76" s="83" t="s">
        <v>66</v>
      </c>
      <c r="M76" s="91">
        <f t="shared" si="9"/>
        <v>770848000</v>
      </c>
      <c r="N76" s="86">
        <f t="shared" si="10"/>
        <v>443445000</v>
      </c>
      <c r="O76" s="86">
        <f t="shared" si="11"/>
        <v>327403000</v>
      </c>
      <c r="P76" s="83">
        <f t="shared" si="6"/>
        <v>0.13387715146053156</v>
      </c>
      <c r="Q76" s="83">
        <f t="shared" si="7"/>
        <v>0.31520460853763654</v>
      </c>
    </row>
    <row r="77" spans="1:17">
      <c r="A77" s="87">
        <v>79</v>
      </c>
      <c r="B77" s="87" t="s">
        <v>64</v>
      </c>
      <c r="C77" s="87" t="s">
        <v>23</v>
      </c>
      <c r="D77" s="84">
        <v>41349</v>
      </c>
      <c r="E77" s="88">
        <f t="shared" si="8"/>
        <v>2013</v>
      </c>
      <c r="F77" s="89">
        <v>3651335000</v>
      </c>
      <c r="G77" s="89">
        <v>2454463000</v>
      </c>
      <c r="H77" s="89">
        <v>512274000</v>
      </c>
      <c r="I77" s="89">
        <v>102871000</v>
      </c>
      <c r="J77" s="89">
        <v>0</v>
      </c>
      <c r="K77" s="87" t="s">
        <v>65</v>
      </c>
      <c r="L77" s="87" t="s">
        <v>66</v>
      </c>
      <c r="M77" s="90">
        <f t="shared" si="9"/>
        <v>1196872000</v>
      </c>
      <c r="N77" s="89">
        <f t="shared" si="10"/>
        <v>615145000</v>
      </c>
      <c r="O77" s="89">
        <f t="shared" si="11"/>
        <v>581727000</v>
      </c>
      <c r="P77" s="87">
        <f t="shared" si="6"/>
        <v>0.15931898880820303</v>
      </c>
      <c r="Q77" s="87">
        <f t="shared" si="7"/>
        <v>0.32779024658104505</v>
      </c>
    </row>
    <row r="78" spans="1:17">
      <c r="A78" s="83">
        <v>80</v>
      </c>
      <c r="B78" s="83" t="s">
        <v>67</v>
      </c>
      <c r="C78" s="83" t="s">
        <v>18</v>
      </c>
      <c r="D78" s="84">
        <v>41350</v>
      </c>
      <c r="E78" s="85">
        <f t="shared" si="8"/>
        <v>2013</v>
      </c>
      <c r="F78" s="86">
        <v>4657000000</v>
      </c>
      <c r="G78" s="86">
        <v>2319000000</v>
      </c>
      <c r="H78" s="86">
        <v>1542000000</v>
      </c>
      <c r="I78" s="86">
        <v>0</v>
      </c>
      <c r="J78" s="86">
        <v>264000000</v>
      </c>
      <c r="K78" s="83" t="s">
        <v>19</v>
      </c>
      <c r="L78" s="83" t="s">
        <v>20</v>
      </c>
      <c r="M78" s="91">
        <f t="shared" si="9"/>
        <v>2338000000</v>
      </c>
      <c r="N78" s="86">
        <f t="shared" si="10"/>
        <v>1806000000</v>
      </c>
      <c r="O78" s="86">
        <f t="shared" si="11"/>
        <v>532000000</v>
      </c>
      <c r="P78" s="83">
        <f t="shared" si="6"/>
        <v>0.11423663302555292</v>
      </c>
      <c r="Q78" s="83">
        <f t="shared" si="7"/>
        <v>0.50203993987545625</v>
      </c>
    </row>
    <row r="79" spans="1:17">
      <c r="A79" s="87">
        <v>81</v>
      </c>
      <c r="B79" s="87" t="s">
        <v>67</v>
      </c>
      <c r="C79" s="87" t="s">
        <v>21</v>
      </c>
      <c r="D79" s="84">
        <v>41351</v>
      </c>
      <c r="E79" s="88">
        <f t="shared" si="8"/>
        <v>2013</v>
      </c>
      <c r="F79" s="89">
        <v>5156000000</v>
      </c>
      <c r="G79" s="89">
        <v>2355000000</v>
      </c>
      <c r="H79" s="89">
        <v>1693000000</v>
      </c>
      <c r="I79" s="89">
        <v>0</v>
      </c>
      <c r="J79" s="89">
        <v>270000000</v>
      </c>
      <c r="K79" s="87" t="s">
        <v>19</v>
      </c>
      <c r="L79" s="87" t="s">
        <v>20</v>
      </c>
      <c r="M79" s="90">
        <f t="shared" si="9"/>
        <v>2801000000</v>
      </c>
      <c r="N79" s="89">
        <f t="shared" si="10"/>
        <v>1963000000</v>
      </c>
      <c r="O79" s="89">
        <f t="shared" si="11"/>
        <v>838000000</v>
      </c>
      <c r="P79" s="87">
        <f t="shared" si="6"/>
        <v>0.16252909231962762</v>
      </c>
      <c r="Q79" s="87">
        <f t="shared" si="7"/>
        <v>0.54325058184639263</v>
      </c>
    </row>
    <row r="80" spans="1:17">
      <c r="A80" s="83">
        <v>82</v>
      </c>
      <c r="B80" s="83" t="s">
        <v>67</v>
      </c>
      <c r="C80" s="83" t="s">
        <v>22</v>
      </c>
      <c r="D80" s="84">
        <v>41352</v>
      </c>
      <c r="E80" s="85">
        <f t="shared" si="8"/>
        <v>2013</v>
      </c>
      <c r="F80" s="86">
        <v>5368000000</v>
      </c>
      <c r="G80" s="86">
        <v>2325000000</v>
      </c>
      <c r="H80" s="86">
        <v>1817000000</v>
      </c>
      <c r="I80" s="86">
        <v>0</v>
      </c>
      <c r="J80" s="86">
        <v>294000000</v>
      </c>
      <c r="K80" s="83" t="s">
        <v>19</v>
      </c>
      <c r="L80" s="83" t="s">
        <v>20</v>
      </c>
      <c r="M80" s="91">
        <f t="shared" si="9"/>
        <v>3043000000</v>
      </c>
      <c r="N80" s="86">
        <f t="shared" si="10"/>
        <v>2111000000</v>
      </c>
      <c r="O80" s="86">
        <f t="shared" si="11"/>
        <v>932000000</v>
      </c>
      <c r="P80" s="83">
        <f t="shared" si="6"/>
        <v>0.1736214605067064</v>
      </c>
      <c r="Q80" s="83">
        <f t="shared" si="7"/>
        <v>0.56687779433681074</v>
      </c>
    </row>
    <row r="81" spans="1:17">
      <c r="A81" s="87">
        <v>83</v>
      </c>
      <c r="B81" s="87" t="s">
        <v>67</v>
      </c>
      <c r="C81" s="87" t="s">
        <v>23</v>
      </c>
      <c r="D81" s="84">
        <v>41353</v>
      </c>
      <c r="E81" s="88">
        <f t="shared" si="8"/>
        <v>2013</v>
      </c>
      <c r="F81" s="89">
        <v>5598000000</v>
      </c>
      <c r="G81" s="89">
        <v>1935000000</v>
      </c>
      <c r="H81" s="89">
        <v>2013000000</v>
      </c>
      <c r="I81" s="89">
        <v>0</v>
      </c>
      <c r="J81" s="89">
        <v>320000000</v>
      </c>
      <c r="K81" s="87" t="s">
        <v>19</v>
      </c>
      <c r="L81" s="87" t="s">
        <v>20</v>
      </c>
      <c r="M81" s="90">
        <f t="shared" si="9"/>
        <v>3663000000</v>
      </c>
      <c r="N81" s="89">
        <f t="shared" si="10"/>
        <v>2333000000</v>
      </c>
      <c r="O81" s="89">
        <f t="shared" si="11"/>
        <v>1330000000</v>
      </c>
      <c r="P81" s="87">
        <f t="shared" si="6"/>
        <v>0.2375848517327617</v>
      </c>
      <c r="Q81" s="87">
        <f t="shared" si="7"/>
        <v>0.65434083601286175</v>
      </c>
    </row>
    <row r="82" spans="1:17">
      <c r="A82" s="83">
        <v>84</v>
      </c>
      <c r="B82" s="83" t="s">
        <v>68</v>
      </c>
      <c r="C82" s="83" t="s">
        <v>18</v>
      </c>
      <c r="D82" s="84">
        <v>41354</v>
      </c>
      <c r="E82" s="85">
        <f t="shared" si="8"/>
        <v>2013</v>
      </c>
      <c r="F82" s="86">
        <v>33315000000</v>
      </c>
      <c r="G82" s="86">
        <v>21618000000</v>
      </c>
      <c r="H82" s="86">
        <v>0</v>
      </c>
      <c r="I82" s="86">
        <v>0</v>
      </c>
      <c r="J82" s="86">
        <v>8002000000</v>
      </c>
      <c r="K82" s="83" t="s">
        <v>53</v>
      </c>
      <c r="L82" s="83" t="s">
        <v>56</v>
      </c>
      <c r="M82" s="91">
        <f t="shared" si="9"/>
        <v>11697000000</v>
      </c>
      <c r="N82" s="86">
        <f t="shared" si="10"/>
        <v>8002000000</v>
      </c>
      <c r="O82" s="86">
        <f t="shared" si="11"/>
        <v>3695000000</v>
      </c>
      <c r="P82" s="83">
        <f t="shared" si="6"/>
        <v>0.11091100105057781</v>
      </c>
      <c r="Q82" s="83">
        <f t="shared" si="7"/>
        <v>0.35110310670868983</v>
      </c>
    </row>
    <row r="83" spans="1:17">
      <c r="A83" s="87">
        <v>85</v>
      </c>
      <c r="B83" s="87" t="s">
        <v>68</v>
      </c>
      <c r="C83" s="87" t="s">
        <v>21</v>
      </c>
      <c r="D83" s="84">
        <v>41355</v>
      </c>
      <c r="E83" s="88">
        <f t="shared" si="8"/>
        <v>2013</v>
      </c>
      <c r="F83" s="89">
        <v>34507000000</v>
      </c>
      <c r="G83" s="89">
        <v>19828000000</v>
      </c>
      <c r="H83" s="89">
        <v>1278000000</v>
      </c>
      <c r="I83" s="89">
        <v>0</v>
      </c>
      <c r="J83" s="89">
        <v>8389000000</v>
      </c>
      <c r="K83" s="87" t="s">
        <v>53</v>
      </c>
      <c r="L83" s="87" t="s">
        <v>56</v>
      </c>
      <c r="M83" s="90">
        <f t="shared" si="9"/>
        <v>14679000000</v>
      </c>
      <c r="N83" s="89">
        <f t="shared" si="10"/>
        <v>9667000000</v>
      </c>
      <c r="O83" s="89">
        <f t="shared" si="11"/>
        <v>5012000000</v>
      </c>
      <c r="P83" s="87">
        <f t="shared" si="6"/>
        <v>0.1452458921378271</v>
      </c>
      <c r="Q83" s="87">
        <f t="shared" si="7"/>
        <v>0.42539194945952996</v>
      </c>
    </row>
    <row r="84" spans="1:17">
      <c r="A84" s="83">
        <v>86</v>
      </c>
      <c r="B84" s="83" t="s">
        <v>68</v>
      </c>
      <c r="C84" s="83" t="s">
        <v>22</v>
      </c>
      <c r="D84" s="84">
        <v>41356</v>
      </c>
      <c r="E84" s="85">
        <f t="shared" si="8"/>
        <v>2013</v>
      </c>
      <c r="F84" s="86">
        <v>35239000000</v>
      </c>
      <c r="G84" s="86">
        <v>21193000000</v>
      </c>
      <c r="H84" s="86">
        <v>919000000</v>
      </c>
      <c r="I84" s="86">
        <v>0</v>
      </c>
      <c r="J84" s="86">
        <v>8476000000</v>
      </c>
      <c r="K84" s="83" t="s">
        <v>53</v>
      </c>
      <c r="L84" s="83" t="s">
        <v>56</v>
      </c>
      <c r="M84" s="91">
        <f t="shared" si="9"/>
        <v>14046000000</v>
      </c>
      <c r="N84" s="86">
        <f t="shared" si="10"/>
        <v>9395000000</v>
      </c>
      <c r="O84" s="86">
        <f t="shared" si="11"/>
        <v>4651000000</v>
      </c>
      <c r="P84" s="83">
        <f t="shared" si="6"/>
        <v>0.13198444904792986</v>
      </c>
      <c r="Q84" s="83">
        <f t="shared" si="7"/>
        <v>0.3985924685717529</v>
      </c>
    </row>
    <row r="85" spans="1:17">
      <c r="A85" s="87">
        <v>87</v>
      </c>
      <c r="B85" s="87" t="s">
        <v>68</v>
      </c>
      <c r="C85" s="87" t="s">
        <v>23</v>
      </c>
      <c r="D85" s="84">
        <v>41357</v>
      </c>
      <c r="E85" s="88">
        <f t="shared" si="8"/>
        <v>2013</v>
      </c>
      <c r="F85" s="89">
        <v>35653000000</v>
      </c>
      <c r="G85" s="89">
        <v>22837000000</v>
      </c>
      <c r="H85" s="89">
        <v>761000000</v>
      </c>
      <c r="I85" s="89">
        <v>0</v>
      </c>
      <c r="J85" s="89">
        <v>8445000000</v>
      </c>
      <c r="K85" s="87" t="s">
        <v>53</v>
      </c>
      <c r="L85" s="87" t="s">
        <v>56</v>
      </c>
      <c r="M85" s="90">
        <f t="shared" si="9"/>
        <v>12816000000</v>
      </c>
      <c r="N85" s="89">
        <f t="shared" si="10"/>
        <v>9206000000</v>
      </c>
      <c r="O85" s="89">
        <f t="shared" si="11"/>
        <v>3610000000</v>
      </c>
      <c r="P85" s="87">
        <f t="shared" si="6"/>
        <v>0.10125375143746669</v>
      </c>
      <c r="Q85" s="87">
        <f t="shared" si="7"/>
        <v>0.35946484166830284</v>
      </c>
    </row>
    <row r="86" spans="1:17">
      <c r="A86" s="83">
        <v>88</v>
      </c>
      <c r="B86" s="83" t="s">
        <v>69</v>
      </c>
      <c r="C86" s="83" t="s">
        <v>18</v>
      </c>
      <c r="D86" s="84">
        <v>41358</v>
      </c>
      <c r="E86" s="85">
        <f t="shared" si="8"/>
        <v>2013</v>
      </c>
      <c r="F86" s="86">
        <v>2069600000</v>
      </c>
      <c r="G86" s="86">
        <v>1208100000</v>
      </c>
      <c r="H86" s="86">
        <v>483100000</v>
      </c>
      <c r="I86" s="86">
        <v>0</v>
      </c>
      <c r="J86" s="86">
        <v>0</v>
      </c>
      <c r="K86" s="83" t="s">
        <v>19</v>
      </c>
      <c r="L86" s="83" t="s">
        <v>70</v>
      </c>
      <c r="M86" s="91">
        <f t="shared" si="9"/>
        <v>861500000</v>
      </c>
      <c r="N86" s="86">
        <f t="shared" si="10"/>
        <v>483100000</v>
      </c>
      <c r="O86" s="86">
        <f t="shared" si="11"/>
        <v>378400000</v>
      </c>
      <c r="P86" s="83">
        <f t="shared" si="6"/>
        <v>0.1828372632392733</v>
      </c>
      <c r="Q86" s="83">
        <f t="shared" si="7"/>
        <v>0.41626401236954003</v>
      </c>
    </row>
    <row r="87" spans="1:17">
      <c r="A87" s="87">
        <v>89</v>
      </c>
      <c r="B87" s="87" t="s">
        <v>69</v>
      </c>
      <c r="C87" s="87" t="s">
        <v>21</v>
      </c>
      <c r="D87" s="84">
        <v>41359</v>
      </c>
      <c r="E87" s="88">
        <f t="shared" si="8"/>
        <v>2013</v>
      </c>
      <c r="F87" s="89">
        <v>2118300000</v>
      </c>
      <c r="G87" s="89">
        <v>1264600000</v>
      </c>
      <c r="H87" s="89">
        <v>527400000</v>
      </c>
      <c r="I87" s="89">
        <v>0</v>
      </c>
      <c r="J87" s="89">
        <v>0</v>
      </c>
      <c r="K87" s="87" t="s">
        <v>19</v>
      </c>
      <c r="L87" s="87" t="s">
        <v>70</v>
      </c>
      <c r="M87" s="90">
        <f t="shared" si="9"/>
        <v>853700000</v>
      </c>
      <c r="N87" s="89">
        <f t="shared" si="10"/>
        <v>527400000</v>
      </c>
      <c r="O87" s="89">
        <f t="shared" si="11"/>
        <v>326300000</v>
      </c>
      <c r="P87" s="87">
        <f t="shared" si="6"/>
        <v>0.15403861587121748</v>
      </c>
      <c r="Q87" s="87">
        <f t="shared" si="7"/>
        <v>0.40301184912429777</v>
      </c>
    </row>
    <row r="88" spans="1:17">
      <c r="A88" s="83">
        <v>90</v>
      </c>
      <c r="B88" s="83" t="s">
        <v>69</v>
      </c>
      <c r="C88" s="83" t="s">
        <v>22</v>
      </c>
      <c r="D88" s="84">
        <v>41360</v>
      </c>
      <c r="E88" s="85">
        <f t="shared" si="8"/>
        <v>2013</v>
      </c>
      <c r="F88" s="86">
        <v>2068100000</v>
      </c>
      <c r="G88" s="86">
        <v>1199000000</v>
      </c>
      <c r="H88" s="86">
        <v>510500000</v>
      </c>
      <c r="I88" s="86">
        <v>0</v>
      </c>
      <c r="J88" s="86">
        <v>0</v>
      </c>
      <c r="K88" s="83" t="s">
        <v>19</v>
      </c>
      <c r="L88" s="83" t="s">
        <v>70</v>
      </c>
      <c r="M88" s="91">
        <f t="shared" si="9"/>
        <v>869100000</v>
      </c>
      <c r="N88" s="86">
        <f t="shared" si="10"/>
        <v>510500000</v>
      </c>
      <c r="O88" s="86">
        <f t="shared" si="11"/>
        <v>358600000</v>
      </c>
      <c r="P88" s="83">
        <f t="shared" si="6"/>
        <v>0.17339587060587011</v>
      </c>
      <c r="Q88" s="83">
        <f t="shared" si="7"/>
        <v>0.42024080073497416</v>
      </c>
    </row>
    <row r="89" spans="1:17">
      <c r="A89" s="87">
        <v>91</v>
      </c>
      <c r="B89" s="87" t="s">
        <v>69</v>
      </c>
      <c r="C89" s="87" t="s">
        <v>23</v>
      </c>
      <c r="D89" s="84">
        <v>41361</v>
      </c>
      <c r="E89" s="88">
        <f t="shared" si="8"/>
        <v>2013</v>
      </c>
      <c r="F89" s="89">
        <v>2238000000</v>
      </c>
      <c r="G89" s="89">
        <v>1252700000</v>
      </c>
      <c r="H89" s="89">
        <v>559800000</v>
      </c>
      <c r="I89" s="89">
        <v>0</v>
      </c>
      <c r="J89" s="89">
        <v>0</v>
      </c>
      <c r="K89" s="87" t="s">
        <v>19</v>
      </c>
      <c r="L89" s="87" t="s">
        <v>70</v>
      </c>
      <c r="M89" s="90">
        <f t="shared" si="9"/>
        <v>985300000</v>
      </c>
      <c r="N89" s="89">
        <f t="shared" si="10"/>
        <v>559800000</v>
      </c>
      <c r="O89" s="89">
        <f t="shared" si="11"/>
        <v>425500000</v>
      </c>
      <c r="P89" s="87">
        <f t="shared" si="6"/>
        <v>0.19012511170688115</v>
      </c>
      <c r="Q89" s="87">
        <f t="shared" si="7"/>
        <v>0.4402591599642538</v>
      </c>
    </row>
    <row r="90" spans="1:17">
      <c r="A90" s="83">
        <v>92</v>
      </c>
      <c r="B90" s="83" t="s">
        <v>71</v>
      </c>
      <c r="C90" s="83" t="s">
        <v>18</v>
      </c>
      <c r="D90" s="84">
        <v>41362</v>
      </c>
      <c r="E90" s="85">
        <f t="shared" si="8"/>
        <v>2013</v>
      </c>
      <c r="F90" s="86">
        <v>1551346000</v>
      </c>
      <c r="G90" s="86">
        <v>177556000</v>
      </c>
      <c r="H90" s="86">
        <v>493726000</v>
      </c>
      <c r="I90" s="86">
        <v>317093000</v>
      </c>
      <c r="J90" s="86">
        <v>417000</v>
      </c>
      <c r="K90" s="83" t="s">
        <v>31</v>
      </c>
      <c r="L90" s="83" t="s">
        <v>72</v>
      </c>
      <c r="M90" s="91">
        <f t="shared" si="9"/>
        <v>1373790000</v>
      </c>
      <c r="N90" s="86">
        <f t="shared" si="10"/>
        <v>811236000</v>
      </c>
      <c r="O90" s="86">
        <f t="shared" si="11"/>
        <v>562554000</v>
      </c>
      <c r="P90" s="83">
        <f t="shared" si="6"/>
        <v>0.36262316723670929</v>
      </c>
      <c r="Q90" s="83">
        <f t="shared" si="7"/>
        <v>0.88554713132982588</v>
      </c>
    </row>
    <row r="91" spans="1:17">
      <c r="A91" s="87">
        <v>93</v>
      </c>
      <c r="B91" s="87" t="s">
        <v>71</v>
      </c>
      <c r="C91" s="87" t="s">
        <v>21</v>
      </c>
      <c r="D91" s="84">
        <v>41363</v>
      </c>
      <c r="E91" s="88">
        <f t="shared" si="8"/>
        <v>2013</v>
      </c>
      <c r="F91" s="89">
        <v>2234000000</v>
      </c>
      <c r="G91" s="89">
        <v>174000000</v>
      </c>
      <c r="H91" s="89">
        <v>650000000</v>
      </c>
      <c r="I91" s="89">
        <v>514000000</v>
      </c>
      <c r="J91" s="89">
        <v>0</v>
      </c>
      <c r="K91" s="87" t="s">
        <v>31</v>
      </c>
      <c r="L91" s="87" t="s">
        <v>72</v>
      </c>
      <c r="M91" s="90">
        <f t="shared" si="9"/>
        <v>2060000000</v>
      </c>
      <c r="N91" s="89">
        <f t="shared" si="10"/>
        <v>1164000000</v>
      </c>
      <c r="O91" s="89">
        <f t="shared" si="11"/>
        <v>896000000</v>
      </c>
      <c r="P91" s="87">
        <f t="shared" si="6"/>
        <v>0.40107430617726053</v>
      </c>
      <c r="Q91" s="87">
        <f t="shared" si="7"/>
        <v>0.92211280214861235</v>
      </c>
    </row>
    <row r="92" spans="1:17">
      <c r="A92" s="83">
        <v>94</v>
      </c>
      <c r="B92" s="83" t="s">
        <v>71</v>
      </c>
      <c r="C92" s="83" t="s">
        <v>22</v>
      </c>
      <c r="D92" s="84">
        <v>41364</v>
      </c>
      <c r="E92" s="85">
        <f t="shared" si="8"/>
        <v>2013</v>
      </c>
      <c r="F92" s="86">
        <v>2604000000</v>
      </c>
      <c r="G92" s="86">
        <v>233000000</v>
      </c>
      <c r="H92" s="86">
        <v>927000000</v>
      </c>
      <c r="I92" s="86">
        <v>709000000</v>
      </c>
      <c r="J92" s="86">
        <v>117000000</v>
      </c>
      <c r="K92" s="83" t="s">
        <v>31</v>
      </c>
      <c r="L92" s="83" t="s">
        <v>72</v>
      </c>
      <c r="M92" s="91">
        <f t="shared" si="9"/>
        <v>2371000000</v>
      </c>
      <c r="N92" s="86">
        <f t="shared" si="10"/>
        <v>1753000000</v>
      </c>
      <c r="O92" s="86">
        <f t="shared" si="11"/>
        <v>618000000</v>
      </c>
      <c r="P92" s="83">
        <f t="shared" si="6"/>
        <v>0.23732718894009217</v>
      </c>
      <c r="Q92" s="83">
        <f t="shared" si="7"/>
        <v>0.91052227342549918</v>
      </c>
    </row>
    <row r="93" spans="1:17">
      <c r="A93" s="87">
        <v>95</v>
      </c>
      <c r="B93" s="87" t="s">
        <v>71</v>
      </c>
      <c r="C93" s="87" t="s">
        <v>23</v>
      </c>
      <c r="D93" s="84">
        <v>41365</v>
      </c>
      <c r="E93" s="88">
        <f t="shared" si="8"/>
        <v>2013</v>
      </c>
      <c r="F93" s="89">
        <v>3084000000</v>
      </c>
      <c r="G93" s="89">
        <v>258000000</v>
      </c>
      <c r="H93" s="89">
        <v>990000000</v>
      </c>
      <c r="I93" s="89">
        <v>757000000</v>
      </c>
      <c r="J93" s="89">
        <v>322000000</v>
      </c>
      <c r="K93" s="87" t="s">
        <v>31</v>
      </c>
      <c r="L93" s="87" t="s">
        <v>72</v>
      </c>
      <c r="M93" s="90">
        <f t="shared" si="9"/>
        <v>2826000000</v>
      </c>
      <c r="N93" s="89">
        <f t="shared" si="10"/>
        <v>2069000000</v>
      </c>
      <c r="O93" s="89">
        <f t="shared" si="11"/>
        <v>757000000</v>
      </c>
      <c r="P93" s="87">
        <f t="shared" si="6"/>
        <v>0.2454604409857328</v>
      </c>
      <c r="Q93" s="87">
        <f t="shared" si="7"/>
        <v>0.91634241245136183</v>
      </c>
    </row>
    <row r="94" spans="1:17">
      <c r="A94" s="83">
        <v>96</v>
      </c>
      <c r="B94" s="83" t="s">
        <v>73</v>
      </c>
      <c r="C94" s="83" t="s">
        <v>18</v>
      </c>
      <c r="D94" s="84">
        <v>41366</v>
      </c>
      <c r="E94" s="85">
        <f t="shared" si="8"/>
        <v>2013</v>
      </c>
      <c r="F94" s="86">
        <v>7509000000</v>
      </c>
      <c r="G94" s="86">
        <v>4518000000</v>
      </c>
      <c r="H94" s="86">
        <v>898000000</v>
      </c>
      <c r="I94" s="86">
        <v>1320000000</v>
      </c>
      <c r="J94" s="86">
        <v>0</v>
      </c>
      <c r="K94" s="83" t="s">
        <v>28</v>
      </c>
      <c r="L94" s="83" t="s">
        <v>74</v>
      </c>
      <c r="M94" s="91">
        <f t="shared" si="9"/>
        <v>2991000000</v>
      </c>
      <c r="N94" s="86">
        <f t="shared" si="10"/>
        <v>2218000000</v>
      </c>
      <c r="O94" s="86">
        <f t="shared" si="11"/>
        <v>773000000</v>
      </c>
      <c r="P94" s="83">
        <f t="shared" si="6"/>
        <v>0.10294313490478094</v>
      </c>
      <c r="Q94" s="83">
        <f t="shared" si="7"/>
        <v>0.39832201358369956</v>
      </c>
    </row>
    <row r="95" spans="1:17">
      <c r="A95" s="87">
        <v>97</v>
      </c>
      <c r="B95" s="87" t="s">
        <v>73</v>
      </c>
      <c r="C95" s="87" t="s">
        <v>21</v>
      </c>
      <c r="D95" s="84">
        <v>41367</v>
      </c>
      <c r="E95" s="88">
        <f t="shared" si="8"/>
        <v>2013</v>
      </c>
      <c r="F95" s="89">
        <v>9072000000</v>
      </c>
      <c r="G95" s="89">
        <v>5229000000</v>
      </c>
      <c r="H95" s="89">
        <v>895000000</v>
      </c>
      <c r="I95" s="89">
        <v>1428000000</v>
      </c>
      <c r="J95" s="89">
        <v>0</v>
      </c>
      <c r="K95" s="87" t="s">
        <v>28</v>
      </c>
      <c r="L95" s="87" t="s">
        <v>74</v>
      </c>
      <c r="M95" s="90">
        <f t="shared" si="9"/>
        <v>3843000000</v>
      </c>
      <c r="N95" s="89">
        <f t="shared" si="10"/>
        <v>2323000000</v>
      </c>
      <c r="O95" s="89">
        <f t="shared" si="11"/>
        <v>1520000000</v>
      </c>
      <c r="P95" s="87">
        <f t="shared" si="6"/>
        <v>0.16754850088183421</v>
      </c>
      <c r="Q95" s="87">
        <f t="shared" si="7"/>
        <v>0.42361111111111116</v>
      </c>
    </row>
    <row r="96" spans="1:17">
      <c r="A96" s="83">
        <v>98</v>
      </c>
      <c r="B96" s="83" t="s">
        <v>73</v>
      </c>
      <c r="C96" s="83" t="s">
        <v>22</v>
      </c>
      <c r="D96" s="84">
        <v>41368</v>
      </c>
      <c r="E96" s="85">
        <f t="shared" si="8"/>
        <v>2013</v>
      </c>
      <c r="F96" s="86">
        <v>9659000000</v>
      </c>
      <c r="G96" s="86">
        <v>5707000000</v>
      </c>
      <c r="H96" s="86">
        <v>808000000</v>
      </c>
      <c r="I96" s="86">
        <v>1451000000</v>
      </c>
      <c r="J96" s="86">
        <v>0</v>
      </c>
      <c r="K96" s="83" t="s">
        <v>28</v>
      </c>
      <c r="L96" s="83" t="s">
        <v>74</v>
      </c>
      <c r="M96" s="91">
        <f t="shared" si="9"/>
        <v>3952000000</v>
      </c>
      <c r="N96" s="86">
        <f t="shared" si="10"/>
        <v>2259000000</v>
      </c>
      <c r="O96" s="86">
        <f t="shared" si="11"/>
        <v>1693000000</v>
      </c>
      <c r="P96" s="83">
        <f t="shared" si="6"/>
        <v>0.17527694378300032</v>
      </c>
      <c r="Q96" s="83">
        <f t="shared" si="7"/>
        <v>0.40915208613728127</v>
      </c>
    </row>
    <row r="97" spans="1:17">
      <c r="A97" s="87">
        <v>99</v>
      </c>
      <c r="B97" s="87" t="s">
        <v>73</v>
      </c>
      <c r="C97" s="87" t="s">
        <v>23</v>
      </c>
      <c r="D97" s="84">
        <v>41369</v>
      </c>
      <c r="E97" s="88">
        <f t="shared" si="8"/>
        <v>2013</v>
      </c>
      <c r="F97" s="89">
        <v>10825000000</v>
      </c>
      <c r="G97" s="89">
        <v>6314000000</v>
      </c>
      <c r="H97" s="89">
        <v>819000000</v>
      </c>
      <c r="I97" s="89">
        <v>1540000000</v>
      </c>
      <c r="J97" s="89">
        <v>0</v>
      </c>
      <c r="K97" s="87" t="s">
        <v>28</v>
      </c>
      <c r="L97" s="87" t="s">
        <v>74</v>
      </c>
      <c r="M97" s="90">
        <f t="shared" si="9"/>
        <v>4511000000</v>
      </c>
      <c r="N97" s="89">
        <f t="shared" si="10"/>
        <v>2359000000</v>
      </c>
      <c r="O97" s="89">
        <f t="shared" si="11"/>
        <v>2152000000</v>
      </c>
      <c r="P97" s="87">
        <f t="shared" si="6"/>
        <v>0.19879907621247114</v>
      </c>
      <c r="Q97" s="87">
        <f t="shared" si="7"/>
        <v>0.41672055427251731</v>
      </c>
    </row>
    <row r="98" spans="1:17">
      <c r="A98" s="83">
        <v>100</v>
      </c>
      <c r="B98" s="83" t="s">
        <v>75</v>
      </c>
      <c r="C98" s="83" t="s">
        <v>18</v>
      </c>
      <c r="D98" s="84">
        <v>41370</v>
      </c>
      <c r="E98" s="85">
        <f t="shared" si="8"/>
        <v>2013</v>
      </c>
      <c r="F98" s="86">
        <v>3334213000</v>
      </c>
      <c r="G98" s="86">
        <v>2154132000</v>
      </c>
      <c r="H98" s="86">
        <v>380532000</v>
      </c>
      <c r="I98" s="86">
        <v>0</v>
      </c>
      <c r="J98" s="86">
        <v>53677000</v>
      </c>
      <c r="K98" s="83" t="s">
        <v>19</v>
      </c>
      <c r="L98" s="83" t="s">
        <v>76</v>
      </c>
      <c r="M98" s="91">
        <f t="shared" si="9"/>
        <v>1180081000</v>
      </c>
      <c r="N98" s="86">
        <f t="shared" si="10"/>
        <v>434209000</v>
      </c>
      <c r="O98" s="86">
        <f t="shared" si="11"/>
        <v>745872000</v>
      </c>
      <c r="P98" s="83">
        <f t="shared" si="6"/>
        <v>0.22370256489312471</v>
      </c>
      <c r="Q98" s="83">
        <f t="shared" si="7"/>
        <v>0.35393089763611385</v>
      </c>
    </row>
    <row r="99" spans="1:17">
      <c r="A99" s="87">
        <v>101</v>
      </c>
      <c r="B99" s="87" t="s">
        <v>75</v>
      </c>
      <c r="C99" s="87" t="s">
        <v>21</v>
      </c>
      <c r="D99" s="84">
        <v>41371</v>
      </c>
      <c r="E99" s="88">
        <f t="shared" si="8"/>
        <v>2013</v>
      </c>
      <c r="F99" s="89">
        <v>3594136000</v>
      </c>
      <c r="G99" s="89">
        <v>2323642000</v>
      </c>
      <c r="H99" s="89">
        <v>398177000</v>
      </c>
      <c r="I99" s="89">
        <v>0</v>
      </c>
      <c r="J99" s="89">
        <v>57238000</v>
      </c>
      <c r="K99" s="87" t="s">
        <v>19</v>
      </c>
      <c r="L99" s="87" t="s">
        <v>76</v>
      </c>
      <c r="M99" s="90">
        <f t="shared" si="9"/>
        <v>1270494000</v>
      </c>
      <c r="N99" s="89">
        <f t="shared" si="10"/>
        <v>455415000</v>
      </c>
      <c r="O99" s="89">
        <f t="shared" si="11"/>
        <v>815079000</v>
      </c>
      <c r="P99" s="87">
        <f t="shared" si="6"/>
        <v>0.22678023313530707</v>
      </c>
      <c r="Q99" s="87">
        <f t="shared" si="7"/>
        <v>0.35349079723193555</v>
      </c>
    </row>
    <row r="100" spans="1:17">
      <c r="A100" s="83">
        <v>102</v>
      </c>
      <c r="B100" s="83" t="s">
        <v>75</v>
      </c>
      <c r="C100" s="83" t="s">
        <v>22</v>
      </c>
      <c r="D100" s="84">
        <v>41372</v>
      </c>
      <c r="E100" s="85">
        <f t="shared" si="8"/>
        <v>2013</v>
      </c>
      <c r="F100" s="86">
        <v>4021964000</v>
      </c>
      <c r="G100" s="86">
        <v>2597017000</v>
      </c>
      <c r="H100" s="86">
        <v>462637000</v>
      </c>
      <c r="I100" s="86">
        <v>0</v>
      </c>
      <c r="J100" s="86">
        <v>63724000</v>
      </c>
      <c r="K100" s="83" t="s">
        <v>19</v>
      </c>
      <c r="L100" s="83" t="s">
        <v>76</v>
      </c>
      <c r="M100" s="91">
        <f t="shared" si="9"/>
        <v>1424947000</v>
      </c>
      <c r="N100" s="86">
        <f t="shared" si="10"/>
        <v>526361000</v>
      </c>
      <c r="O100" s="86">
        <f t="shared" si="11"/>
        <v>898586000</v>
      </c>
      <c r="P100" s="83">
        <f t="shared" si="6"/>
        <v>0.22341970241404449</v>
      </c>
      <c r="Q100" s="83">
        <f t="shared" si="7"/>
        <v>0.35429133627252751</v>
      </c>
    </row>
    <row r="101" spans="1:17">
      <c r="A101" s="87">
        <v>103</v>
      </c>
      <c r="B101" s="87" t="s">
        <v>75</v>
      </c>
      <c r="C101" s="87" t="s">
        <v>23</v>
      </c>
      <c r="D101" s="84">
        <v>41373</v>
      </c>
      <c r="E101" s="88">
        <f t="shared" si="8"/>
        <v>2013</v>
      </c>
      <c r="F101" s="89">
        <v>3974295000</v>
      </c>
      <c r="G101" s="89">
        <v>2549280000</v>
      </c>
      <c r="H101" s="89">
        <v>448592000</v>
      </c>
      <c r="I101" s="89">
        <v>0</v>
      </c>
      <c r="J101" s="89">
        <v>68707000</v>
      </c>
      <c r="K101" s="87" t="s">
        <v>19</v>
      </c>
      <c r="L101" s="87" t="s">
        <v>76</v>
      </c>
      <c r="M101" s="90">
        <f t="shared" si="9"/>
        <v>1425015000</v>
      </c>
      <c r="N101" s="89">
        <f t="shared" si="10"/>
        <v>517299000</v>
      </c>
      <c r="O101" s="89">
        <f t="shared" si="11"/>
        <v>907716000</v>
      </c>
      <c r="P101" s="87">
        <f t="shared" si="6"/>
        <v>0.22839673451517817</v>
      </c>
      <c r="Q101" s="87">
        <f t="shared" si="7"/>
        <v>0.35855793291640403</v>
      </c>
    </row>
    <row r="102" spans="1:17">
      <c r="A102" s="83">
        <v>108</v>
      </c>
      <c r="B102" s="83" t="s">
        <v>77</v>
      </c>
      <c r="C102" s="83" t="s">
        <v>18</v>
      </c>
      <c r="D102" s="84">
        <v>41374</v>
      </c>
      <c r="E102" s="85">
        <f t="shared" si="8"/>
        <v>2013</v>
      </c>
      <c r="F102" s="86">
        <v>18676000000</v>
      </c>
      <c r="G102" s="86">
        <v>3346000000</v>
      </c>
      <c r="H102" s="86">
        <v>5380000000</v>
      </c>
      <c r="I102" s="86">
        <v>4083000000</v>
      </c>
      <c r="J102" s="86">
        <v>0</v>
      </c>
      <c r="K102" s="83" t="s">
        <v>31</v>
      </c>
      <c r="L102" s="83" t="s">
        <v>72</v>
      </c>
      <c r="M102" s="91">
        <f t="shared" si="9"/>
        <v>15330000000</v>
      </c>
      <c r="N102" s="86">
        <f t="shared" si="10"/>
        <v>9463000000</v>
      </c>
      <c r="O102" s="86">
        <f t="shared" si="11"/>
        <v>5867000000</v>
      </c>
      <c r="P102" s="83">
        <f t="shared" si="6"/>
        <v>0.3141464981794817</v>
      </c>
      <c r="Q102" s="83">
        <f t="shared" si="7"/>
        <v>0.82083958020989511</v>
      </c>
    </row>
    <row r="103" spans="1:17">
      <c r="A103" s="87">
        <v>109</v>
      </c>
      <c r="B103" s="87" t="s">
        <v>77</v>
      </c>
      <c r="C103" s="87" t="s">
        <v>21</v>
      </c>
      <c r="D103" s="84">
        <v>41375</v>
      </c>
      <c r="E103" s="88">
        <f t="shared" si="8"/>
        <v>2013</v>
      </c>
      <c r="F103" s="89">
        <v>20063000000</v>
      </c>
      <c r="G103" s="89">
        <v>4422000000</v>
      </c>
      <c r="H103" s="89">
        <v>5153000000</v>
      </c>
      <c r="I103" s="89">
        <v>4297000000</v>
      </c>
      <c r="J103" s="89">
        <v>0</v>
      </c>
      <c r="K103" s="87" t="s">
        <v>31</v>
      </c>
      <c r="L103" s="87" t="s">
        <v>72</v>
      </c>
      <c r="M103" s="90">
        <f t="shared" si="9"/>
        <v>15641000000</v>
      </c>
      <c r="N103" s="89">
        <f t="shared" si="10"/>
        <v>9450000000</v>
      </c>
      <c r="O103" s="89">
        <f t="shared" si="11"/>
        <v>6191000000</v>
      </c>
      <c r="P103" s="87">
        <f t="shared" si="6"/>
        <v>0.30857797936500025</v>
      </c>
      <c r="Q103" s="87">
        <f t="shared" si="7"/>
        <v>0.77959427802422376</v>
      </c>
    </row>
    <row r="104" spans="1:17">
      <c r="A104" s="83">
        <v>110</v>
      </c>
      <c r="B104" s="83" t="s">
        <v>77</v>
      </c>
      <c r="C104" s="83" t="s">
        <v>22</v>
      </c>
      <c r="D104" s="84">
        <v>41376</v>
      </c>
      <c r="E104" s="85">
        <f t="shared" si="8"/>
        <v>2013</v>
      </c>
      <c r="F104" s="86">
        <v>21662000000</v>
      </c>
      <c r="G104" s="86">
        <v>4227000000</v>
      </c>
      <c r="H104" s="86">
        <v>4895000000</v>
      </c>
      <c r="I104" s="86">
        <v>4070000000</v>
      </c>
      <c r="J104" s="86">
        <v>0</v>
      </c>
      <c r="K104" s="83" t="s">
        <v>31</v>
      </c>
      <c r="L104" s="83" t="s">
        <v>72</v>
      </c>
      <c r="M104" s="91">
        <f t="shared" si="9"/>
        <v>17435000000</v>
      </c>
      <c r="N104" s="86">
        <f t="shared" si="10"/>
        <v>8965000000</v>
      </c>
      <c r="O104" s="86">
        <f t="shared" si="11"/>
        <v>8470000000</v>
      </c>
      <c r="P104" s="83">
        <f t="shared" si="6"/>
        <v>0.39100729387868155</v>
      </c>
      <c r="Q104" s="83">
        <f t="shared" si="7"/>
        <v>0.80486566337364973</v>
      </c>
    </row>
    <row r="105" spans="1:17">
      <c r="A105" s="87">
        <v>111</v>
      </c>
      <c r="B105" s="87" t="s">
        <v>77</v>
      </c>
      <c r="C105" s="87" t="s">
        <v>23</v>
      </c>
      <c r="D105" s="84">
        <v>41377</v>
      </c>
      <c r="E105" s="88">
        <f t="shared" si="8"/>
        <v>2013</v>
      </c>
      <c r="F105" s="89">
        <v>22991000000</v>
      </c>
      <c r="G105" s="89">
        <v>4162000000</v>
      </c>
      <c r="H105" s="89">
        <v>5195000000</v>
      </c>
      <c r="I105" s="89">
        <v>3840000000</v>
      </c>
      <c r="J105" s="89">
        <v>0</v>
      </c>
      <c r="K105" s="87" t="s">
        <v>31</v>
      </c>
      <c r="L105" s="87" t="s">
        <v>72</v>
      </c>
      <c r="M105" s="90">
        <f t="shared" si="9"/>
        <v>18829000000</v>
      </c>
      <c r="N105" s="89">
        <f t="shared" si="10"/>
        <v>9035000000</v>
      </c>
      <c r="O105" s="89">
        <f t="shared" si="11"/>
        <v>9794000000</v>
      </c>
      <c r="P105" s="87">
        <f t="shared" si="6"/>
        <v>0.4259927797833935</v>
      </c>
      <c r="Q105" s="87">
        <f t="shared" si="7"/>
        <v>0.81897264146840065</v>
      </c>
    </row>
    <row r="106" spans="1:17">
      <c r="A106" s="83">
        <v>112</v>
      </c>
      <c r="B106" s="83" t="s">
        <v>78</v>
      </c>
      <c r="C106" s="83" t="s">
        <v>18</v>
      </c>
      <c r="D106" s="84">
        <v>41378</v>
      </c>
      <c r="E106" s="85">
        <f t="shared" si="8"/>
        <v>2013</v>
      </c>
      <c r="F106" s="86">
        <v>10259000000</v>
      </c>
      <c r="G106" s="86">
        <v>1899000000</v>
      </c>
      <c r="H106" s="86">
        <v>3927000000</v>
      </c>
      <c r="I106" s="86">
        <v>0</v>
      </c>
      <c r="J106" s="86">
        <v>2877000000</v>
      </c>
      <c r="K106" s="83" t="s">
        <v>53</v>
      </c>
      <c r="L106" s="83" t="s">
        <v>79</v>
      </c>
      <c r="M106" s="91">
        <f t="shared" si="9"/>
        <v>8360000000</v>
      </c>
      <c r="N106" s="86">
        <f t="shared" si="10"/>
        <v>6804000000</v>
      </c>
      <c r="O106" s="86">
        <f t="shared" si="11"/>
        <v>1556000000</v>
      </c>
      <c r="P106" s="83">
        <f t="shared" si="6"/>
        <v>0.15167170289501899</v>
      </c>
      <c r="Q106" s="83">
        <f t="shared" si="7"/>
        <v>0.8148942392046008</v>
      </c>
    </row>
    <row r="107" spans="1:17">
      <c r="A107" s="87">
        <v>113</v>
      </c>
      <c r="B107" s="87" t="s">
        <v>78</v>
      </c>
      <c r="C107" s="87" t="s">
        <v>21</v>
      </c>
      <c r="D107" s="84">
        <v>41379</v>
      </c>
      <c r="E107" s="88">
        <f t="shared" si="8"/>
        <v>2013</v>
      </c>
      <c r="F107" s="89">
        <v>11230000000</v>
      </c>
      <c r="G107" s="89">
        <v>1954000000</v>
      </c>
      <c r="H107" s="89">
        <v>3862000000</v>
      </c>
      <c r="I107" s="89">
        <v>0</v>
      </c>
      <c r="J107" s="89">
        <v>3132000000</v>
      </c>
      <c r="K107" s="87" t="s">
        <v>53</v>
      </c>
      <c r="L107" s="87" t="s">
        <v>79</v>
      </c>
      <c r="M107" s="90">
        <f t="shared" si="9"/>
        <v>9276000000</v>
      </c>
      <c r="N107" s="89">
        <f t="shared" si="10"/>
        <v>6994000000</v>
      </c>
      <c r="O107" s="89">
        <f t="shared" si="11"/>
        <v>2282000000</v>
      </c>
      <c r="P107" s="87">
        <f t="shared" si="6"/>
        <v>0.20320569902048086</v>
      </c>
      <c r="Q107" s="87">
        <f t="shared" si="7"/>
        <v>0.8260017809439002</v>
      </c>
    </row>
    <row r="108" spans="1:17">
      <c r="A108" s="83">
        <v>114</v>
      </c>
      <c r="B108" s="83" t="s">
        <v>78</v>
      </c>
      <c r="C108" s="83" t="s">
        <v>22</v>
      </c>
      <c r="D108" s="84">
        <v>41380</v>
      </c>
      <c r="E108" s="85">
        <f t="shared" si="8"/>
        <v>2013</v>
      </c>
      <c r="F108" s="86">
        <v>12296000000</v>
      </c>
      <c r="G108" s="86">
        <v>1982000000</v>
      </c>
      <c r="H108" s="86">
        <v>3808000000</v>
      </c>
      <c r="I108" s="86">
        <v>0</v>
      </c>
      <c r="J108" s="86">
        <v>3603000000</v>
      </c>
      <c r="K108" s="83" t="s">
        <v>53</v>
      </c>
      <c r="L108" s="83" t="s">
        <v>79</v>
      </c>
      <c r="M108" s="91">
        <f t="shared" si="9"/>
        <v>10314000000</v>
      </c>
      <c r="N108" s="86">
        <f t="shared" si="10"/>
        <v>7411000000</v>
      </c>
      <c r="O108" s="86">
        <f t="shared" si="11"/>
        <v>2903000000</v>
      </c>
      <c r="P108" s="83">
        <f t="shared" si="6"/>
        <v>0.23609303838646714</v>
      </c>
      <c r="Q108" s="83">
        <f t="shared" si="7"/>
        <v>0.83880936890045543</v>
      </c>
    </row>
    <row r="109" spans="1:17">
      <c r="A109" s="87">
        <v>115</v>
      </c>
      <c r="B109" s="87" t="s">
        <v>78</v>
      </c>
      <c r="C109" s="87" t="s">
        <v>23</v>
      </c>
      <c r="D109" s="84">
        <v>41381</v>
      </c>
      <c r="E109" s="88">
        <f t="shared" si="8"/>
        <v>2013</v>
      </c>
      <c r="F109" s="89">
        <v>12200000000</v>
      </c>
      <c r="G109" s="89">
        <v>2261000000</v>
      </c>
      <c r="H109" s="89">
        <v>3750000000</v>
      </c>
      <c r="I109" s="89">
        <v>0</v>
      </c>
      <c r="J109" s="89">
        <v>3630000000</v>
      </c>
      <c r="K109" s="87" t="s">
        <v>53</v>
      </c>
      <c r="L109" s="87" t="s">
        <v>79</v>
      </c>
      <c r="M109" s="90">
        <f t="shared" si="9"/>
        <v>9939000000</v>
      </c>
      <c r="N109" s="89">
        <f t="shared" si="10"/>
        <v>7380000000</v>
      </c>
      <c r="O109" s="89">
        <f t="shared" si="11"/>
        <v>2559000000</v>
      </c>
      <c r="P109" s="87">
        <f t="shared" si="6"/>
        <v>0.20975409836065573</v>
      </c>
      <c r="Q109" s="87">
        <f t="shared" si="7"/>
        <v>0.814672131147541</v>
      </c>
    </row>
    <row r="110" spans="1:17">
      <c r="A110" s="83">
        <v>116</v>
      </c>
      <c r="B110" s="83" t="s">
        <v>80</v>
      </c>
      <c r="C110" s="83" t="s">
        <v>18</v>
      </c>
      <c r="D110" s="84">
        <v>41382</v>
      </c>
      <c r="E110" s="85">
        <f t="shared" si="8"/>
        <v>2013</v>
      </c>
      <c r="F110" s="86">
        <v>2875960000</v>
      </c>
      <c r="G110" s="86">
        <v>722479000</v>
      </c>
      <c r="H110" s="86">
        <v>389486000</v>
      </c>
      <c r="I110" s="86">
        <v>0</v>
      </c>
      <c r="J110" s="86">
        <v>644276000</v>
      </c>
      <c r="K110" s="83" t="s">
        <v>58</v>
      </c>
      <c r="L110" s="83" t="s">
        <v>81</v>
      </c>
      <c r="M110" s="91">
        <f t="shared" si="9"/>
        <v>2153481000</v>
      </c>
      <c r="N110" s="86">
        <f t="shared" si="10"/>
        <v>1033762000</v>
      </c>
      <c r="O110" s="86">
        <f t="shared" si="11"/>
        <v>1119719000</v>
      </c>
      <c r="P110" s="83">
        <f t="shared" si="6"/>
        <v>0.38933747340018637</v>
      </c>
      <c r="Q110" s="83">
        <f t="shared" si="7"/>
        <v>0.74878683987259909</v>
      </c>
    </row>
    <row r="111" spans="1:17">
      <c r="A111" s="87">
        <v>117</v>
      </c>
      <c r="B111" s="87" t="s">
        <v>80</v>
      </c>
      <c r="C111" s="87" t="s">
        <v>21</v>
      </c>
      <c r="D111" s="84">
        <v>41383</v>
      </c>
      <c r="E111" s="88">
        <f t="shared" si="8"/>
        <v>2013</v>
      </c>
      <c r="F111" s="89">
        <v>3361407000</v>
      </c>
      <c r="G111" s="89">
        <v>859873000</v>
      </c>
      <c r="H111" s="89">
        <v>487084000</v>
      </c>
      <c r="I111" s="89">
        <v>0</v>
      </c>
      <c r="J111" s="89">
        <v>800145000</v>
      </c>
      <c r="K111" s="87" t="s">
        <v>58</v>
      </c>
      <c r="L111" s="87" t="s">
        <v>81</v>
      </c>
      <c r="M111" s="90">
        <f t="shared" si="9"/>
        <v>2501534000</v>
      </c>
      <c r="N111" s="89">
        <f t="shared" si="10"/>
        <v>1287229000</v>
      </c>
      <c r="O111" s="89">
        <f t="shared" si="11"/>
        <v>1214305000</v>
      </c>
      <c r="P111" s="87">
        <f t="shared" si="6"/>
        <v>0.36124902459000058</v>
      </c>
      <c r="Q111" s="87">
        <f t="shared" si="7"/>
        <v>0.74419253604219904</v>
      </c>
    </row>
    <row r="112" spans="1:17">
      <c r="A112" s="83">
        <v>118</v>
      </c>
      <c r="B112" s="83" t="s">
        <v>80</v>
      </c>
      <c r="C112" s="83" t="s">
        <v>22</v>
      </c>
      <c r="D112" s="84">
        <v>41384</v>
      </c>
      <c r="E112" s="85">
        <f t="shared" si="8"/>
        <v>2013</v>
      </c>
      <c r="F112" s="86">
        <v>4100048000</v>
      </c>
      <c r="G112" s="86">
        <v>1094265000</v>
      </c>
      <c r="H112" s="86">
        <v>515059000</v>
      </c>
      <c r="I112" s="86">
        <v>0</v>
      </c>
      <c r="J112" s="86">
        <v>1003802000</v>
      </c>
      <c r="K112" s="83" t="s">
        <v>58</v>
      </c>
      <c r="L112" s="83" t="s">
        <v>81</v>
      </c>
      <c r="M112" s="91">
        <f t="shared" si="9"/>
        <v>3005783000</v>
      </c>
      <c r="N112" s="86">
        <f t="shared" si="10"/>
        <v>1518861000</v>
      </c>
      <c r="O112" s="86">
        <f t="shared" si="11"/>
        <v>1486922000</v>
      </c>
      <c r="P112" s="83">
        <f t="shared" si="6"/>
        <v>0.36265965666743416</v>
      </c>
      <c r="Q112" s="83">
        <f t="shared" si="7"/>
        <v>0.73310922213593599</v>
      </c>
    </row>
    <row r="113" spans="1:20">
      <c r="A113" s="87">
        <v>119</v>
      </c>
      <c r="B113" s="87" t="s">
        <v>80</v>
      </c>
      <c r="C113" s="87" t="s">
        <v>23</v>
      </c>
      <c r="D113" s="84">
        <v>41385</v>
      </c>
      <c r="E113" s="88">
        <f t="shared" si="8"/>
        <v>2013</v>
      </c>
      <c r="F113" s="89">
        <v>4771516000</v>
      </c>
      <c r="G113" s="89">
        <v>1308868000</v>
      </c>
      <c r="H113" s="89">
        <v>564531000</v>
      </c>
      <c r="I113" s="89">
        <v>0</v>
      </c>
      <c r="J113" s="89">
        <v>1285328000</v>
      </c>
      <c r="K113" s="87" t="s">
        <v>58</v>
      </c>
      <c r="L113" s="87" t="s">
        <v>81</v>
      </c>
      <c r="M113" s="90">
        <f t="shared" si="9"/>
        <v>3462648000</v>
      </c>
      <c r="N113" s="89">
        <f t="shared" si="10"/>
        <v>1849859000</v>
      </c>
      <c r="O113" s="89">
        <f t="shared" si="11"/>
        <v>1612789000</v>
      </c>
      <c r="P113" s="87">
        <f t="shared" si="6"/>
        <v>0.33800347730155361</v>
      </c>
      <c r="Q113" s="87">
        <f t="shared" si="7"/>
        <v>0.72569137355926294</v>
      </c>
    </row>
    <row r="114" spans="1:20">
      <c r="A114" s="83">
        <v>120</v>
      </c>
      <c r="B114" s="83" t="s">
        <v>82</v>
      </c>
      <c r="C114" s="83" t="s">
        <v>18</v>
      </c>
      <c r="D114" s="84">
        <v>41386</v>
      </c>
      <c r="E114" s="85">
        <f t="shared" si="8"/>
        <v>2013</v>
      </c>
      <c r="F114" s="86">
        <v>74452000000</v>
      </c>
      <c r="G114" s="86">
        <v>54181000000</v>
      </c>
      <c r="H114" s="86">
        <v>19526000000</v>
      </c>
      <c r="I114" s="86">
        <v>0</v>
      </c>
      <c r="J114" s="86">
        <v>0</v>
      </c>
      <c r="K114" s="83" t="s">
        <v>25</v>
      </c>
      <c r="L114" s="83" t="s">
        <v>83</v>
      </c>
      <c r="M114" s="91">
        <f t="shared" si="9"/>
        <v>20271000000</v>
      </c>
      <c r="N114" s="86">
        <f t="shared" si="10"/>
        <v>19526000000</v>
      </c>
      <c r="O114" s="86">
        <f t="shared" si="11"/>
        <v>745000000</v>
      </c>
      <c r="P114" s="83">
        <f t="shared" si="6"/>
        <v>1.0006447106860796E-2</v>
      </c>
      <c r="Q114" s="83">
        <f t="shared" si="7"/>
        <v>0.27226938161500025</v>
      </c>
    </row>
    <row r="115" spans="1:20">
      <c r="A115" s="87">
        <v>121</v>
      </c>
      <c r="B115" s="87" t="s">
        <v>82</v>
      </c>
      <c r="C115" s="87" t="s">
        <v>21</v>
      </c>
      <c r="D115" s="84">
        <v>41387</v>
      </c>
      <c r="E115" s="88">
        <f t="shared" si="8"/>
        <v>2013</v>
      </c>
      <c r="F115" s="89">
        <v>88988000000</v>
      </c>
      <c r="G115" s="89">
        <v>62752000000</v>
      </c>
      <c r="H115" s="89">
        <v>26058000000</v>
      </c>
      <c r="I115" s="89">
        <v>0</v>
      </c>
      <c r="J115" s="89">
        <v>0</v>
      </c>
      <c r="K115" s="87" t="s">
        <v>25</v>
      </c>
      <c r="L115" s="87" t="s">
        <v>83</v>
      </c>
      <c r="M115" s="90">
        <f t="shared" si="9"/>
        <v>26236000000</v>
      </c>
      <c r="N115" s="89">
        <f t="shared" si="10"/>
        <v>26058000000</v>
      </c>
      <c r="O115" s="89">
        <f t="shared" si="11"/>
        <v>178000000</v>
      </c>
      <c r="P115" s="87">
        <f t="shared" si="6"/>
        <v>2.000269699285297E-3</v>
      </c>
      <c r="Q115" s="87">
        <f t="shared" si="7"/>
        <v>0.29482626871038786</v>
      </c>
    </row>
    <row r="116" spans="1:20">
      <c r="A116" s="83">
        <v>122</v>
      </c>
      <c r="B116" s="83" t="s">
        <v>82</v>
      </c>
      <c r="C116" s="83" t="s">
        <v>22</v>
      </c>
      <c r="D116" s="84">
        <v>41388</v>
      </c>
      <c r="E116" s="85">
        <f t="shared" si="8"/>
        <v>2013</v>
      </c>
      <c r="F116" s="86">
        <v>107006000000</v>
      </c>
      <c r="G116" s="86">
        <v>71651000000</v>
      </c>
      <c r="H116" s="86">
        <v>33122000000</v>
      </c>
      <c r="I116" s="86">
        <v>0</v>
      </c>
      <c r="J116" s="86">
        <v>0</v>
      </c>
      <c r="K116" s="83" t="s">
        <v>25</v>
      </c>
      <c r="L116" s="83" t="s">
        <v>83</v>
      </c>
      <c r="M116" s="91">
        <f t="shared" si="9"/>
        <v>35355000000</v>
      </c>
      <c r="N116" s="86">
        <f t="shared" si="10"/>
        <v>33122000000</v>
      </c>
      <c r="O116" s="86">
        <f t="shared" si="11"/>
        <v>2233000000</v>
      </c>
      <c r="P116" s="83">
        <f t="shared" si="6"/>
        <v>2.0867988710913405E-2</v>
      </c>
      <c r="Q116" s="83">
        <f t="shared" si="7"/>
        <v>0.33040203353083009</v>
      </c>
    </row>
    <row r="117" spans="1:20">
      <c r="A117" s="87">
        <v>123</v>
      </c>
      <c r="B117" s="87" t="s">
        <v>82</v>
      </c>
      <c r="C117" s="87" t="s">
        <v>23</v>
      </c>
      <c r="D117" s="84">
        <v>41389</v>
      </c>
      <c r="E117" s="88">
        <f t="shared" si="8"/>
        <v>2013</v>
      </c>
      <c r="F117" s="89">
        <v>135987000000</v>
      </c>
      <c r="G117" s="89">
        <v>88265000000</v>
      </c>
      <c r="H117" s="89">
        <v>43536000000</v>
      </c>
      <c r="I117" s="89">
        <v>0</v>
      </c>
      <c r="J117" s="89">
        <v>0</v>
      </c>
      <c r="K117" s="87" t="s">
        <v>25</v>
      </c>
      <c r="L117" s="87" t="s">
        <v>83</v>
      </c>
      <c r="M117" s="90">
        <f t="shared" si="9"/>
        <v>47722000000</v>
      </c>
      <c r="N117" s="89">
        <f t="shared" si="10"/>
        <v>43536000000</v>
      </c>
      <c r="O117" s="89">
        <f t="shared" si="11"/>
        <v>4186000000</v>
      </c>
      <c r="P117" s="87">
        <f t="shared" si="6"/>
        <v>3.0782354195621642E-2</v>
      </c>
      <c r="Q117" s="87">
        <f t="shared" si="7"/>
        <v>0.35093060366064399</v>
      </c>
    </row>
    <row r="118" spans="1:20">
      <c r="A118" s="83">
        <v>124</v>
      </c>
      <c r="B118" s="83" t="s">
        <v>84</v>
      </c>
      <c r="C118" s="83" t="s">
        <v>18</v>
      </c>
      <c r="D118" s="84">
        <v>41390</v>
      </c>
      <c r="E118" s="85">
        <f t="shared" si="8"/>
        <v>2013</v>
      </c>
      <c r="F118" s="86">
        <v>17517600000</v>
      </c>
      <c r="G118" s="86">
        <v>14757700000</v>
      </c>
      <c r="H118" s="86">
        <v>1924300000</v>
      </c>
      <c r="I118" s="86">
        <v>0</v>
      </c>
      <c r="J118" s="86">
        <v>95300000</v>
      </c>
      <c r="K118" s="83" t="s">
        <v>25</v>
      </c>
      <c r="L118" s="83" t="s">
        <v>85</v>
      </c>
      <c r="M118" s="91">
        <f t="shared" si="9"/>
        <v>2759900000</v>
      </c>
      <c r="N118" s="86">
        <f t="shared" si="10"/>
        <v>2019600000</v>
      </c>
      <c r="O118" s="86">
        <f t="shared" si="11"/>
        <v>740300000</v>
      </c>
      <c r="P118" s="83">
        <f t="shared" si="6"/>
        <v>4.2260355299812757E-2</v>
      </c>
      <c r="Q118" s="83">
        <f t="shared" si="7"/>
        <v>0.15755012102114441</v>
      </c>
    </row>
    <row r="119" spans="1:20">
      <c r="A119" s="87">
        <v>125</v>
      </c>
      <c r="B119" s="87" t="s">
        <v>84</v>
      </c>
      <c r="C119" s="87" t="s">
        <v>21</v>
      </c>
      <c r="D119" s="84">
        <v>41391</v>
      </c>
      <c r="E119" s="88">
        <f t="shared" si="8"/>
        <v>2013</v>
      </c>
      <c r="F119" s="89">
        <v>19108800000</v>
      </c>
      <c r="G119" s="89">
        <v>16120100000</v>
      </c>
      <c r="H119" s="89">
        <v>2061000000</v>
      </c>
      <c r="I119" s="89">
        <v>0</v>
      </c>
      <c r="J119" s="89">
        <v>106900000</v>
      </c>
      <c r="K119" s="87" t="s">
        <v>25</v>
      </c>
      <c r="L119" s="87" t="s">
        <v>85</v>
      </c>
      <c r="M119" s="90">
        <f t="shared" si="9"/>
        <v>2988700000</v>
      </c>
      <c r="N119" s="89">
        <f t="shared" si="10"/>
        <v>2167900000</v>
      </c>
      <c r="O119" s="89">
        <f t="shared" si="11"/>
        <v>820800000</v>
      </c>
      <c r="P119" s="87">
        <f t="shared" si="6"/>
        <v>4.2954031650339113E-2</v>
      </c>
      <c r="Q119" s="87">
        <f t="shared" si="7"/>
        <v>0.15640437913422089</v>
      </c>
    </row>
    <row r="120" spans="1:20">
      <c r="A120" s="83">
        <v>126</v>
      </c>
      <c r="B120" s="83" t="s">
        <v>84</v>
      </c>
      <c r="C120" s="83" t="s">
        <v>22</v>
      </c>
      <c r="D120" s="84">
        <v>41392</v>
      </c>
      <c r="E120" s="85">
        <f t="shared" si="8"/>
        <v>2013</v>
      </c>
      <c r="F120" s="86">
        <v>20862000000</v>
      </c>
      <c r="G120" s="86">
        <v>17600500000</v>
      </c>
      <c r="H120" s="86">
        <v>2245600000</v>
      </c>
      <c r="I120" s="86">
        <v>0</v>
      </c>
      <c r="J120" s="86">
        <v>127400000</v>
      </c>
      <c r="K120" s="83" t="s">
        <v>25</v>
      </c>
      <c r="L120" s="83" t="s">
        <v>85</v>
      </c>
      <c r="M120" s="91">
        <f t="shared" si="9"/>
        <v>3261500000</v>
      </c>
      <c r="N120" s="86">
        <f t="shared" si="10"/>
        <v>2373000000</v>
      </c>
      <c r="O120" s="86">
        <f t="shared" si="11"/>
        <v>888500000</v>
      </c>
      <c r="P120" s="83">
        <f t="shared" si="6"/>
        <v>4.2589396989742116E-2</v>
      </c>
      <c r="Q120" s="83">
        <f t="shared" si="7"/>
        <v>0.15633688045249738</v>
      </c>
    </row>
    <row r="121" spans="1:20">
      <c r="A121" s="87">
        <v>127</v>
      </c>
      <c r="B121" s="87" t="s">
        <v>84</v>
      </c>
      <c r="C121" s="87" t="s">
        <v>23</v>
      </c>
      <c r="D121" s="84">
        <v>41393</v>
      </c>
      <c r="E121" s="88">
        <f t="shared" si="8"/>
        <v>2013</v>
      </c>
      <c r="F121" s="89">
        <v>21609000000</v>
      </c>
      <c r="G121" s="89">
        <v>18295800000</v>
      </c>
      <c r="H121" s="89">
        <v>2280300000</v>
      </c>
      <c r="I121" s="89">
        <v>0</v>
      </c>
      <c r="J121" s="89">
        <v>143400000</v>
      </c>
      <c r="K121" s="87" t="s">
        <v>25</v>
      </c>
      <c r="L121" s="87" t="s">
        <v>85</v>
      </c>
      <c r="M121" s="90">
        <f t="shared" si="9"/>
        <v>3313200000</v>
      </c>
      <c r="N121" s="89">
        <f t="shared" si="10"/>
        <v>2423700000</v>
      </c>
      <c r="O121" s="89">
        <f t="shared" si="11"/>
        <v>889500000</v>
      </c>
      <c r="P121" s="87">
        <f t="shared" si="6"/>
        <v>4.1163404137165072E-2</v>
      </c>
      <c r="Q121" s="87">
        <f t="shared" si="7"/>
        <v>0.15332500347077604</v>
      </c>
    </row>
    <row r="122" spans="1:20">
      <c r="A122" s="83">
        <v>128</v>
      </c>
      <c r="B122" s="83" t="s">
        <v>86</v>
      </c>
      <c r="C122" s="83" t="s">
        <v>18</v>
      </c>
      <c r="D122" s="84">
        <v>41394</v>
      </c>
      <c r="E122" s="85">
        <f t="shared" si="8"/>
        <v>2013</v>
      </c>
      <c r="F122" s="86">
        <v>61497200000</v>
      </c>
      <c r="G122" s="86">
        <v>48213600000</v>
      </c>
      <c r="H122" s="86">
        <v>8680500000</v>
      </c>
      <c r="I122" s="86">
        <v>0</v>
      </c>
      <c r="J122" s="86">
        <v>233000000</v>
      </c>
      <c r="K122" s="83" t="s">
        <v>31</v>
      </c>
      <c r="L122" s="83" t="s">
        <v>87</v>
      </c>
      <c r="M122" s="91">
        <f t="shared" si="9"/>
        <v>13283600000</v>
      </c>
      <c r="N122" s="86">
        <f t="shared" si="10"/>
        <v>8913500000</v>
      </c>
      <c r="O122" s="86">
        <f t="shared" si="11"/>
        <v>4370100000</v>
      </c>
      <c r="P122" s="83">
        <f t="shared" si="6"/>
        <v>7.1061771918071073E-2</v>
      </c>
      <c r="Q122" s="83">
        <f t="shared" si="7"/>
        <v>0.21600333023292118</v>
      </c>
    </row>
    <row r="123" spans="1:20">
      <c r="A123" s="87">
        <v>129</v>
      </c>
      <c r="B123" s="87" t="s">
        <v>86</v>
      </c>
      <c r="C123" s="87" t="s">
        <v>21</v>
      </c>
      <c r="D123" s="84">
        <v>41395</v>
      </c>
      <c r="E123" s="88">
        <f t="shared" si="8"/>
        <v>2013</v>
      </c>
      <c r="F123" s="89">
        <v>71023500000</v>
      </c>
      <c r="G123" s="89">
        <v>56237100000</v>
      </c>
      <c r="H123" s="89">
        <v>9952900000</v>
      </c>
      <c r="I123" s="89">
        <v>0</v>
      </c>
      <c r="J123" s="89">
        <v>245300000</v>
      </c>
      <c r="K123" s="87" t="s">
        <v>31</v>
      </c>
      <c r="L123" s="87" t="s">
        <v>87</v>
      </c>
      <c r="M123" s="90">
        <f t="shared" si="9"/>
        <v>14786400000</v>
      </c>
      <c r="N123" s="89">
        <f t="shared" si="10"/>
        <v>10198200000</v>
      </c>
      <c r="O123" s="89">
        <f t="shared" si="11"/>
        <v>4588200000</v>
      </c>
      <c r="P123" s="87">
        <f t="shared" si="6"/>
        <v>6.4601153139453846E-2</v>
      </c>
      <c r="Q123" s="87">
        <f t="shared" si="7"/>
        <v>0.20819024689011378</v>
      </c>
    </row>
    <row r="124" spans="1:20">
      <c r="A124" s="83">
        <v>130</v>
      </c>
      <c r="B124" s="83" t="s">
        <v>86</v>
      </c>
      <c r="C124" s="83" t="s">
        <v>22</v>
      </c>
      <c r="D124" s="84">
        <v>41396</v>
      </c>
      <c r="E124" s="85">
        <f t="shared" si="8"/>
        <v>2013</v>
      </c>
      <c r="F124" s="86">
        <v>73874100000</v>
      </c>
      <c r="G124" s="86">
        <v>56854900000</v>
      </c>
      <c r="H124" s="86">
        <v>11748400000</v>
      </c>
      <c r="I124" s="86">
        <v>0</v>
      </c>
      <c r="J124" s="86">
        <v>220900000</v>
      </c>
      <c r="K124" s="83" t="s">
        <v>31</v>
      </c>
      <c r="L124" s="83" t="s">
        <v>87</v>
      </c>
      <c r="M124" s="91">
        <f t="shared" si="9"/>
        <v>17019200000</v>
      </c>
      <c r="N124" s="86">
        <f t="shared" si="10"/>
        <v>11969300000</v>
      </c>
      <c r="O124" s="86">
        <f t="shared" si="11"/>
        <v>5049900000</v>
      </c>
      <c r="P124" s="83">
        <f t="shared" si="6"/>
        <v>6.8358193196262296E-2</v>
      </c>
      <c r="Q124" s="83">
        <f t="shared" si="7"/>
        <v>0.23038114846746016</v>
      </c>
    </row>
    <row r="125" spans="1:20">
      <c r="A125" s="87">
        <v>131</v>
      </c>
      <c r="B125" s="87" t="s">
        <v>86</v>
      </c>
      <c r="C125" s="87" t="s">
        <v>23</v>
      </c>
      <c r="D125" s="84">
        <v>41397</v>
      </c>
      <c r="E125" s="88">
        <f t="shared" si="8"/>
        <v>2013</v>
      </c>
      <c r="F125" s="89">
        <v>79156500000</v>
      </c>
      <c r="G125" s="89">
        <v>61116900000</v>
      </c>
      <c r="H125" s="89">
        <v>12534800000</v>
      </c>
      <c r="I125" s="89">
        <v>0</v>
      </c>
      <c r="J125" s="89">
        <v>230100000</v>
      </c>
      <c r="K125" s="87" t="s">
        <v>31</v>
      </c>
      <c r="L125" s="87" t="s">
        <v>87</v>
      </c>
      <c r="M125" s="90">
        <f t="shared" si="9"/>
        <v>18039600000</v>
      </c>
      <c r="N125" s="89">
        <f t="shared" si="10"/>
        <v>12764900000</v>
      </c>
      <c r="O125" s="89">
        <f t="shared" si="11"/>
        <v>5274700000</v>
      </c>
      <c r="P125" s="87">
        <f t="shared" si="6"/>
        <v>6.6636346983507358E-2</v>
      </c>
      <c r="Q125" s="87">
        <f t="shared" si="7"/>
        <v>0.22789789846696107</v>
      </c>
    </row>
    <row r="126" spans="1:20">
      <c r="A126" s="83">
        <v>136</v>
      </c>
      <c r="B126" s="83" t="s">
        <v>88</v>
      </c>
      <c r="C126" s="83" t="s">
        <v>18</v>
      </c>
      <c r="D126" s="84">
        <v>41398</v>
      </c>
      <c r="E126" s="85">
        <f>YEAR(D126)</f>
        <v>2013</v>
      </c>
      <c r="F126" s="86">
        <v>16428000000</v>
      </c>
      <c r="G126" s="86">
        <v>3079000000</v>
      </c>
      <c r="H126" s="86">
        <v>1333000000</v>
      </c>
      <c r="I126" s="86">
        <v>0</v>
      </c>
      <c r="J126" s="86">
        <v>6881000000</v>
      </c>
      <c r="K126" s="83" t="s">
        <v>89</v>
      </c>
      <c r="L126" s="83" t="s">
        <v>90</v>
      </c>
      <c r="M126" s="91">
        <f t="shared" si="9"/>
        <v>13349000000</v>
      </c>
      <c r="N126" s="86">
        <f t="shared" si="10"/>
        <v>8214000000</v>
      </c>
      <c r="O126" s="86">
        <f t="shared" si="11"/>
        <v>5135000000</v>
      </c>
      <c r="P126" s="83">
        <f t="shared" si="6"/>
        <v>0.31257608960311661</v>
      </c>
      <c r="Q126" s="83">
        <f t="shared" si="7"/>
        <v>0.81257608960311667</v>
      </c>
    </row>
    <row r="127" spans="1:20">
      <c r="A127" s="87">
        <v>137</v>
      </c>
      <c r="B127" s="87" t="s">
        <v>88</v>
      </c>
      <c r="C127" s="87" t="s">
        <v>21</v>
      </c>
      <c r="D127" s="84">
        <v>41399</v>
      </c>
      <c r="E127" s="85">
        <f t="shared" ref="E127:E190" si="12">YEAR(D127)</f>
        <v>2013</v>
      </c>
      <c r="F127" s="89">
        <v>14771000000</v>
      </c>
      <c r="G127" s="89">
        <v>2938000000</v>
      </c>
      <c r="H127" s="89">
        <v>1286000000</v>
      </c>
      <c r="I127" s="89">
        <v>0</v>
      </c>
      <c r="J127" s="89">
        <v>5866000000</v>
      </c>
      <c r="K127" s="87" t="s">
        <v>89</v>
      </c>
      <c r="L127" s="87" t="s">
        <v>90</v>
      </c>
      <c r="M127" s="90">
        <f t="shared" si="9"/>
        <v>11833000000</v>
      </c>
      <c r="N127" s="89">
        <f t="shared" si="10"/>
        <v>7152000000</v>
      </c>
      <c r="O127" s="89">
        <f t="shared" si="11"/>
        <v>4681000000</v>
      </c>
      <c r="P127" s="87">
        <f t="shared" si="6"/>
        <v>0.31690474578566108</v>
      </c>
      <c r="Q127" s="87">
        <f t="shared" si="7"/>
        <v>0.80109674361925398</v>
      </c>
      <c r="T127" s="17"/>
    </row>
    <row r="128" spans="1:20">
      <c r="A128" s="83">
        <v>138</v>
      </c>
      <c r="B128" s="83" t="s">
        <v>88</v>
      </c>
      <c r="C128" s="83" t="s">
        <v>22</v>
      </c>
      <c r="D128" s="84">
        <v>41400</v>
      </c>
      <c r="E128" s="85">
        <f t="shared" si="12"/>
        <v>2013</v>
      </c>
      <c r="F128" s="86">
        <v>12691000000</v>
      </c>
      <c r="G128" s="86">
        <v>2511000000</v>
      </c>
      <c r="H128" s="86">
        <v>1095000000</v>
      </c>
      <c r="I128" s="86">
        <v>0</v>
      </c>
      <c r="J128" s="86">
        <v>9720000000</v>
      </c>
      <c r="K128" s="83" t="s">
        <v>89</v>
      </c>
      <c r="L128" s="83" t="s">
        <v>90</v>
      </c>
      <c r="M128" s="91">
        <f t="shared" si="9"/>
        <v>10180000000</v>
      </c>
      <c r="N128" s="86">
        <f t="shared" si="10"/>
        <v>10815000000</v>
      </c>
      <c r="O128" s="86">
        <f t="shared" si="11"/>
        <v>-635000000</v>
      </c>
      <c r="P128" s="83">
        <f t="shared" si="6"/>
        <v>-5.0035458198723508E-2</v>
      </c>
      <c r="Q128" s="83">
        <f t="shared" si="7"/>
        <v>0.80214325112284302</v>
      </c>
    </row>
    <row r="129" spans="1:17">
      <c r="A129" s="87">
        <v>139</v>
      </c>
      <c r="B129" s="87" t="s">
        <v>88</v>
      </c>
      <c r="C129" s="87" t="s">
        <v>23</v>
      </c>
      <c r="D129" s="84">
        <v>41401</v>
      </c>
      <c r="E129" s="85">
        <f t="shared" si="12"/>
        <v>2013</v>
      </c>
      <c r="F129" s="89">
        <v>6383000000</v>
      </c>
      <c r="G129" s="89">
        <v>2065000000</v>
      </c>
      <c r="H129" s="89">
        <v>791000000</v>
      </c>
      <c r="I129" s="89">
        <v>0</v>
      </c>
      <c r="J129" s="89">
        <v>29372000000</v>
      </c>
      <c r="K129" s="87" t="s">
        <v>89</v>
      </c>
      <c r="L129" s="87" t="s">
        <v>90</v>
      </c>
      <c r="M129" s="90">
        <f t="shared" si="9"/>
        <v>4318000000</v>
      </c>
      <c r="N129" s="89">
        <f t="shared" si="10"/>
        <v>30163000000</v>
      </c>
      <c r="O129" s="89">
        <f t="shared" si="11"/>
        <v>-25845000000</v>
      </c>
      <c r="P129" s="87">
        <f t="shared" si="6"/>
        <v>-4.0490365032116555</v>
      </c>
      <c r="Q129" s="87">
        <f t="shared" si="7"/>
        <v>0.67648441171862761</v>
      </c>
    </row>
    <row r="130" spans="1:17">
      <c r="A130" s="83">
        <v>140</v>
      </c>
      <c r="B130" s="83" t="s">
        <v>91</v>
      </c>
      <c r="C130" s="83" t="s">
        <v>18</v>
      </c>
      <c r="D130" s="84">
        <v>41402</v>
      </c>
      <c r="E130" s="85">
        <f t="shared" si="12"/>
        <v>2013</v>
      </c>
      <c r="F130" s="86">
        <v>14581000000</v>
      </c>
      <c r="G130" s="86">
        <v>2942000000</v>
      </c>
      <c r="H130" s="86">
        <v>2256000000</v>
      </c>
      <c r="I130" s="86">
        <v>0</v>
      </c>
      <c r="J130" s="86">
        <v>3927000000</v>
      </c>
      <c r="K130" s="83" t="s">
        <v>89</v>
      </c>
      <c r="L130" s="83" t="s">
        <v>90</v>
      </c>
      <c r="M130" s="91">
        <f t="shared" si="9"/>
        <v>11639000000</v>
      </c>
      <c r="N130" s="86">
        <f t="shared" si="10"/>
        <v>6183000000</v>
      </c>
      <c r="O130" s="86">
        <f t="shared" si="11"/>
        <v>5456000000</v>
      </c>
      <c r="P130" s="83">
        <f t="shared" ref="P130:P193" si="13">O130/F130</f>
        <v>0.37418558397915097</v>
      </c>
      <c r="Q130" s="83">
        <f t="shared" ref="Q130:Q193" si="14">1-G130/F130</f>
        <v>0.79823057403470266</v>
      </c>
    </row>
    <row r="131" spans="1:17">
      <c r="A131" s="87">
        <v>141</v>
      </c>
      <c r="B131" s="87" t="s">
        <v>91</v>
      </c>
      <c r="C131" s="87" t="s">
        <v>21</v>
      </c>
      <c r="D131" s="84">
        <v>41403</v>
      </c>
      <c r="E131" s="85">
        <f t="shared" si="12"/>
        <v>2013</v>
      </c>
      <c r="F131" s="89">
        <v>18470000000</v>
      </c>
      <c r="G131" s="89">
        <v>3317000000</v>
      </c>
      <c r="H131" s="89">
        <v>2725000000</v>
      </c>
      <c r="I131" s="89">
        <v>0</v>
      </c>
      <c r="J131" s="89">
        <v>4550000000</v>
      </c>
      <c r="K131" s="87" t="s">
        <v>89</v>
      </c>
      <c r="L131" s="87" t="s">
        <v>90</v>
      </c>
      <c r="M131" s="90">
        <f t="shared" ref="M131:M194" si="15">F131-G131</f>
        <v>15153000000</v>
      </c>
      <c r="N131" s="89">
        <f t="shared" ref="N131:N194" si="16">H131+I131+J131</f>
        <v>7275000000</v>
      </c>
      <c r="O131" s="89">
        <f t="shared" ref="O131:O194" si="17">M131-N131</f>
        <v>7878000000</v>
      </c>
      <c r="P131" s="87">
        <f t="shared" si="13"/>
        <v>0.42652950730914996</v>
      </c>
      <c r="Q131" s="87">
        <f t="shared" si="14"/>
        <v>0.8204114780725501</v>
      </c>
    </row>
    <row r="132" spans="1:17">
      <c r="A132" s="83">
        <v>142</v>
      </c>
      <c r="B132" s="83" t="s">
        <v>91</v>
      </c>
      <c r="C132" s="83" t="s">
        <v>22</v>
      </c>
      <c r="D132" s="84">
        <v>41404</v>
      </c>
      <c r="E132" s="85">
        <f t="shared" si="12"/>
        <v>2013</v>
      </c>
      <c r="F132" s="86">
        <v>8698000000</v>
      </c>
      <c r="G132" s="86">
        <v>3185000000</v>
      </c>
      <c r="H132" s="86">
        <v>2000000000</v>
      </c>
      <c r="I132" s="86">
        <v>0</v>
      </c>
      <c r="J132" s="86">
        <v>4603000000</v>
      </c>
      <c r="K132" s="83" t="s">
        <v>89</v>
      </c>
      <c r="L132" s="83" t="s">
        <v>90</v>
      </c>
      <c r="M132" s="91">
        <f t="shared" si="15"/>
        <v>5513000000</v>
      </c>
      <c r="N132" s="86">
        <f t="shared" si="16"/>
        <v>6603000000</v>
      </c>
      <c r="O132" s="86">
        <f t="shared" si="17"/>
        <v>-1090000000</v>
      </c>
      <c r="P132" s="83">
        <f t="shared" si="13"/>
        <v>-0.1253161646355484</v>
      </c>
      <c r="Q132" s="83">
        <f t="shared" si="14"/>
        <v>0.63382386755575992</v>
      </c>
    </row>
    <row r="133" spans="1:17">
      <c r="A133" s="87">
        <v>143</v>
      </c>
      <c r="B133" s="87" t="s">
        <v>91</v>
      </c>
      <c r="C133" s="87" t="s">
        <v>23</v>
      </c>
      <c r="D133" s="84">
        <v>41405</v>
      </c>
      <c r="E133" s="85">
        <f t="shared" si="12"/>
        <v>2013</v>
      </c>
      <c r="F133" s="89">
        <v>7869000000</v>
      </c>
      <c r="G133" s="89">
        <v>2900000000</v>
      </c>
      <c r="H133" s="89">
        <v>2094000000</v>
      </c>
      <c r="I133" s="89">
        <v>0</v>
      </c>
      <c r="J133" s="89">
        <v>4301000000</v>
      </c>
      <c r="K133" s="87" t="s">
        <v>89</v>
      </c>
      <c r="L133" s="87" t="s">
        <v>90</v>
      </c>
      <c r="M133" s="90">
        <f t="shared" si="15"/>
        <v>4969000000</v>
      </c>
      <c r="N133" s="89">
        <f t="shared" si="16"/>
        <v>6395000000</v>
      </c>
      <c r="O133" s="89">
        <f t="shared" si="17"/>
        <v>-1426000000</v>
      </c>
      <c r="P133" s="87">
        <f t="shared" si="13"/>
        <v>-0.18121743550641758</v>
      </c>
      <c r="Q133" s="87">
        <f t="shared" si="14"/>
        <v>0.6314652433600203</v>
      </c>
    </row>
    <row r="134" spans="1:17">
      <c r="A134" s="83">
        <v>144</v>
      </c>
      <c r="B134" s="83" t="s">
        <v>92</v>
      </c>
      <c r="C134" s="83" t="s">
        <v>18</v>
      </c>
      <c r="D134" s="84">
        <v>41406</v>
      </c>
      <c r="E134" s="85">
        <f t="shared" si="12"/>
        <v>2013</v>
      </c>
      <c r="F134" s="86">
        <v>10180400000</v>
      </c>
      <c r="G134" s="86">
        <v>7472100000</v>
      </c>
      <c r="H134" s="86">
        <v>1018600000</v>
      </c>
      <c r="I134" s="86">
        <v>133700000</v>
      </c>
      <c r="J134" s="86">
        <v>0</v>
      </c>
      <c r="K134" s="83" t="s">
        <v>65</v>
      </c>
      <c r="L134" s="83" t="s">
        <v>93</v>
      </c>
      <c r="M134" s="91">
        <f t="shared" si="15"/>
        <v>2708300000</v>
      </c>
      <c r="N134" s="86">
        <f t="shared" si="16"/>
        <v>1152300000</v>
      </c>
      <c r="O134" s="86">
        <f t="shared" si="17"/>
        <v>1556000000</v>
      </c>
      <c r="P134" s="83">
        <f t="shared" si="13"/>
        <v>0.152842717378492</v>
      </c>
      <c r="Q134" s="83">
        <f t="shared" si="14"/>
        <v>0.26603080429059767</v>
      </c>
    </row>
    <row r="135" spans="1:17">
      <c r="A135" s="87">
        <v>145</v>
      </c>
      <c r="B135" s="87" t="s">
        <v>92</v>
      </c>
      <c r="C135" s="87" t="s">
        <v>21</v>
      </c>
      <c r="D135" s="84">
        <v>41407</v>
      </c>
      <c r="E135" s="88">
        <f t="shared" si="12"/>
        <v>2013</v>
      </c>
      <c r="F135" s="89">
        <v>10439000000</v>
      </c>
      <c r="G135" s="89">
        <v>7629900000</v>
      </c>
      <c r="H135" s="89">
        <v>1007400000</v>
      </c>
      <c r="I135" s="89">
        <v>139800000</v>
      </c>
      <c r="J135" s="89">
        <v>0</v>
      </c>
      <c r="K135" s="87" t="s">
        <v>65</v>
      </c>
      <c r="L135" s="87" t="s">
        <v>93</v>
      </c>
      <c r="M135" s="90">
        <f t="shared" si="15"/>
        <v>2809100000</v>
      </c>
      <c r="N135" s="89">
        <f t="shared" si="16"/>
        <v>1147200000</v>
      </c>
      <c r="O135" s="89">
        <f t="shared" si="17"/>
        <v>1661900000</v>
      </c>
      <c r="P135" s="87">
        <f t="shared" si="13"/>
        <v>0.15920107289970303</v>
      </c>
      <c r="Q135" s="87">
        <f t="shared" si="14"/>
        <v>0.26909665676788963</v>
      </c>
    </row>
    <row r="136" spans="1:17">
      <c r="A136" s="83">
        <v>146</v>
      </c>
      <c r="B136" s="83" t="s">
        <v>92</v>
      </c>
      <c r="C136" s="83" t="s">
        <v>22</v>
      </c>
      <c r="D136" s="84">
        <v>41408</v>
      </c>
      <c r="E136" s="85">
        <f t="shared" si="12"/>
        <v>2013</v>
      </c>
      <c r="F136" s="86">
        <v>9894900000</v>
      </c>
      <c r="G136" s="86">
        <v>6939000000</v>
      </c>
      <c r="H136" s="86">
        <v>895300000</v>
      </c>
      <c r="I136" s="86">
        <v>137100000</v>
      </c>
      <c r="J136" s="86">
        <v>0</v>
      </c>
      <c r="K136" s="83" t="s">
        <v>65</v>
      </c>
      <c r="L136" s="83" t="s">
        <v>93</v>
      </c>
      <c r="M136" s="91">
        <f t="shared" si="15"/>
        <v>2955900000</v>
      </c>
      <c r="N136" s="86">
        <f t="shared" si="16"/>
        <v>1032400000</v>
      </c>
      <c r="O136" s="86">
        <f t="shared" si="17"/>
        <v>1923500000</v>
      </c>
      <c r="P136" s="83">
        <f t="shared" si="13"/>
        <v>0.19439307117808163</v>
      </c>
      <c r="Q136" s="83">
        <f t="shared" si="14"/>
        <v>0.29872964860685813</v>
      </c>
    </row>
    <row r="137" spans="1:17">
      <c r="A137" s="87">
        <v>147</v>
      </c>
      <c r="B137" s="87" t="s">
        <v>92</v>
      </c>
      <c r="C137" s="87" t="s">
        <v>23</v>
      </c>
      <c r="D137" s="84">
        <v>41409</v>
      </c>
      <c r="E137" s="88">
        <f t="shared" si="12"/>
        <v>2013</v>
      </c>
      <c r="F137" s="89">
        <v>9524400000</v>
      </c>
      <c r="G137" s="89">
        <v>6402700000</v>
      </c>
      <c r="H137" s="89">
        <v>797600000</v>
      </c>
      <c r="I137" s="89">
        <v>132000000</v>
      </c>
      <c r="J137" s="89">
        <v>0</v>
      </c>
      <c r="K137" s="87" t="s">
        <v>65</v>
      </c>
      <c r="L137" s="87" t="s">
        <v>93</v>
      </c>
      <c r="M137" s="90">
        <f t="shared" si="15"/>
        <v>3121700000</v>
      </c>
      <c r="N137" s="89">
        <f t="shared" si="16"/>
        <v>929600000</v>
      </c>
      <c r="O137" s="89">
        <f t="shared" si="17"/>
        <v>2192100000</v>
      </c>
      <c r="P137" s="87">
        <f t="shared" si="13"/>
        <v>0.23015623031372054</v>
      </c>
      <c r="Q137" s="87">
        <f t="shared" si="14"/>
        <v>0.32775817899290249</v>
      </c>
    </row>
    <row r="138" spans="1:17">
      <c r="A138" s="83">
        <v>148</v>
      </c>
      <c r="B138" s="83" t="s">
        <v>94</v>
      </c>
      <c r="C138" s="83" t="s">
        <v>18</v>
      </c>
      <c r="D138" s="84">
        <v>41410</v>
      </c>
      <c r="E138" s="85">
        <f t="shared" si="12"/>
        <v>2013</v>
      </c>
      <c r="F138" s="86">
        <v>4292100000</v>
      </c>
      <c r="G138" s="86">
        <v>2948900000</v>
      </c>
      <c r="H138" s="86">
        <v>512900000</v>
      </c>
      <c r="I138" s="86">
        <v>0</v>
      </c>
      <c r="J138" s="86">
        <v>0</v>
      </c>
      <c r="K138" s="83" t="s">
        <v>28</v>
      </c>
      <c r="L138" s="83" t="s">
        <v>95</v>
      </c>
      <c r="M138" s="91">
        <f t="shared" si="15"/>
        <v>1343200000</v>
      </c>
      <c r="N138" s="86">
        <f t="shared" si="16"/>
        <v>512900000</v>
      </c>
      <c r="O138" s="86">
        <f t="shared" si="17"/>
        <v>830300000</v>
      </c>
      <c r="P138" s="83">
        <f t="shared" si="13"/>
        <v>0.19344842850818947</v>
      </c>
      <c r="Q138" s="83">
        <f t="shared" si="14"/>
        <v>0.31294704224039516</v>
      </c>
    </row>
    <row r="139" spans="1:17">
      <c r="A139" s="87">
        <v>149</v>
      </c>
      <c r="B139" s="87" t="s">
        <v>94</v>
      </c>
      <c r="C139" s="87" t="s">
        <v>21</v>
      </c>
      <c r="D139" s="84">
        <v>41411</v>
      </c>
      <c r="E139" s="88">
        <f t="shared" si="12"/>
        <v>2013</v>
      </c>
      <c r="F139" s="89">
        <v>4614700000</v>
      </c>
      <c r="G139" s="89">
        <v>3163900000</v>
      </c>
      <c r="H139" s="89">
        <v>548000000</v>
      </c>
      <c r="I139" s="89">
        <v>0</v>
      </c>
      <c r="J139" s="89">
        <v>0</v>
      </c>
      <c r="K139" s="87" t="s">
        <v>28</v>
      </c>
      <c r="L139" s="87" t="s">
        <v>95</v>
      </c>
      <c r="M139" s="90">
        <f t="shared" si="15"/>
        <v>1450800000</v>
      </c>
      <c r="N139" s="89">
        <f t="shared" si="16"/>
        <v>548000000</v>
      </c>
      <c r="O139" s="89">
        <f t="shared" si="17"/>
        <v>902800000</v>
      </c>
      <c r="P139" s="87">
        <f t="shared" si="13"/>
        <v>0.19563568596008407</v>
      </c>
      <c r="Q139" s="87">
        <f t="shared" si="14"/>
        <v>0.31438663401737921</v>
      </c>
    </row>
    <row r="140" spans="1:17">
      <c r="A140" s="83">
        <v>150</v>
      </c>
      <c r="B140" s="83" t="s">
        <v>94</v>
      </c>
      <c r="C140" s="83" t="s">
        <v>22</v>
      </c>
      <c r="D140" s="84">
        <v>41412</v>
      </c>
      <c r="E140" s="85">
        <f t="shared" si="12"/>
        <v>2013</v>
      </c>
      <c r="F140" s="86">
        <v>5345500000</v>
      </c>
      <c r="G140" s="86">
        <v>3651700000</v>
      </c>
      <c r="H140" s="86">
        <v>645100000</v>
      </c>
      <c r="I140" s="86">
        <v>0</v>
      </c>
      <c r="J140" s="86">
        <v>0</v>
      </c>
      <c r="K140" s="83" t="s">
        <v>28</v>
      </c>
      <c r="L140" s="83" t="s">
        <v>95</v>
      </c>
      <c r="M140" s="91">
        <f t="shared" si="15"/>
        <v>1693800000</v>
      </c>
      <c r="N140" s="86">
        <f t="shared" si="16"/>
        <v>645100000</v>
      </c>
      <c r="O140" s="86">
        <f t="shared" si="17"/>
        <v>1048700000</v>
      </c>
      <c r="P140" s="83">
        <f t="shared" si="13"/>
        <v>0.19618370592086801</v>
      </c>
      <c r="Q140" s="83">
        <f t="shared" si="14"/>
        <v>0.31686465251145823</v>
      </c>
    </row>
    <row r="141" spans="1:17">
      <c r="A141" s="87">
        <v>151</v>
      </c>
      <c r="B141" s="87" t="s">
        <v>94</v>
      </c>
      <c r="C141" s="87" t="s">
        <v>23</v>
      </c>
      <c r="D141" s="84">
        <v>41413</v>
      </c>
      <c r="E141" s="88">
        <f t="shared" si="12"/>
        <v>2013</v>
      </c>
      <c r="F141" s="89">
        <v>5568700000</v>
      </c>
      <c r="G141" s="89">
        <v>3789200000</v>
      </c>
      <c r="H141" s="89">
        <v>669100000</v>
      </c>
      <c r="I141" s="89">
        <v>0</v>
      </c>
      <c r="J141" s="89">
        <v>0</v>
      </c>
      <c r="K141" s="87" t="s">
        <v>28</v>
      </c>
      <c r="L141" s="87" t="s">
        <v>95</v>
      </c>
      <c r="M141" s="90">
        <f t="shared" si="15"/>
        <v>1779500000</v>
      </c>
      <c r="N141" s="89">
        <f t="shared" si="16"/>
        <v>669100000</v>
      </c>
      <c r="O141" s="89">
        <f t="shared" si="17"/>
        <v>1110400000</v>
      </c>
      <c r="P141" s="87">
        <f t="shared" si="13"/>
        <v>0.19940021908165281</v>
      </c>
      <c r="Q141" s="87">
        <f t="shared" si="14"/>
        <v>0.31955393538886989</v>
      </c>
    </row>
    <row r="142" spans="1:17">
      <c r="A142" s="83">
        <v>152</v>
      </c>
      <c r="B142" s="83" t="s">
        <v>96</v>
      </c>
      <c r="C142" s="83" t="s">
        <v>18</v>
      </c>
      <c r="D142" s="84">
        <v>41414</v>
      </c>
      <c r="E142" s="85">
        <f t="shared" si="12"/>
        <v>2013</v>
      </c>
      <c r="F142" s="86">
        <v>23700000000</v>
      </c>
      <c r="G142" s="86">
        <v>20401000000</v>
      </c>
      <c r="H142" s="86">
        <v>997000000</v>
      </c>
      <c r="I142" s="86">
        <v>197000000</v>
      </c>
      <c r="J142" s="86">
        <v>1460000000</v>
      </c>
      <c r="K142" s="83" t="s">
        <v>19</v>
      </c>
      <c r="L142" s="83" t="s">
        <v>97</v>
      </c>
      <c r="M142" s="91">
        <f t="shared" si="15"/>
        <v>3299000000</v>
      </c>
      <c r="N142" s="86">
        <f t="shared" si="16"/>
        <v>2654000000</v>
      </c>
      <c r="O142" s="86">
        <f t="shared" si="17"/>
        <v>645000000</v>
      </c>
      <c r="P142" s="83">
        <f t="shared" si="13"/>
        <v>2.7215189873417721E-2</v>
      </c>
      <c r="Q142" s="83">
        <f t="shared" si="14"/>
        <v>0.13919831223628687</v>
      </c>
    </row>
    <row r="143" spans="1:17">
      <c r="A143" s="87">
        <v>153</v>
      </c>
      <c r="B143" s="87" t="s">
        <v>96</v>
      </c>
      <c r="C143" s="87" t="s">
        <v>21</v>
      </c>
      <c r="D143" s="84">
        <v>41415</v>
      </c>
      <c r="E143" s="88">
        <f t="shared" si="12"/>
        <v>2013</v>
      </c>
      <c r="F143" s="89">
        <v>23032000000</v>
      </c>
      <c r="G143" s="89">
        <v>19286000000</v>
      </c>
      <c r="H143" s="89">
        <v>1008000000</v>
      </c>
      <c r="I143" s="89">
        <v>192000000</v>
      </c>
      <c r="J143" s="89">
        <v>1421000000</v>
      </c>
      <c r="K143" s="87" t="s">
        <v>19</v>
      </c>
      <c r="L143" s="87" t="s">
        <v>97</v>
      </c>
      <c r="M143" s="90">
        <f t="shared" si="15"/>
        <v>3746000000</v>
      </c>
      <c r="N143" s="89">
        <f t="shared" si="16"/>
        <v>2621000000</v>
      </c>
      <c r="O143" s="89">
        <f t="shared" si="17"/>
        <v>1125000000</v>
      </c>
      <c r="P143" s="87">
        <f t="shared" si="13"/>
        <v>4.8845085098992706E-2</v>
      </c>
      <c r="Q143" s="87">
        <f t="shared" si="14"/>
        <v>0.16264327891629038</v>
      </c>
    </row>
    <row r="144" spans="1:17">
      <c r="A144" s="83">
        <v>154</v>
      </c>
      <c r="B144" s="83" t="s">
        <v>96</v>
      </c>
      <c r="C144" s="83" t="s">
        <v>22</v>
      </c>
      <c r="D144" s="84">
        <v>41416</v>
      </c>
      <c r="E144" s="85">
        <f t="shared" si="12"/>
        <v>2013</v>
      </c>
      <c r="F144" s="86">
        <v>23906000000</v>
      </c>
      <c r="G144" s="86">
        <v>19137000000</v>
      </c>
      <c r="H144" s="86">
        <v>995000000</v>
      </c>
      <c r="I144" s="86">
        <v>218000000</v>
      </c>
      <c r="J144" s="86">
        <v>1371000000</v>
      </c>
      <c r="K144" s="83" t="s">
        <v>19</v>
      </c>
      <c r="L144" s="83" t="s">
        <v>97</v>
      </c>
      <c r="M144" s="91">
        <f t="shared" si="15"/>
        <v>4769000000</v>
      </c>
      <c r="N144" s="86">
        <f t="shared" si="16"/>
        <v>2584000000</v>
      </c>
      <c r="O144" s="86">
        <f t="shared" si="17"/>
        <v>2185000000</v>
      </c>
      <c r="P144" s="83">
        <f t="shared" si="13"/>
        <v>9.1399648623776461E-2</v>
      </c>
      <c r="Q144" s="83">
        <f t="shared" si="14"/>
        <v>0.1994896678658078</v>
      </c>
    </row>
    <row r="145" spans="1:17">
      <c r="A145" s="87">
        <v>155</v>
      </c>
      <c r="B145" s="87" t="s">
        <v>96</v>
      </c>
      <c r="C145" s="87" t="s">
        <v>23</v>
      </c>
      <c r="D145" s="84">
        <v>41417</v>
      </c>
      <c r="E145" s="88">
        <f t="shared" si="12"/>
        <v>2013</v>
      </c>
      <c r="F145" s="89">
        <v>22534000000</v>
      </c>
      <c r="G145" s="89">
        <v>18069000000</v>
      </c>
      <c r="H145" s="89">
        <v>979000000</v>
      </c>
      <c r="I145" s="89">
        <v>238000000</v>
      </c>
      <c r="J145" s="89">
        <v>1280000000</v>
      </c>
      <c r="K145" s="87" t="s">
        <v>19</v>
      </c>
      <c r="L145" s="87" t="s">
        <v>97</v>
      </c>
      <c r="M145" s="90">
        <f t="shared" si="15"/>
        <v>4465000000</v>
      </c>
      <c r="N145" s="89">
        <f t="shared" si="16"/>
        <v>2497000000</v>
      </c>
      <c r="O145" s="89">
        <f t="shared" si="17"/>
        <v>1968000000</v>
      </c>
      <c r="P145" s="87">
        <f t="shared" si="13"/>
        <v>8.7334694239815394E-2</v>
      </c>
      <c r="Q145" s="87">
        <f t="shared" si="14"/>
        <v>0.19814502529510958</v>
      </c>
    </row>
    <row r="146" spans="1:17">
      <c r="A146" s="83">
        <v>156</v>
      </c>
      <c r="B146" s="83" t="s">
        <v>98</v>
      </c>
      <c r="C146" s="83" t="s">
        <v>18</v>
      </c>
      <c r="D146" s="84">
        <v>41418</v>
      </c>
      <c r="E146" s="85">
        <f t="shared" si="12"/>
        <v>2013</v>
      </c>
      <c r="F146" s="86">
        <v>4856000000</v>
      </c>
      <c r="G146" s="86">
        <v>1662000000</v>
      </c>
      <c r="H146" s="86">
        <v>1139000000</v>
      </c>
      <c r="I146" s="86">
        <v>604000000</v>
      </c>
      <c r="J146" s="86">
        <v>0</v>
      </c>
      <c r="K146" s="83" t="s">
        <v>28</v>
      </c>
      <c r="L146" s="83" t="s">
        <v>99</v>
      </c>
      <c r="M146" s="91">
        <f t="shared" si="15"/>
        <v>3194000000</v>
      </c>
      <c r="N146" s="86">
        <f t="shared" si="16"/>
        <v>1743000000</v>
      </c>
      <c r="O146" s="86">
        <f t="shared" si="17"/>
        <v>1451000000</v>
      </c>
      <c r="P146" s="83">
        <f t="shared" si="13"/>
        <v>0.29880560131795719</v>
      </c>
      <c r="Q146" s="83">
        <f t="shared" si="14"/>
        <v>0.65774299835255357</v>
      </c>
    </row>
    <row r="147" spans="1:17">
      <c r="A147" s="87">
        <v>157</v>
      </c>
      <c r="B147" s="87" t="s">
        <v>98</v>
      </c>
      <c r="C147" s="87" t="s">
        <v>21</v>
      </c>
      <c r="D147" s="84">
        <v>41419</v>
      </c>
      <c r="E147" s="88">
        <f t="shared" si="12"/>
        <v>2013</v>
      </c>
      <c r="F147" s="89">
        <v>4583000000</v>
      </c>
      <c r="G147" s="89">
        <v>1531000000</v>
      </c>
      <c r="H147" s="89">
        <v>1096000000</v>
      </c>
      <c r="I147" s="89">
        <v>584000000</v>
      </c>
      <c r="J147" s="89">
        <v>0</v>
      </c>
      <c r="K147" s="87" t="s">
        <v>28</v>
      </c>
      <c r="L147" s="87" t="s">
        <v>99</v>
      </c>
      <c r="M147" s="90">
        <f t="shared" si="15"/>
        <v>3052000000</v>
      </c>
      <c r="N147" s="89">
        <f t="shared" si="16"/>
        <v>1680000000</v>
      </c>
      <c r="O147" s="89">
        <f t="shared" si="17"/>
        <v>1372000000</v>
      </c>
      <c r="P147" s="87">
        <f t="shared" si="13"/>
        <v>0.29936722670739691</v>
      </c>
      <c r="Q147" s="87">
        <f t="shared" si="14"/>
        <v>0.66593934104298502</v>
      </c>
    </row>
    <row r="148" spans="1:17">
      <c r="A148" s="83">
        <v>158</v>
      </c>
      <c r="B148" s="83" t="s">
        <v>98</v>
      </c>
      <c r="C148" s="83" t="s">
        <v>22</v>
      </c>
      <c r="D148" s="84">
        <v>41420</v>
      </c>
      <c r="E148" s="85">
        <f t="shared" si="12"/>
        <v>2013</v>
      </c>
      <c r="F148" s="86">
        <v>4408000000</v>
      </c>
      <c r="G148" s="86">
        <v>1525000000</v>
      </c>
      <c r="H148" s="86">
        <v>1129000000</v>
      </c>
      <c r="I148" s="86">
        <v>571000000</v>
      </c>
      <c r="J148" s="86">
        <v>0</v>
      </c>
      <c r="K148" s="83" t="s">
        <v>28</v>
      </c>
      <c r="L148" s="83" t="s">
        <v>99</v>
      </c>
      <c r="M148" s="91">
        <f t="shared" si="15"/>
        <v>2883000000</v>
      </c>
      <c r="N148" s="86">
        <f t="shared" si="16"/>
        <v>1700000000</v>
      </c>
      <c r="O148" s="86">
        <f t="shared" si="17"/>
        <v>1183000000</v>
      </c>
      <c r="P148" s="83">
        <f t="shared" si="13"/>
        <v>0.26837568058076228</v>
      </c>
      <c r="Q148" s="83">
        <f t="shared" si="14"/>
        <v>0.65403811252268595</v>
      </c>
    </row>
    <row r="149" spans="1:17">
      <c r="A149" s="87">
        <v>159</v>
      </c>
      <c r="B149" s="87" t="s">
        <v>98</v>
      </c>
      <c r="C149" s="87" t="s">
        <v>23</v>
      </c>
      <c r="D149" s="84">
        <v>41421</v>
      </c>
      <c r="E149" s="88">
        <f t="shared" si="12"/>
        <v>2013</v>
      </c>
      <c r="F149" s="89">
        <v>4664000000</v>
      </c>
      <c r="G149" s="89">
        <v>1585000000</v>
      </c>
      <c r="H149" s="89">
        <v>1114000000</v>
      </c>
      <c r="I149" s="89">
        <v>646000000</v>
      </c>
      <c r="J149" s="89">
        <v>0</v>
      </c>
      <c r="K149" s="87" t="s">
        <v>28</v>
      </c>
      <c r="L149" s="87" t="s">
        <v>99</v>
      </c>
      <c r="M149" s="90">
        <f t="shared" si="15"/>
        <v>3079000000</v>
      </c>
      <c r="N149" s="89">
        <f t="shared" si="16"/>
        <v>1760000000</v>
      </c>
      <c r="O149" s="89">
        <f t="shared" si="17"/>
        <v>1319000000</v>
      </c>
      <c r="P149" s="87">
        <f t="shared" si="13"/>
        <v>0.28280445969125212</v>
      </c>
      <c r="Q149" s="87">
        <f t="shared" si="14"/>
        <v>0.66016295025728988</v>
      </c>
    </row>
    <row r="150" spans="1:17">
      <c r="A150" s="83">
        <v>164</v>
      </c>
      <c r="B150" s="83" t="s">
        <v>100</v>
      </c>
      <c r="C150" s="83" t="s">
        <v>18</v>
      </c>
      <c r="D150" s="84">
        <v>41422</v>
      </c>
      <c r="E150" s="85">
        <f t="shared" si="12"/>
        <v>2013</v>
      </c>
      <c r="F150" s="86">
        <v>6824000000</v>
      </c>
      <c r="G150" s="86">
        <v>3271000000</v>
      </c>
      <c r="H150" s="86">
        <v>486000000</v>
      </c>
      <c r="I150" s="86">
        <v>1049000000</v>
      </c>
      <c r="J150" s="86">
        <v>249000000</v>
      </c>
      <c r="K150" s="83" t="s">
        <v>28</v>
      </c>
      <c r="L150" s="83" t="s">
        <v>40</v>
      </c>
      <c r="M150" s="91">
        <f t="shared" si="15"/>
        <v>3553000000</v>
      </c>
      <c r="N150" s="86">
        <f t="shared" si="16"/>
        <v>1784000000</v>
      </c>
      <c r="O150" s="86">
        <f t="shared" si="17"/>
        <v>1769000000</v>
      </c>
      <c r="P150" s="83">
        <f t="shared" si="13"/>
        <v>0.25923212192262601</v>
      </c>
      <c r="Q150" s="83">
        <f t="shared" si="14"/>
        <v>0.52066236811254396</v>
      </c>
    </row>
    <row r="151" spans="1:17">
      <c r="A151" s="87">
        <v>165</v>
      </c>
      <c r="B151" s="87" t="s">
        <v>100</v>
      </c>
      <c r="C151" s="87" t="s">
        <v>21</v>
      </c>
      <c r="D151" s="84">
        <v>41423</v>
      </c>
      <c r="E151" s="88">
        <f t="shared" si="12"/>
        <v>2013</v>
      </c>
      <c r="F151" s="89">
        <v>13240000000</v>
      </c>
      <c r="G151" s="89">
        <v>7300000000</v>
      </c>
      <c r="H151" s="89">
        <v>806000000</v>
      </c>
      <c r="I151" s="89">
        <v>2674000000</v>
      </c>
      <c r="J151" s="89">
        <v>1873000000</v>
      </c>
      <c r="K151" s="87" t="s">
        <v>28</v>
      </c>
      <c r="L151" s="87" t="s">
        <v>40</v>
      </c>
      <c r="M151" s="90">
        <f t="shared" si="15"/>
        <v>5940000000</v>
      </c>
      <c r="N151" s="89">
        <f t="shared" si="16"/>
        <v>5353000000</v>
      </c>
      <c r="O151" s="89">
        <f t="shared" si="17"/>
        <v>587000000</v>
      </c>
      <c r="P151" s="87">
        <f t="shared" si="13"/>
        <v>4.4335347432024171E-2</v>
      </c>
      <c r="Q151" s="87">
        <f t="shared" si="14"/>
        <v>0.44864048338368578</v>
      </c>
    </row>
    <row r="152" spans="1:17">
      <c r="A152" s="83">
        <v>166</v>
      </c>
      <c r="B152" s="83" t="s">
        <v>101</v>
      </c>
      <c r="C152" s="83" t="s">
        <v>18</v>
      </c>
      <c r="D152" s="84">
        <v>41424</v>
      </c>
      <c r="E152" s="85">
        <f t="shared" si="12"/>
        <v>2013</v>
      </c>
      <c r="F152" s="86">
        <v>5863500000</v>
      </c>
      <c r="G152" s="86">
        <v>4335300000</v>
      </c>
      <c r="H152" s="86">
        <v>1148900000</v>
      </c>
      <c r="I152" s="86">
        <v>0</v>
      </c>
      <c r="J152" s="86">
        <v>0</v>
      </c>
      <c r="K152" s="83" t="s">
        <v>65</v>
      </c>
      <c r="L152" s="83" t="s">
        <v>102</v>
      </c>
      <c r="M152" s="91">
        <f t="shared" si="15"/>
        <v>1528200000</v>
      </c>
      <c r="N152" s="86">
        <f t="shared" si="16"/>
        <v>1148900000</v>
      </c>
      <c r="O152" s="86">
        <f t="shared" si="17"/>
        <v>379300000</v>
      </c>
      <c r="P152" s="83">
        <f t="shared" si="13"/>
        <v>6.4688326085102749E-2</v>
      </c>
      <c r="Q152" s="83">
        <f t="shared" si="14"/>
        <v>0.26062931696085956</v>
      </c>
    </row>
    <row r="153" spans="1:17">
      <c r="A153" s="87">
        <v>167</v>
      </c>
      <c r="B153" s="87" t="s">
        <v>101</v>
      </c>
      <c r="C153" s="87" t="s">
        <v>21</v>
      </c>
      <c r="D153" s="84">
        <v>41425</v>
      </c>
      <c r="E153" s="88">
        <f t="shared" si="12"/>
        <v>2013</v>
      </c>
      <c r="F153" s="89">
        <v>6140000000</v>
      </c>
      <c r="G153" s="89">
        <v>4502300000</v>
      </c>
      <c r="H153" s="89">
        <v>1174200000</v>
      </c>
      <c r="I153" s="89">
        <v>0</v>
      </c>
      <c r="J153" s="89">
        <v>0</v>
      </c>
      <c r="K153" s="87" t="s">
        <v>65</v>
      </c>
      <c r="L153" s="87" t="s">
        <v>102</v>
      </c>
      <c r="M153" s="90">
        <f t="shared" si="15"/>
        <v>1637700000</v>
      </c>
      <c r="N153" s="89">
        <f t="shared" si="16"/>
        <v>1174200000</v>
      </c>
      <c r="O153" s="89">
        <f t="shared" si="17"/>
        <v>463500000</v>
      </c>
      <c r="P153" s="87">
        <f t="shared" si="13"/>
        <v>7.5488599348534205E-2</v>
      </c>
      <c r="Q153" s="87">
        <f t="shared" si="14"/>
        <v>0.26672638436482088</v>
      </c>
    </row>
    <row r="154" spans="1:17">
      <c r="A154" s="83">
        <v>168</v>
      </c>
      <c r="B154" s="83" t="s">
        <v>101</v>
      </c>
      <c r="C154" s="83" t="s">
        <v>22</v>
      </c>
      <c r="D154" s="84">
        <v>41426</v>
      </c>
      <c r="E154" s="85">
        <f t="shared" si="12"/>
        <v>2013</v>
      </c>
      <c r="F154" s="86">
        <v>6330300000</v>
      </c>
      <c r="G154" s="86">
        <v>4679100000</v>
      </c>
      <c r="H154" s="86">
        <v>1158900000</v>
      </c>
      <c r="I154" s="86">
        <v>0</v>
      </c>
      <c r="J154" s="86">
        <v>0</v>
      </c>
      <c r="K154" s="83" t="s">
        <v>65</v>
      </c>
      <c r="L154" s="83" t="s">
        <v>102</v>
      </c>
      <c r="M154" s="91">
        <f t="shared" si="15"/>
        <v>1651200000</v>
      </c>
      <c r="N154" s="86">
        <f t="shared" si="16"/>
        <v>1158900000</v>
      </c>
      <c r="O154" s="86">
        <f t="shared" si="17"/>
        <v>492300000</v>
      </c>
      <c r="P154" s="83">
        <f t="shared" si="13"/>
        <v>7.7768826121984741E-2</v>
      </c>
      <c r="Q154" s="83">
        <f t="shared" si="14"/>
        <v>0.26084071844936263</v>
      </c>
    </row>
    <row r="155" spans="1:17">
      <c r="A155" s="87">
        <v>169</v>
      </c>
      <c r="B155" s="87" t="s">
        <v>101</v>
      </c>
      <c r="C155" s="87" t="s">
        <v>23</v>
      </c>
      <c r="D155" s="84">
        <v>41427</v>
      </c>
      <c r="E155" s="88">
        <f t="shared" si="12"/>
        <v>2013</v>
      </c>
      <c r="F155" s="89">
        <v>5966900000</v>
      </c>
      <c r="G155" s="89">
        <v>4321100000</v>
      </c>
      <c r="H155" s="89">
        <v>1108100000</v>
      </c>
      <c r="I155" s="89">
        <v>0</v>
      </c>
      <c r="J155" s="89">
        <v>0</v>
      </c>
      <c r="K155" s="87" t="s">
        <v>65</v>
      </c>
      <c r="L155" s="87" t="s">
        <v>102</v>
      </c>
      <c r="M155" s="90">
        <f t="shared" si="15"/>
        <v>1645800000</v>
      </c>
      <c r="N155" s="89">
        <f t="shared" si="16"/>
        <v>1108100000</v>
      </c>
      <c r="O155" s="89">
        <f t="shared" si="17"/>
        <v>537700000</v>
      </c>
      <c r="P155" s="87">
        <f t="shared" si="13"/>
        <v>9.0113794432619951E-2</v>
      </c>
      <c r="Q155" s="87">
        <f t="shared" si="14"/>
        <v>0.27582161591446142</v>
      </c>
    </row>
    <row r="156" spans="1:17">
      <c r="A156" s="83">
        <v>170</v>
      </c>
      <c r="B156" s="83" t="s">
        <v>103</v>
      </c>
      <c r="C156" s="83" t="s">
        <v>18</v>
      </c>
      <c r="D156" s="84">
        <v>41428</v>
      </c>
      <c r="E156" s="85">
        <f t="shared" si="12"/>
        <v>2013</v>
      </c>
      <c r="F156" s="86">
        <v>2853926000</v>
      </c>
      <c r="G156" s="86">
        <v>1329500000</v>
      </c>
      <c r="H156" s="86">
        <v>220758000</v>
      </c>
      <c r="I156" s="86">
        <v>0</v>
      </c>
      <c r="J156" s="86">
        <v>380402000</v>
      </c>
      <c r="K156" s="83" t="s">
        <v>48</v>
      </c>
      <c r="L156" s="83" t="s">
        <v>104</v>
      </c>
      <c r="M156" s="91">
        <f t="shared" si="15"/>
        <v>1524426000</v>
      </c>
      <c r="N156" s="86">
        <f t="shared" si="16"/>
        <v>601160000</v>
      </c>
      <c r="O156" s="86">
        <f t="shared" si="17"/>
        <v>923266000</v>
      </c>
      <c r="P156" s="83">
        <f t="shared" si="13"/>
        <v>0.32350733691062766</v>
      </c>
      <c r="Q156" s="83">
        <f t="shared" si="14"/>
        <v>0.53415050004800402</v>
      </c>
    </row>
    <row r="157" spans="1:17">
      <c r="A157" s="87">
        <v>171</v>
      </c>
      <c r="B157" s="87" t="s">
        <v>103</v>
      </c>
      <c r="C157" s="87" t="s">
        <v>21</v>
      </c>
      <c r="D157" s="84">
        <v>41429</v>
      </c>
      <c r="E157" s="88">
        <f t="shared" si="12"/>
        <v>2013</v>
      </c>
      <c r="F157" s="89">
        <v>2879000000</v>
      </c>
      <c r="G157" s="89">
        <v>1289000000</v>
      </c>
      <c r="H157" s="89">
        <v>234000000</v>
      </c>
      <c r="I157" s="89">
        <v>0</v>
      </c>
      <c r="J157" s="89">
        <v>407000000</v>
      </c>
      <c r="K157" s="87" t="s">
        <v>48</v>
      </c>
      <c r="L157" s="87" t="s">
        <v>104</v>
      </c>
      <c r="M157" s="90">
        <f t="shared" si="15"/>
        <v>1590000000</v>
      </c>
      <c r="N157" s="89">
        <f t="shared" si="16"/>
        <v>641000000</v>
      </c>
      <c r="O157" s="89">
        <f t="shared" si="17"/>
        <v>949000000</v>
      </c>
      <c r="P157" s="87">
        <f t="shared" si="13"/>
        <v>0.32962834317471346</v>
      </c>
      <c r="Q157" s="87">
        <f t="shared" si="14"/>
        <v>0.55227509551927745</v>
      </c>
    </row>
    <row r="158" spans="1:17">
      <c r="A158" s="83">
        <v>172</v>
      </c>
      <c r="B158" s="83" t="s">
        <v>103</v>
      </c>
      <c r="C158" s="83" t="s">
        <v>22</v>
      </c>
      <c r="D158" s="84">
        <v>41430</v>
      </c>
      <c r="E158" s="85">
        <f t="shared" si="12"/>
        <v>2013</v>
      </c>
      <c r="F158" s="86">
        <v>3011000000</v>
      </c>
      <c r="G158" s="86">
        <v>1350000000</v>
      </c>
      <c r="H158" s="86">
        <v>236000000</v>
      </c>
      <c r="I158" s="86">
        <v>0</v>
      </c>
      <c r="J158" s="86">
        <v>424000000</v>
      </c>
      <c r="K158" s="83" t="s">
        <v>48</v>
      </c>
      <c r="L158" s="83" t="s">
        <v>104</v>
      </c>
      <c r="M158" s="91">
        <f t="shared" si="15"/>
        <v>1661000000</v>
      </c>
      <c r="N158" s="86">
        <f t="shared" si="16"/>
        <v>660000000</v>
      </c>
      <c r="O158" s="86">
        <f t="shared" si="17"/>
        <v>1001000000</v>
      </c>
      <c r="P158" s="83">
        <f t="shared" si="13"/>
        <v>0.33244769179674527</v>
      </c>
      <c r="Q158" s="83">
        <f t="shared" si="14"/>
        <v>0.55164397210229166</v>
      </c>
    </row>
    <row r="159" spans="1:17">
      <c r="A159" s="87">
        <v>173</v>
      </c>
      <c r="B159" s="87" t="s">
        <v>103</v>
      </c>
      <c r="C159" s="87" t="s">
        <v>23</v>
      </c>
      <c r="D159" s="84">
        <v>41431</v>
      </c>
      <c r="E159" s="88">
        <f t="shared" si="12"/>
        <v>2013</v>
      </c>
      <c r="F159" s="89">
        <v>3159000000</v>
      </c>
      <c r="G159" s="89">
        <v>1404000000</v>
      </c>
      <c r="H159" s="89">
        <v>243000000</v>
      </c>
      <c r="I159" s="89">
        <v>0</v>
      </c>
      <c r="J159" s="89">
        <v>440000000</v>
      </c>
      <c r="K159" s="87" t="s">
        <v>48</v>
      </c>
      <c r="L159" s="87" t="s">
        <v>104</v>
      </c>
      <c r="M159" s="90">
        <f t="shared" si="15"/>
        <v>1755000000</v>
      </c>
      <c r="N159" s="89">
        <f t="shared" si="16"/>
        <v>683000000</v>
      </c>
      <c r="O159" s="89">
        <f t="shared" si="17"/>
        <v>1072000000</v>
      </c>
      <c r="P159" s="87">
        <f t="shared" si="13"/>
        <v>0.33934789490345046</v>
      </c>
      <c r="Q159" s="87">
        <f t="shared" si="14"/>
        <v>0.55555555555555558</v>
      </c>
    </row>
    <row r="160" spans="1:17">
      <c r="A160" s="83">
        <v>174</v>
      </c>
      <c r="B160" s="83" t="s">
        <v>105</v>
      </c>
      <c r="C160" s="83" t="s">
        <v>18</v>
      </c>
      <c r="D160" s="84">
        <v>41432</v>
      </c>
      <c r="E160" s="85">
        <f t="shared" si="12"/>
        <v>2013</v>
      </c>
      <c r="F160" s="86">
        <v>33781000000</v>
      </c>
      <c r="G160" s="86">
        <v>480000000</v>
      </c>
      <c r="H160" s="86">
        <v>23392000000</v>
      </c>
      <c r="I160" s="86">
        <v>0</v>
      </c>
      <c r="J160" s="86">
        <v>1712000000</v>
      </c>
      <c r="K160" s="83" t="s">
        <v>53</v>
      </c>
      <c r="L160" s="83" t="s">
        <v>106</v>
      </c>
      <c r="M160" s="91">
        <f t="shared" si="15"/>
        <v>33301000000</v>
      </c>
      <c r="N160" s="86">
        <f t="shared" si="16"/>
        <v>25104000000</v>
      </c>
      <c r="O160" s="86">
        <f t="shared" si="17"/>
        <v>8197000000</v>
      </c>
      <c r="P160" s="83">
        <f t="shared" si="13"/>
        <v>0.24265119445842337</v>
      </c>
      <c r="Q160" s="83">
        <f t="shared" si="14"/>
        <v>0.98579082916432315</v>
      </c>
    </row>
    <row r="161" spans="1:17">
      <c r="A161" s="87">
        <v>175</v>
      </c>
      <c r="B161" s="87" t="s">
        <v>105</v>
      </c>
      <c r="C161" s="87" t="s">
        <v>21</v>
      </c>
      <c r="D161" s="84">
        <v>41433</v>
      </c>
      <c r="E161" s="88">
        <f t="shared" si="12"/>
        <v>2013</v>
      </c>
      <c r="F161" s="89">
        <v>34828000000</v>
      </c>
      <c r="G161" s="89">
        <v>442000000</v>
      </c>
      <c r="H161" s="89">
        <v>23150000000</v>
      </c>
      <c r="I161" s="89">
        <v>0</v>
      </c>
      <c r="J161" s="89">
        <v>1832000000</v>
      </c>
      <c r="K161" s="87" t="s">
        <v>53</v>
      </c>
      <c r="L161" s="87" t="s">
        <v>106</v>
      </c>
      <c r="M161" s="90">
        <f t="shared" si="15"/>
        <v>34386000000</v>
      </c>
      <c r="N161" s="89">
        <f t="shared" si="16"/>
        <v>24982000000</v>
      </c>
      <c r="O161" s="89">
        <f t="shared" si="17"/>
        <v>9404000000</v>
      </c>
      <c r="P161" s="87">
        <f t="shared" si="13"/>
        <v>0.27001263351326521</v>
      </c>
      <c r="Q161" s="87">
        <f t="shared" si="14"/>
        <v>0.98730906167451471</v>
      </c>
    </row>
    <row r="162" spans="1:17">
      <c r="A162" s="83">
        <v>176</v>
      </c>
      <c r="B162" s="83" t="s">
        <v>105</v>
      </c>
      <c r="C162" s="83" t="s">
        <v>22</v>
      </c>
      <c r="D162" s="84">
        <v>41434</v>
      </c>
      <c r="E162" s="85">
        <f t="shared" si="12"/>
        <v>2013</v>
      </c>
      <c r="F162" s="86">
        <v>35895000000</v>
      </c>
      <c r="G162" s="86">
        <v>373000000</v>
      </c>
      <c r="H162" s="86">
        <v>23153000000</v>
      </c>
      <c r="I162" s="86">
        <v>0</v>
      </c>
      <c r="J162" s="86">
        <v>2044000000</v>
      </c>
      <c r="K162" s="83" t="s">
        <v>53</v>
      </c>
      <c r="L162" s="83" t="s">
        <v>106</v>
      </c>
      <c r="M162" s="91">
        <f t="shared" si="15"/>
        <v>35522000000</v>
      </c>
      <c r="N162" s="86">
        <f t="shared" si="16"/>
        <v>25197000000</v>
      </c>
      <c r="O162" s="86">
        <f t="shared" si="17"/>
        <v>10325000000</v>
      </c>
      <c r="P162" s="83">
        <f t="shared" si="13"/>
        <v>0.28764451873519986</v>
      </c>
      <c r="Q162" s="83">
        <f t="shared" si="14"/>
        <v>0.98960858058225376</v>
      </c>
    </row>
    <row r="163" spans="1:17">
      <c r="A163" s="87">
        <v>177</v>
      </c>
      <c r="B163" s="87" t="s">
        <v>105</v>
      </c>
      <c r="C163" s="87" t="s">
        <v>23</v>
      </c>
      <c r="D163" s="84">
        <v>41435</v>
      </c>
      <c r="E163" s="88">
        <f t="shared" si="12"/>
        <v>2013</v>
      </c>
      <c r="F163" s="89">
        <v>34441000000</v>
      </c>
      <c r="G163" s="89">
        <v>475000000</v>
      </c>
      <c r="H163" s="89">
        <v>22892000000</v>
      </c>
      <c r="I163" s="89">
        <v>0</v>
      </c>
      <c r="J163" s="89">
        <v>1988000000</v>
      </c>
      <c r="K163" s="87" t="s">
        <v>53</v>
      </c>
      <c r="L163" s="87" t="s">
        <v>106</v>
      </c>
      <c r="M163" s="90">
        <f t="shared" si="15"/>
        <v>33966000000</v>
      </c>
      <c r="N163" s="89">
        <f t="shared" si="16"/>
        <v>24880000000</v>
      </c>
      <c r="O163" s="89">
        <f t="shared" si="17"/>
        <v>9086000000</v>
      </c>
      <c r="P163" s="87">
        <f t="shared" si="13"/>
        <v>0.26381347812200573</v>
      </c>
      <c r="Q163" s="87">
        <f t="shared" si="14"/>
        <v>0.98620829824917977</v>
      </c>
    </row>
    <row r="164" spans="1:17">
      <c r="A164" s="83">
        <v>178</v>
      </c>
      <c r="B164" s="83" t="s">
        <v>107</v>
      </c>
      <c r="C164" s="83" t="s">
        <v>18</v>
      </c>
      <c r="D164" s="84">
        <v>41436</v>
      </c>
      <c r="E164" s="85">
        <f t="shared" si="12"/>
        <v>2013</v>
      </c>
      <c r="F164" s="86">
        <v>2089100000</v>
      </c>
      <c r="G164" s="86">
        <v>1251500000</v>
      </c>
      <c r="H164" s="86">
        <v>607600000</v>
      </c>
      <c r="I164" s="86">
        <v>0</v>
      </c>
      <c r="J164" s="86">
        <v>0</v>
      </c>
      <c r="K164" s="83" t="s">
        <v>19</v>
      </c>
      <c r="L164" s="83" t="s">
        <v>76</v>
      </c>
      <c r="M164" s="91">
        <f t="shared" si="15"/>
        <v>837600000</v>
      </c>
      <c r="N164" s="86">
        <f t="shared" si="16"/>
        <v>607600000</v>
      </c>
      <c r="O164" s="86">
        <f t="shared" si="17"/>
        <v>230000000</v>
      </c>
      <c r="P164" s="83">
        <f t="shared" si="13"/>
        <v>0.11009525633047725</v>
      </c>
      <c r="Q164" s="83">
        <f t="shared" si="14"/>
        <v>0.40093820305394667</v>
      </c>
    </row>
    <row r="165" spans="1:17">
      <c r="A165" s="87">
        <v>179</v>
      </c>
      <c r="B165" s="87" t="s">
        <v>107</v>
      </c>
      <c r="C165" s="87" t="s">
        <v>21</v>
      </c>
      <c r="D165" s="84">
        <v>41437</v>
      </c>
      <c r="E165" s="88">
        <f t="shared" si="12"/>
        <v>2013</v>
      </c>
      <c r="F165" s="89">
        <v>2393500000</v>
      </c>
      <c r="G165" s="89">
        <v>1414300000</v>
      </c>
      <c r="H165" s="89">
        <v>680300000</v>
      </c>
      <c r="I165" s="89">
        <v>0</v>
      </c>
      <c r="J165" s="89">
        <v>0</v>
      </c>
      <c r="K165" s="87" t="s">
        <v>19</v>
      </c>
      <c r="L165" s="87" t="s">
        <v>76</v>
      </c>
      <c r="M165" s="90">
        <f t="shared" si="15"/>
        <v>979200000</v>
      </c>
      <c r="N165" s="89">
        <f t="shared" si="16"/>
        <v>680300000</v>
      </c>
      <c r="O165" s="89">
        <f t="shared" si="17"/>
        <v>298900000</v>
      </c>
      <c r="P165" s="87">
        <f t="shared" si="13"/>
        <v>0.12487988301650303</v>
      </c>
      <c r="Q165" s="87">
        <f t="shared" si="14"/>
        <v>0.4091080008355964</v>
      </c>
    </row>
    <row r="166" spans="1:17">
      <c r="A166" s="83">
        <v>180</v>
      </c>
      <c r="B166" s="83" t="s">
        <v>107</v>
      </c>
      <c r="C166" s="83" t="s">
        <v>22</v>
      </c>
      <c r="D166" s="84">
        <v>41438</v>
      </c>
      <c r="E166" s="85">
        <f t="shared" si="12"/>
        <v>2013</v>
      </c>
      <c r="F166" s="86">
        <v>2706700000</v>
      </c>
      <c r="G166" s="86">
        <v>1561100000</v>
      </c>
      <c r="H166" s="86">
        <v>756900000</v>
      </c>
      <c r="I166" s="86">
        <v>0</v>
      </c>
      <c r="J166" s="86">
        <v>0</v>
      </c>
      <c r="K166" s="83" t="s">
        <v>19</v>
      </c>
      <c r="L166" s="83" t="s">
        <v>76</v>
      </c>
      <c r="M166" s="91">
        <f t="shared" si="15"/>
        <v>1145600000</v>
      </c>
      <c r="N166" s="86">
        <f t="shared" si="16"/>
        <v>756900000</v>
      </c>
      <c r="O166" s="86">
        <f t="shared" si="17"/>
        <v>388700000</v>
      </c>
      <c r="P166" s="83">
        <f t="shared" si="13"/>
        <v>0.14360660582997747</v>
      </c>
      <c r="Q166" s="83">
        <f t="shared" si="14"/>
        <v>0.42324601913769533</v>
      </c>
    </row>
    <row r="167" spans="1:17">
      <c r="A167" s="87">
        <v>181</v>
      </c>
      <c r="B167" s="87" t="s">
        <v>107</v>
      </c>
      <c r="C167" s="87" t="s">
        <v>23</v>
      </c>
      <c r="D167" s="84">
        <v>41439</v>
      </c>
      <c r="E167" s="88">
        <f t="shared" si="12"/>
        <v>2013</v>
      </c>
      <c r="F167" s="89">
        <v>3291300000</v>
      </c>
      <c r="G167" s="89">
        <v>1855100000</v>
      </c>
      <c r="H167" s="89">
        <v>946000000</v>
      </c>
      <c r="I167" s="89">
        <v>0</v>
      </c>
      <c r="J167" s="89">
        <v>0</v>
      </c>
      <c r="K167" s="87" t="s">
        <v>19</v>
      </c>
      <c r="L167" s="87" t="s">
        <v>76</v>
      </c>
      <c r="M167" s="90">
        <f t="shared" si="15"/>
        <v>1436200000</v>
      </c>
      <c r="N167" s="89">
        <f t="shared" si="16"/>
        <v>946000000</v>
      </c>
      <c r="O167" s="89">
        <f t="shared" si="17"/>
        <v>490200000</v>
      </c>
      <c r="P167" s="87">
        <f t="shared" si="13"/>
        <v>0.14893810956157141</v>
      </c>
      <c r="Q167" s="87">
        <f t="shared" si="14"/>
        <v>0.43636253152249871</v>
      </c>
    </row>
    <row r="168" spans="1:17">
      <c r="A168" s="83">
        <v>182</v>
      </c>
      <c r="B168" s="83" t="s">
        <v>108</v>
      </c>
      <c r="C168" s="83" t="s">
        <v>18</v>
      </c>
      <c r="D168" s="84">
        <v>41440</v>
      </c>
      <c r="E168" s="85">
        <f t="shared" si="12"/>
        <v>2013</v>
      </c>
      <c r="F168" s="86">
        <v>9147530000</v>
      </c>
      <c r="G168" s="86">
        <v>4406595000</v>
      </c>
      <c r="H168" s="86">
        <v>2967837000</v>
      </c>
      <c r="I168" s="86">
        <v>0</v>
      </c>
      <c r="J168" s="86">
        <v>0</v>
      </c>
      <c r="K168" s="83" t="s">
        <v>25</v>
      </c>
      <c r="L168" s="83" t="s">
        <v>85</v>
      </c>
      <c r="M168" s="91">
        <f t="shared" si="15"/>
        <v>4740935000</v>
      </c>
      <c r="N168" s="86">
        <f t="shared" si="16"/>
        <v>2967837000</v>
      </c>
      <c r="O168" s="86">
        <f t="shared" si="17"/>
        <v>1773098000</v>
      </c>
      <c r="P168" s="83">
        <f t="shared" si="13"/>
        <v>0.19383352664599077</v>
      </c>
      <c r="Q168" s="83">
        <f t="shared" si="14"/>
        <v>0.51827487857377896</v>
      </c>
    </row>
    <row r="169" spans="1:17">
      <c r="A169" s="87">
        <v>183</v>
      </c>
      <c r="B169" s="87" t="s">
        <v>108</v>
      </c>
      <c r="C169" s="87" t="s">
        <v>21</v>
      </c>
      <c r="D169" s="84">
        <v>41441</v>
      </c>
      <c r="E169" s="88">
        <f t="shared" si="12"/>
        <v>2013</v>
      </c>
      <c r="F169" s="89">
        <v>9475313000</v>
      </c>
      <c r="G169" s="89">
        <v>4540406000</v>
      </c>
      <c r="H169" s="89">
        <v>3104684000</v>
      </c>
      <c r="I169" s="89">
        <v>0</v>
      </c>
      <c r="J169" s="89">
        <v>0</v>
      </c>
      <c r="K169" s="87" t="s">
        <v>25</v>
      </c>
      <c r="L169" s="87" t="s">
        <v>85</v>
      </c>
      <c r="M169" s="90">
        <f t="shared" si="15"/>
        <v>4934907000</v>
      </c>
      <c r="N169" s="89">
        <f t="shared" si="16"/>
        <v>3104684000</v>
      </c>
      <c r="O169" s="89">
        <f t="shared" si="17"/>
        <v>1830223000</v>
      </c>
      <c r="P169" s="87">
        <f t="shared" si="13"/>
        <v>0.19315699650238466</v>
      </c>
      <c r="Q169" s="87">
        <f t="shared" si="14"/>
        <v>0.52081730703777285</v>
      </c>
    </row>
    <row r="170" spans="1:17">
      <c r="A170" s="83">
        <v>184</v>
      </c>
      <c r="B170" s="83" t="s">
        <v>108</v>
      </c>
      <c r="C170" s="83" t="s">
        <v>22</v>
      </c>
      <c r="D170" s="84">
        <v>41442</v>
      </c>
      <c r="E170" s="85">
        <f t="shared" si="12"/>
        <v>2013</v>
      </c>
      <c r="F170" s="86">
        <v>10187340000</v>
      </c>
      <c r="G170" s="86">
        <v>4860309000</v>
      </c>
      <c r="H170" s="86">
        <v>3373980000</v>
      </c>
      <c r="I170" s="86">
        <v>0</v>
      </c>
      <c r="J170" s="86">
        <v>0</v>
      </c>
      <c r="K170" s="83" t="s">
        <v>25</v>
      </c>
      <c r="L170" s="83" t="s">
        <v>85</v>
      </c>
      <c r="M170" s="91">
        <f t="shared" si="15"/>
        <v>5327031000</v>
      </c>
      <c r="N170" s="86">
        <f t="shared" si="16"/>
        <v>3373980000</v>
      </c>
      <c r="O170" s="86">
        <f t="shared" si="17"/>
        <v>1953051000</v>
      </c>
      <c r="P170" s="83">
        <f t="shared" si="13"/>
        <v>0.19171353856845849</v>
      </c>
      <c r="Q170" s="83">
        <f t="shared" si="14"/>
        <v>0.52290696099276168</v>
      </c>
    </row>
    <row r="171" spans="1:17">
      <c r="A171" s="87">
        <v>185</v>
      </c>
      <c r="B171" s="87" t="s">
        <v>108</v>
      </c>
      <c r="C171" s="87" t="s">
        <v>23</v>
      </c>
      <c r="D171" s="84">
        <v>41443</v>
      </c>
      <c r="E171" s="88">
        <f t="shared" si="12"/>
        <v>2013</v>
      </c>
      <c r="F171" s="89">
        <v>10635676000</v>
      </c>
      <c r="G171" s="89">
        <v>5026940000</v>
      </c>
      <c r="H171" s="89">
        <v>3548341000</v>
      </c>
      <c r="I171" s="89">
        <v>0</v>
      </c>
      <c r="J171" s="89">
        <v>0</v>
      </c>
      <c r="K171" s="87" t="s">
        <v>25</v>
      </c>
      <c r="L171" s="87" t="s">
        <v>85</v>
      </c>
      <c r="M171" s="90">
        <f t="shared" si="15"/>
        <v>5608736000</v>
      </c>
      <c r="N171" s="89">
        <f t="shared" si="16"/>
        <v>3548341000</v>
      </c>
      <c r="O171" s="89">
        <f t="shared" si="17"/>
        <v>2060395000</v>
      </c>
      <c r="P171" s="87">
        <f t="shared" si="13"/>
        <v>0.19372487465770863</v>
      </c>
      <c r="Q171" s="87">
        <f t="shared" si="14"/>
        <v>0.5273511528557282</v>
      </c>
    </row>
    <row r="172" spans="1:17">
      <c r="A172" s="83">
        <v>186</v>
      </c>
      <c r="B172" s="83" t="s">
        <v>109</v>
      </c>
      <c r="C172" s="83" t="s">
        <v>18</v>
      </c>
      <c r="D172" s="84">
        <v>41444</v>
      </c>
      <c r="E172" s="85">
        <f t="shared" si="12"/>
        <v>2013</v>
      </c>
      <c r="F172" s="86">
        <v>86623000000</v>
      </c>
      <c r="G172" s="86">
        <v>73268000000</v>
      </c>
      <c r="H172" s="86">
        <v>3742000000</v>
      </c>
      <c r="I172" s="86">
        <v>3071000000</v>
      </c>
      <c r="J172" s="86">
        <v>0</v>
      </c>
      <c r="K172" s="83" t="s">
        <v>19</v>
      </c>
      <c r="L172" s="83" t="s">
        <v>97</v>
      </c>
      <c r="M172" s="91">
        <f t="shared" si="15"/>
        <v>13355000000</v>
      </c>
      <c r="N172" s="86">
        <f t="shared" si="16"/>
        <v>6813000000</v>
      </c>
      <c r="O172" s="86">
        <f t="shared" si="17"/>
        <v>6542000000</v>
      </c>
      <c r="P172" s="83">
        <f t="shared" si="13"/>
        <v>7.5522667190007275E-2</v>
      </c>
      <c r="Q172" s="83">
        <f t="shared" si="14"/>
        <v>0.15417383373930715</v>
      </c>
    </row>
    <row r="173" spans="1:17">
      <c r="A173" s="87">
        <v>187</v>
      </c>
      <c r="B173" s="87" t="s">
        <v>109</v>
      </c>
      <c r="C173" s="87" t="s">
        <v>21</v>
      </c>
      <c r="D173" s="84">
        <v>41445</v>
      </c>
      <c r="E173" s="88">
        <f t="shared" si="12"/>
        <v>2013</v>
      </c>
      <c r="F173" s="89">
        <v>90762000000</v>
      </c>
      <c r="G173" s="89">
        <v>76752000000</v>
      </c>
      <c r="H173" s="89">
        <v>3480000000</v>
      </c>
      <c r="I173" s="89">
        <v>3047000000</v>
      </c>
      <c r="J173" s="89">
        <v>0</v>
      </c>
      <c r="K173" s="87" t="s">
        <v>19</v>
      </c>
      <c r="L173" s="87" t="s">
        <v>97</v>
      </c>
      <c r="M173" s="90">
        <f t="shared" si="15"/>
        <v>14010000000</v>
      </c>
      <c r="N173" s="89">
        <f t="shared" si="16"/>
        <v>6527000000</v>
      </c>
      <c r="O173" s="89">
        <f t="shared" si="17"/>
        <v>7483000000</v>
      </c>
      <c r="P173" s="87">
        <f t="shared" si="13"/>
        <v>8.2446398272404756E-2</v>
      </c>
      <c r="Q173" s="87">
        <f t="shared" si="14"/>
        <v>0.15435975408210489</v>
      </c>
    </row>
    <row r="174" spans="1:17">
      <c r="A174" s="83">
        <v>188</v>
      </c>
      <c r="B174" s="83" t="s">
        <v>109</v>
      </c>
      <c r="C174" s="83" t="s">
        <v>22</v>
      </c>
      <c r="D174" s="84">
        <v>41446</v>
      </c>
      <c r="E174" s="85">
        <f t="shared" si="12"/>
        <v>2013</v>
      </c>
      <c r="F174" s="86">
        <v>96114000000</v>
      </c>
      <c r="G174" s="86">
        <v>82088000000</v>
      </c>
      <c r="H174" s="86">
        <v>3251000000</v>
      </c>
      <c r="I174" s="86">
        <v>3331000000</v>
      </c>
      <c r="J174" s="86">
        <v>0</v>
      </c>
      <c r="K174" s="83" t="s">
        <v>19</v>
      </c>
      <c r="L174" s="83" t="s">
        <v>97</v>
      </c>
      <c r="M174" s="91">
        <f t="shared" si="15"/>
        <v>14026000000</v>
      </c>
      <c r="N174" s="86">
        <f t="shared" si="16"/>
        <v>6582000000</v>
      </c>
      <c r="O174" s="86">
        <f t="shared" si="17"/>
        <v>7444000000</v>
      </c>
      <c r="P174" s="83">
        <f t="shared" si="13"/>
        <v>7.7449695153671685E-2</v>
      </c>
      <c r="Q174" s="83">
        <f t="shared" si="14"/>
        <v>0.14593087375408365</v>
      </c>
    </row>
    <row r="175" spans="1:17">
      <c r="A175" s="87">
        <v>189</v>
      </c>
      <c r="B175" s="87" t="s">
        <v>109</v>
      </c>
      <c r="C175" s="87" t="s">
        <v>23</v>
      </c>
      <c r="D175" s="84">
        <v>41447</v>
      </c>
      <c r="E175" s="88">
        <f t="shared" si="12"/>
        <v>2013</v>
      </c>
      <c r="F175" s="89">
        <v>94571000000</v>
      </c>
      <c r="G175" s="89">
        <v>80790000000</v>
      </c>
      <c r="H175" s="89">
        <v>3313000000</v>
      </c>
      <c r="I175" s="89">
        <v>4627000000</v>
      </c>
      <c r="J175" s="89">
        <v>0</v>
      </c>
      <c r="K175" s="87" t="s">
        <v>19</v>
      </c>
      <c r="L175" s="87" t="s">
        <v>97</v>
      </c>
      <c r="M175" s="90">
        <f t="shared" si="15"/>
        <v>13781000000</v>
      </c>
      <c r="N175" s="89">
        <f t="shared" si="16"/>
        <v>7940000000</v>
      </c>
      <c r="O175" s="89">
        <f t="shared" si="17"/>
        <v>5841000000</v>
      </c>
      <c r="P175" s="87">
        <f t="shared" si="13"/>
        <v>6.1763119772446098E-2</v>
      </c>
      <c r="Q175" s="87">
        <f t="shared" si="14"/>
        <v>0.14572120417464129</v>
      </c>
    </row>
    <row r="176" spans="1:17">
      <c r="A176" s="83">
        <v>190</v>
      </c>
      <c r="B176" s="83" t="s">
        <v>110</v>
      </c>
      <c r="C176" s="83" t="s">
        <v>18</v>
      </c>
      <c r="D176" s="84">
        <v>41448</v>
      </c>
      <c r="E176" s="85">
        <f t="shared" si="12"/>
        <v>2013</v>
      </c>
      <c r="F176" s="86">
        <v>100078000000</v>
      </c>
      <c r="G176" s="86">
        <v>3753000000</v>
      </c>
      <c r="H176" s="86">
        <v>70829000000</v>
      </c>
      <c r="I176" s="86">
        <v>0</v>
      </c>
      <c r="J176" s="86">
        <v>9433000000</v>
      </c>
      <c r="K176" s="83" t="s">
        <v>53</v>
      </c>
      <c r="L176" s="83" t="s">
        <v>111</v>
      </c>
      <c r="M176" s="91">
        <f t="shared" si="15"/>
        <v>96325000000</v>
      </c>
      <c r="N176" s="86">
        <f t="shared" si="16"/>
        <v>80262000000</v>
      </c>
      <c r="O176" s="86">
        <f t="shared" si="17"/>
        <v>16063000000</v>
      </c>
      <c r="P176" s="83">
        <f t="shared" si="13"/>
        <v>0.16050480625112412</v>
      </c>
      <c r="Q176" s="83">
        <f t="shared" si="14"/>
        <v>0.962499250584544</v>
      </c>
    </row>
    <row r="177" spans="1:17">
      <c r="A177" s="87">
        <v>191</v>
      </c>
      <c r="B177" s="87" t="s">
        <v>110</v>
      </c>
      <c r="C177" s="87" t="s">
        <v>21</v>
      </c>
      <c r="D177" s="84">
        <v>41449</v>
      </c>
      <c r="E177" s="88">
        <f t="shared" si="12"/>
        <v>2013</v>
      </c>
      <c r="F177" s="89">
        <v>101697000000</v>
      </c>
      <c r="G177" s="89">
        <v>3034000000</v>
      </c>
      <c r="H177" s="89">
        <v>68128000000</v>
      </c>
      <c r="I177" s="89">
        <v>0</v>
      </c>
      <c r="J177" s="89">
        <v>4642000000</v>
      </c>
      <c r="K177" s="87" t="s">
        <v>53</v>
      </c>
      <c r="L177" s="87" t="s">
        <v>111</v>
      </c>
      <c r="M177" s="90">
        <f t="shared" si="15"/>
        <v>98663000000</v>
      </c>
      <c r="N177" s="89">
        <f t="shared" si="16"/>
        <v>72770000000</v>
      </c>
      <c r="O177" s="89">
        <f t="shared" si="17"/>
        <v>25893000000</v>
      </c>
      <c r="P177" s="87">
        <f t="shared" si="13"/>
        <v>0.25460928050974957</v>
      </c>
      <c r="Q177" s="87">
        <f t="shared" si="14"/>
        <v>0.97016627825796242</v>
      </c>
    </row>
    <row r="178" spans="1:17">
      <c r="A178" s="83">
        <v>192</v>
      </c>
      <c r="B178" s="83" t="s">
        <v>110</v>
      </c>
      <c r="C178" s="83" t="s">
        <v>22</v>
      </c>
      <c r="D178" s="84">
        <v>41450</v>
      </c>
      <c r="E178" s="85">
        <f t="shared" si="12"/>
        <v>2013</v>
      </c>
      <c r="F178" s="86">
        <v>95181000000</v>
      </c>
      <c r="G178" s="86">
        <v>2656000000</v>
      </c>
      <c r="H178" s="86">
        <v>74181000000</v>
      </c>
      <c r="I178" s="86">
        <v>0</v>
      </c>
      <c r="J178" s="86">
        <v>3211000000</v>
      </c>
      <c r="K178" s="83" t="s">
        <v>53</v>
      </c>
      <c r="L178" s="83" t="s">
        <v>111</v>
      </c>
      <c r="M178" s="91">
        <f t="shared" si="15"/>
        <v>92525000000</v>
      </c>
      <c r="N178" s="86">
        <f t="shared" si="16"/>
        <v>77392000000</v>
      </c>
      <c r="O178" s="86">
        <f t="shared" si="17"/>
        <v>15133000000</v>
      </c>
      <c r="P178" s="83">
        <f t="shared" si="13"/>
        <v>0.15899181559344827</v>
      </c>
      <c r="Q178" s="83">
        <f t="shared" si="14"/>
        <v>0.97209527111503347</v>
      </c>
    </row>
    <row r="179" spans="1:17">
      <c r="A179" s="87">
        <v>193</v>
      </c>
      <c r="B179" s="87" t="s">
        <v>110</v>
      </c>
      <c r="C179" s="87" t="s">
        <v>23</v>
      </c>
      <c r="D179" s="84">
        <v>41451</v>
      </c>
      <c r="E179" s="88">
        <f t="shared" si="12"/>
        <v>2013</v>
      </c>
      <c r="F179" s="89">
        <v>93056000000</v>
      </c>
      <c r="G179" s="89">
        <v>2204000000</v>
      </c>
      <c r="H179" s="89">
        <v>56358000000</v>
      </c>
      <c r="I179" s="89">
        <v>0</v>
      </c>
      <c r="J179" s="89">
        <v>3995000000</v>
      </c>
      <c r="K179" s="87" t="s">
        <v>53</v>
      </c>
      <c r="L179" s="87" t="s">
        <v>111</v>
      </c>
      <c r="M179" s="90">
        <f t="shared" si="15"/>
        <v>90852000000</v>
      </c>
      <c r="N179" s="89">
        <f t="shared" si="16"/>
        <v>60353000000</v>
      </c>
      <c r="O179" s="89">
        <f t="shared" si="17"/>
        <v>30499000000</v>
      </c>
      <c r="P179" s="87">
        <f t="shared" si="13"/>
        <v>0.3277488823933975</v>
      </c>
      <c r="Q179" s="87">
        <f t="shared" si="14"/>
        <v>0.97631533700137552</v>
      </c>
    </row>
    <row r="180" spans="1:17">
      <c r="A180" s="83">
        <v>194</v>
      </c>
      <c r="B180" s="83" t="s">
        <v>112</v>
      </c>
      <c r="C180" s="83" t="s">
        <v>18</v>
      </c>
      <c r="D180" s="84">
        <v>41452</v>
      </c>
      <c r="E180" s="85">
        <f t="shared" si="12"/>
        <v>2013</v>
      </c>
      <c r="F180" s="86">
        <v>13936000000</v>
      </c>
      <c r="G180" s="86">
        <v>6802000000</v>
      </c>
      <c r="H180" s="86">
        <v>3283000000</v>
      </c>
      <c r="I180" s="86">
        <v>1081000000</v>
      </c>
      <c r="J180" s="86">
        <v>0</v>
      </c>
      <c r="K180" s="83" t="s">
        <v>31</v>
      </c>
      <c r="L180" s="83" t="s">
        <v>36</v>
      </c>
      <c r="M180" s="91">
        <f t="shared" si="15"/>
        <v>7134000000</v>
      </c>
      <c r="N180" s="86">
        <f t="shared" si="16"/>
        <v>4364000000</v>
      </c>
      <c r="O180" s="86">
        <f t="shared" si="17"/>
        <v>2770000000</v>
      </c>
      <c r="P180" s="83">
        <f t="shared" si="13"/>
        <v>0.19876578645235363</v>
      </c>
      <c r="Q180" s="83">
        <f t="shared" si="14"/>
        <v>0.51191159586681967</v>
      </c>
    </row>
    <row r="181" spans="1:17">
      <c r="A181" s="87">
        <v>195</v>
      </c>
      <c r="B181" s="87" t="s">
        <v>112</v>
      </c>
      <c r="C181" s="87" t="s">
        <v>21</v>
      </c>
      <c r="D181" s="84">
        <v>41453</v>
      </c>
      <c r="E181" s="88">
        <f t="shared" si="12"/>
        <v>2013</v>
      </c>
      <c r="F181" s="89">
        <v>9413000000</v>
      </c>
      <c r="G181" s="89">
        <v>5251000000</v>
      </c>
      <c r="H181" s="89">
        <v>3084000000</v>
      </c>
      <c r="I181" s="89">
        <v>582000000</v>
      </c>
      <c r="J181" s="89">
        <v>0</v>
      </c>
      <c r="K181" s="87" t="s">
        <v>31</v>
      </c>
      <c r="L181" s="87" t="s">
        <v>36</v>
      </c>
      <c r="M181" s="90">
        <f t="shared" si="15"/>
        <v>4162000000</v>
      </c>
      <c r="N181" s="89">
        <f t="shared" si="16"/>
        <v>3666000000</v>
      </c>
      <c r="O181" s="89">
        <f t="shared" si="17"/>
        <v>496000000</v>
      </c>
      <c r="P181" s="87">
        <f t="shared" si="13"/>
        <v>5.2693084032720702E-2</v>
      </c>
      <c r="Q181" s="87">
        <f t="shared" si="14"/>
        <v>0.44215446722617657</v>
      </c>
    </row>
    <row r="182" spans="1:17">
      <c r="A182" s="83">
        <v>196</v>
      </c>
      <c r="B182" s="83" t="s">
        <v>112</v>
      </c>
      <c r="C182" s="83" t="s">
        <v>22</v>
      </c>
      <c r="D182" s="84">
        <v>41454</v>
      </c>
      <c r="E182" s="85">
        <f t="shared" si="12"/>
        <v>2013</v>
      </c>
      <c r="F182" s="86">
        <v>10719000000</v>
      </c>
      <c r="G182" s="86">
        <v>6138000000</v>
      </c>
      <c r="H182" s="86">
        <v>3315000000</v>
      </c>
      <c r="I182" s="86">
        <v>610000000</v>
      </c>
      <c r="J182" s="86">
        <v>0</v>
      </c>
      <c r="K182" s="83" t="s">
        <v>31</v>
      </c>
      <c r="L182" s="83" t="s">
        <v>36</v>
      </c>
      <c r="M182" s="91">
        <f t="shared" si="15"/>
        <v>4581000000</v>
      </c>
      <c r="N182" s="86">
        <f t="shared" si="16"/>
        <v>3925000000</v>
      </c>
      <c r="O182" s="86">
        <f t="shared" si="17"/>
        <v>656000000</v>
      </c>
      <c r="P182" s="83">
        <f t="shared" si="13"/>
        <v>6.1199738781602758E-2</v>
      </c>
      <c r="Q182" s="83">
        <f t="shared" si="14"/>
        <v>0.42737195633921077</v>
      </c>
    </row>
    <row r="183" spans="1:17">
      <c r="A183" s="87">
        <v>197</v>
      </c>
      <c r="B183" s="87" t="s">
        <v>112</v>
      </c>
      <c r="C183" s="87" t="s">
        <v>23</v>
      </c>
      <c r="D183" s="84">
        <v>41455</v>
      </c>
      <c r="E183" s="88">
        <f t="shared" si="12"/>
        <v>2013</v>
      </c>
      <c r="F183" s="89">
        <v>9968000000</v>
      </c>
      <c r="G183" s="89">
        <v>5822000000</v>
      </c>
      <c r="H183" s="89">
        <v>3094000000</v>
      </c>
      <c r="I183" s="89">
        <v>603000000</v>
      </c>
      <c r="J183" s="89">
        <v>0</v>
      </c>
      <c r="K183" s="87" t="s">
        <v>31</v>
      </c>
      <c r="L183" s="87" t="s">
        <v>36</v>
      </c>
      <c r="M183" s="90">
        <f t="shared" si="15"/>
        <v>4146000000</v>
      </c>
      <c r="N183" s="89">
        <f t="shared" si="16"/>
        <v>3697000000</v>
      </c>
      <c r="O183" s="89">
        <f t="shared" si="17"/>
        <v>449000000</v>
      </c>
      <c r="P183" s="87">
        <f t="shared" si="13"/>
        <v>4.5044141252006419E-2</v>
      </c>
      <c r="Q183" s="87">
        <f t="shared" si="14"/>
        <v>0.4159309791332263</v>
      </c>
    </row>
    <row r="184" spans="1:17">
      <c r="A184" s="83">
        <v>198</v>
      </c>
      <c r="B184" s="83" t="s">
        <v>113</v>
      </c>
      <c r="C184" s="83" t="s">
        <v>18</v>
      </c>
      <c r="D184" s="84">
        <v>41456</v>
      </c>
      <c r="E184" s="85">
        <f t="shared" si="12"/>
        <v>2013</v>
      </c>
      <c r="F184" s="86">
        <v>10914585000</v>
      </c>
      <c r="G184" s="86">
        <v>6525830000</v>
      </c>
      <c r="H184" s="86">
        <v>2750537000</v>
      </c>
      <c r="I184" s="86">
        <v>0</v>
      </c>
      <c r="J184" s="86">
        <v>0</v>
      </c>
      <c r="K184" s="83" t="s">
        <v>25</v>
      </c>
      <c r="L184" s="83" t="s">
        <v>85</v>
      </c>
      <c r="M184" s="91">
        <f t="shared" si="15"/>
        <v>4388755000</v>
      </c>
      <c r="N184" s="86">
        <f t="shared" si="16"/>
        <v>2750537000</v>
      </c>
      <c r="O184" s="86">
        <f t="shared" si="17"/>
        <v>1638218000</v>
      </c>
      <c r="P184" s="83">
        <f t="shared" si="13"/>
        <v>0.15009439204513961</v>
      </c>
      <c r="Q184" s="83">
        <f t="shared" si="14"/>
        <v>0.40210003403702477</v>
      </c>
    </row>
    <row r="185" spans="1:17">
      <c r="A185" s="87">
        <v>199</v>
      </c>
      <c r="B185" s="87" t="s">
        <v>113</v>
      </c>
      <c r="C185" s="87" t="s">
        <v>21</v>
      </c>
      <c r="D185" s="84">
        <v>41457</v>
      </c>
      <c r="E185" s="88">
        <f t="shared" si="12"/>
        <v>2013</v>
      </c>
      <c r="F185" s="89">
        <v>11503963000</v>
      </c>
      <c r="G185" s="89">
        <v>6938381000</v>
      </c>
      <c r="H185" s="89">
        <v>2950995000</v>
      </c>
      <c r="I185" s="89">
        <v>0</v>
      </c>
      <c r="J185" s="89">
        <v>0</v>
      </c>
      <c r="K185" s="87" t="s">
        <v>25</v>
      </c>
      <c r="L185" s="87" t="s">
        <v>85</v>
      </c>
      <c r="M185" s="90">
        <f t="shared" si="15"/>
        <v>4565582000</v>
      </c>
      <c r="N185" s="89">
        <f t="shared" si="16"/>
        <v>2950995000</v>
      </c>
      <c r="O185" s="89">
        <f t="shared" si="17"/>
        <v>1614587000</v>
      </c>
      <c r="P185" s="87">
        <f t="shared" si="13"/>
        <v>0.14035050356125103</v>
      </c>
      <c r="Q185" s="87">
        <f t="shared" si="14"/>
        <v>0.3968703654557999</v>
      </c>
    </row>
    <row r="186" spans="1:17">
      <c r="A186" s="83">
        <v>200</v>
      </c>
      <c r="B186" s="83" t="s">
        <v>113</v>
      </c>
      <c r="C186" s="83" t="s">
        <v>22</v>
      </c>
      <c r="D186" s="84">
        <v>41458</v>
      </c>
      <c r="E186" s="85">
        <f t="shared" si="12"/>
        <v>2013</v>
      </c>
      <c r="F186" s="86">
        <v>11881176000</v>
      </c>
      <c r="G186" s="86">
        <v>7261397000</v>
      </c>
      <c r="H186" s="86">
        <v>3065486000</v>
      </c>
      <c r="I186" s="86">
        <v>0</v>
      </c>
      <c r="J186" s="86">
        <v>0</v>
      </c>
      <c r="K186" s="83" t="s">
        <v>25</v>
      </c>
      <c r="L186" s="83" t="s">
        <v>85</v>
      </c>
      <c r="M186" s="91">
        <f t="shared" si="15"/>
        <v>4619779000</v>
      </c>
      <c r="N186" s="86">
        <f t="shared" si="16"/>
        <v>3065486000</v>
      </c>
      <c r="O186" s="86">
        <f t="shared" si="17"/>
        <v>1554293000</v>
      </c>
      <c r="P186" s="83">
        <f t="shared" si="13"/>
        <v>0.13081979426952348</v>
      </c>
      <c r="Q186" s="83">
        <f t="shared" si="14"/>
        <v>0.38883179577509841</v>
      </c>
    </row>
    <row r="187" spans="1:17">
      <c r="A187" s="87">
        <v>201</v>
      </c>
      <c r="B187" s="87" t="s">
        <v>113</v>
      </c>
      <c r="C187" s="87" t="s">
        <v>23</v>
      </c>
      <c r="D187" s="84">
        <v>41459</v>
      </c>
      <c r="E187" s="88">
        <f t="shared" si="12"/>
        <v>2013</v>
      </c>
      <c r="F187" s="89">
        <v>12103887000</v>
      </c>
      <c r="G187" s="89">
        <v>7483577000</v>
      </c>
      <c r="H187" s="89">
        <v>3205407000</v>
      </c>
      <c r="I187" s="89">
        <v>0</v>
      </c>
      <c r="J187" s="89">
        <v>0</v>
      </c>
      <c r="K187" s="87" t="s">
        <v>25</v>
      </c>
      <c r="L187" s="87" t="s">
        <v>85</v>
      </c>
      <c r="M187" s="90">
        <f t="shared" si="15"/>
        <v>4620310000</v>
      </c>
      <c r="N187" s="89">
        <f t="shared" si="16"/>
        <v>3205407000</v>
      </c>
      <c r="O187" s="89">
        <f t="shared" si="17"/>
        <v>1414903000</v>
      </c>
      <c r="P187" s="87">
        <f t="shared" si="13"/>
        <v>0.11689658041255672</v>
      </c>
      <c r="Q187" s="87">
        <f t="shared" si="14"/>
        <v>0.38172117766796732</v>
      </c>
    </row>
    <row r="188" spans="1:17">
      <c r="A188" s="83">
        <v>202</v>
      </c>
      <c r="B188" s="83" t="s">
        <v>114</v>
      </c>
      <c r="C188" s="83" t="s">
        <v>18</v>
      </c>
      <c r="D188" s="84">
        <v>41460</v>
      </c>
      <c r="E188" s="85">
        <f t="shared" si="12"/>
        <v>2013</v>
      </c>
      <c r="F188" s="86">
        <v>10737000000</v>
      </c>
      <c r="G188" s="86">
        <v>429000000</v>
      </c>
      <c r="H188" s="86">
        <v>5650000000</v>
      </c>
      <c r="I188" s="86">
        <v>0</v>
      </c>
      <c r="J188" s="86">
        <v>1167000000</v>
      </c>
      <c r="K188" s="83" t="s">
        <v>53</v>
      </c>
      <c r="L188" s="83" t="s">
        <v>111</v>
      </c>
      <c r="M188" s="91">
        <f t="shared" si="15"/>
        <v>10308000000</v>
      </c>
      <c r="N188" s="86">
        <f t="shared" si="16"/>
        <v>6817000000</v>
      </c>
      <c r="O188" s="86">
        <f t="shared" si="17"/>
        <v>3491000000</v>
      </c>
      <c r="P188" s="83">
        <f t="shared" si="13"/>
        <v>0.32513737543075349</v>
      </c>
      <c r="Q188" s="83">
        <f t="shared" si="14"/>
        <v>0.96004470522492313</v>
      </c>
    </row>
    <row r="189" spans="1:17">
      <c r="A189" s="87">
        <v>203</v>
      </c>
      <c r="B189" s="87" t="s">
        <v>114</v>
      </c>
      <c r="C189" s="87" t="s">
        <v>21</v>
      </c>
      <c r="D189" s="84">
        <v>41461</v>
      </c>
      <c r="E189" s="88">
        <f t="shared" si="12"/>
        <v>2013</v>
      </c>
      <c r="F189" s="89">
        <v>10543000000</v>
      </c>
      <c r="G189" s="89">
        <v>301000000</v>
      </c>
      <c r="H189" s="89">
        <v>5625000000</v>
      </c>
      <c r="I189" s="89">
        <v>0</v>
      </c>
      <c r="J189" s="89">
        <v>698000000</v>
      </c>
      <c r="K189" s="87" t="s">
        <v>53</v>
      </c>
      <c r="L189" s="87" t="s">
        <v>111</v>
      </c>
      <c r="M189" s="90">
        <f t="shared" si="15"/>
        <v>10242000000</v>
      </c>
      <c r="N189" s="89">
        <f t="shared" si="16"/>
        <v>6323000000</v>
      </c>
      <c r="O189" s="89">
        <f t="shared" si="17"/>
        <v>3919000000</v>
      </c>
      <c r="P189" s="87">
        <f t="shared" si="13"/>
        <v>0.37171583040880207</v>
      </c>
      <c r="Q189" s="87">
        <f t="shared" si="14"/>
        <v>0.97145025135160767</v>
      </c>
    </row>
    <row r="190" spans="1:17">
      <c r="A190" s="83">
        <v>204</v>
      </c>
      <c r="B190" s="83" t="s">
        <v>114</v>
      </c>
      <c r="C190" s="83" t="s">
        <v>22</v>
      </c>
      <c r="D190" s="84">
        <v>41462</v>
      </c>
      <c r="E190" s="85">
        <f t="shared" si="12"/>
        <v>2013</v>
      </c>
      <c r="F190" s="86">
        <v>9998000000</v>
      </c>
      <c r="G190" s="86">
        <v>239000000</v>
      </c>
      <c r="H190" s="86">
        <v>5715000000</v>
      </c>
      <c r="I190" s="86">
        <v>0</v>
      </c>
      <c r="J190" s="86">
        <v>342000000</v>
      </c>
      <c r="K190" s="83" t="s">
        <v>53</v>
      </c>
      <c r="L190" s="83" t="s">
        <v>111</v>
      </c>
      <c r="M190" s="91">
        <f t="shared" si="15"/>
        <v>9759000000</v>
      </c>
      <c r="N190" s="86">
        <f t="shared" si="16"/>
        <v>6057000000</v>
      </c>
      <c r="O190" s="86">
        <f t="shared" si="17"/>
        <v>3702000000</v>
      </c>
      <c r="P190" s="83">
        <f t="shared" si="13"/>
        <v>0.37027405481096221</v>
      </c>
      <c r="Q190" s="83">
        <f t="shared" si="14"/>
        <v>0.9760952190438088</v>
      </c>
    </row>
    <row r="191" spans="1:17">
      <c r="A191" s="87">
        <v>205</v>
      </c>
      <c r="B191" s="87" t="s">
        <v>114</v>
      </c>
      <c r="C191" s="87" t="s">
        <v>23</v>
      </c>
      <c r="D191" s="84">
        <v>41463</v>
      </c>
      <c r="E191" s="88">
        <f t="shared" ref="E191:E254" si="18">YEAR(D191)</f>
        <v>2013</v>
      </c>
      <c r="F191" s="89">
        <v>10346000000</v>
      </c>
      <c r="G191" s="89">
        <v>233000000</v>
      </c>
      <c r="H191" s="89">
        <v>5996000000</v>
      </c>
      <c r="I191" s="89">
        <v>0</v>
      </c>
      <c r="J191" s="89">
        <v>533000000</v>
      </c>
      <c r="K191" s="87" t="s">
        <v>53</v>
      </c>
      <c r="L191" s="87" t="s">
        <v>111</v>
      </c>
      <c r="M191" s="90">
        <f t="shared" si="15"/>
        <v>10113000000</v>
      </c>
      <c r="N191" s="89">
        <f t="shared" si="16"/>
        <v>6529000000</v>
      </c>
      <c r="O191" s="89">
        <f t="shared" si="17"/>
        <v>3584000000</v>
      </c>
      <c r="P191" s="87">
        <f t="shared" si="13"/>
        <v>0.34641407307171856</v>
      </c>
      <c r="Q191" s="87">
        <f t="shared" si="14"/>
        <v>0.9774792190218442</v>
      </c>
    </row>
    <row r="192" spans="1:17">
      <c r="A192" s="83">
        <v>206</v>
      </c>
      <c r="B192" s="83" t="s">
        <v>115</v>
      </c>
      <c r="C192" s="83" t="s">
        <v>18</v>
      </c>
      <c r="D192" s="84">
        <v>41464</v>
      </c>
      <c r="E192" s="85">
        <f t="shared" si="18"/>
        <v>2013</v>
      </c>
      <c r="F192" s="86">
        <v>45457000000</v>
      </c>
      <c r="G192" s="86">
        <v>34473000000</v>
      </c>
      <c r="H192" s="86">
        <v>8755000000</v>
      </c>
      <c r="I192" s="86">
        <v>0</v>
      </c>
      <c r="J192" s="86">
        <v>0</v>
      </c>
      <c r="K192" s="83" t="s">
        <v>25</v>
      </c>
      <c r="L192" s="83" t="s">
        <v>116</v>
      </c>
      <c r="M192" s="91">
        <f t="shared" si="15"/>
        <v>10984000000</v>
      </c>
      <c r="N192" s="86">
        <f t="shared" si="16"/>
        <v>8755000000</v>
      </c>
      <c r="O192" s="86">
        <f t="shared" si="17"/>
        <v>2229000000</v>
      </c>
      <c r="P192" s="83">
        <f t="shared" si="13"/>
        <v>4.9035352090987083E-2</v>
      </c>
      <c r="Q192" s="83">
        <f t="shared" si="14"/>
        <v>0.24163495171260752</v>
      </c>
    </row>
    <row r="193" spans="1:17">
      <c r="A193" s="87">
        <v>207</v>
      </c>
      <c r="B193" s="87" t="s">
        <v>115</v>
      </c>
      <c r="C193" s="87" t="s">
        <v>21</v>
      </c>
      <c r="D193" s="84">
        <v>41465</v>
      </c>
      <c r="E193" s="88">
        <f t="shared" si="18"/>
        <v>2013</v>
      </c>
      <c r="F193" s="89">
        <v>40611000000</v>
      </c>
      <c r="G193" s="89">
        <v>31212000000</v>
      </c>
      <c r="H193" s="89">
        <v>8106000000</v>
      </c>
      <c r="I193" s="89">
        <v>0</v>
      </c>
      <c r="J193" s="89">
        <v>0</v>
      </c>
      <c r="K193" s="87" t="s">
        <v>25</v>
      </c>
      <c r="L193" s="87" t="s">
        <v>116</v>
      </c>
      <c r="M193" s="90">
        <f t="shared" si="15"/>
        <v>9399000000</v>
      </c>
      <c r="N193" s="89">
        <f t="shared" si="16"/>
        <v>8106000000</v>
      </c>
      <c r="O193" s="89">
        <f t="shared" si="17"/>
        <v>1293000000</v>
      </c>
      <c r="P193" s="87">
        <f t="shared" si="13"/>
        <v>3.1838664401270589E-2</v>
      </c>
      <c r="Q193" s="87">
        <f t="shared" si="14"/>
        <v>0.23143975770111547</v>
      </c>
    </row>
    <row r="194" spans="1:17">
      <c r="A194" s="83">
        <v>208</v>
      </c>
      <c r="B194" s="83" t="s">
        <v>115</v>
      </c>
      <c r="C194" s="83" t="s">
        <v>22</v>
      </c>
      <c r="D194" s="84">
        <v>41466</v>
      </c>
      <c r="E194" s="85">
        <f t="shared" si="18"/>
        <v>2013</v>
      </c>
      <c r="F194" s="86">
        <v>40339000000</v>
      </c>
      <c r="G194" s="86">
        <v>31292000000</v>
      </c>
      <c r="H194" s="86">
        <v>7592000000</v>
      </c>
      <c r="I194" s="86">
        <v>0</v>
      </c>
      <c r="J194" s="86">
        <v>0</v>
      </c>
      <c r="K194" s="83" t="s">
        <v>25</v>
      </c>
      <c r="L194" s="83" t="s">
        <v>116</v>
      </c>
      <c r="M194" s="91">
        <f t="shared" si="15"/>
        <v>9047000000</v>
      </c>
      <c r="N194" s="86">
        <f t="shared" si="16"/>
        <v>7592000000</v>
      </c>
      <c r="O194" s="86">
        <f t="shared" si="17"/>
        <v>1455000000</v>
      </c>
      <c r="P194" s="83">
        <f t="shared" ref="P194:P257" si="19">O194/F194</f>
        <v>3.6069312575919082E-2</v>
      </c>
      <c r="Q194" s="83">
        <f t="shared" ref="Q194:Q257" si="20">1-G194/F194</f>
        <v>0.22427427551501034</v>
      </c>
    </row>
    <row r="195" spans="1:17">
      <c r="A195" s="87">
        <v>209</v>
      </c>
      <c r="B195" s="87" t="s">
        <v>115</v>
      </c>
      <c r="C195" s="87" t="s">
        <v>23</v>
      </c>
      <c r="D195" s="84">
        <v>41467</v>
      </c>
      <c r="E195" s="88">
        <f t="shared" si="18"/>
        <v>2013</v>
      </c>
      <c r="F195" s="89">
        <v>39528000000</v>
      </c>
      <c r="G195" s="89">
        <v>30337000000</v>
      </c>
      <c r="H195" s="89">
        <v>7618000000</v>
      </c>
      <c r="I195" s="89">
        <v>0</v>
      </c>
      <c r="J195" s="89">
        <v>0</v>
      </c>
      <c r="K195" s="87" t="s">
        <v>25</v>
      </c>
      <c r="L195" s="87" t="s">
        <v>116</v>
      </c>
      <c r="M195" s="90">
        <f t="shared" ref="M195:M258" si="21">F195-G195</f>
        <v>9191000000</v>
      </c>
      <c r="N195" s="89">
        <f t="shared" ref="N195:N258" si="22">H195+I195+J195</f>
        <v>7618000000</v>
      </c>
      <c r="O195" s="89">
        <f t="shared" ref="O195:O258" si="23">M195-N195</f>
        <v>1573000000</v>
      </c>
      <c r="P195" s="87">
        <f t="shared" si="19"/>
        <v>3.979457599676179E-2</v>
      </c>
      <c r="Q195" s="87">
        <f t="shared" si="20"/>
        <v>0.23251872090669901</v>
      </c>
    </row>
    <row r="196" spans="1:17">
      <c r="A196" s="83">
        <v>210</v>
      </c>
      <c r="B196" s="83" t="s">
        <v>117</v>
      </c>
      <c r="C196" s="83" t="s">
        <v>18</v>
      </c>
      <c r="D196" s="84">
        <v>41468</v>
      </c>
      <c r="E196" s="85">
        <f t="shared" si="18"/>
        <v>2013</v>
      </c>
      <c r="F196" s="86">
        <v>3049500000</v>
      </c>
      <c r="G196" s="86">
        <v>1194400000</v>
      </c>
      <c r="H196" s="86">
        <v>920300000</v>
      </c>
      <c r="I196" s="86">
        <v>295700000</v>
      </c>
      <c r="J196" s="86">
        <v>0</v>
      </c>
      <c r="K196" s="83" t="s">
        <v>31</v>
      </c>
      <c r="L196" s="83" t="s">
        <v>36</v>
      </c>
      <c r="M196" s="91">
        <f t="shared" si="21"/>
        <v>1855100000</v>
      </c>
      <c r="N196" s="86">
        <f t="shared" si="22"/>
        <v>1216000000</v>
      </c>
      <c r="O196" s="86">
        <f t="shared" si="23"/>
        <v>639100000</v>
      </c>
      <c r="P196" s="83">
        <f t="shared" si="19"/>
        <v>0.20957534021970814</v>
      </c>
      <c r="Q196" s="83">
        <f t="shared" si="20"/>
        <v>0.60832923430070496</v>
      </c>
    </row>
    <row r="197" spans="1:17">
      <c r="A197" s="87">
        <v>211</v>
      </c>
      <c r="B197" s="87" t="s">
        <v>117</v>
      </c>
      <c r="C197" s="87" t="s">
        <v>21</v>
      </c>
      <c r="D197" s="84">
        <v>41469</v>
      </c>
      <c r="E197" s="88">
        <f t="shared" si="18"/>
        <v>2013</v>
      </c>
      <c r="F197" s="89">
        <v>3323600000</v>
      </c>
      <c r="G197" s="89">
        <v>1258600000</v>
      </c>
      <c r="H197" s="89">
        <v>981500000</v>
      </c>
      <c r="I197" s="89">
        <v>302000000</v>
      </c>
      <c r="J197" s="89">
        <v>0</v>
      </c>
      <c r="K197" s="87" t="s">
        <v>31</v>
      </c>
      <c r="L197" s="87" t="s">
        <v>36</v>
      </c>
      <c r="M197" s="90">
        <f t="shared" si="21"/>
        <v>2065000000</v>
      </c>
      <c r="N197" s="89">
        <f t="shared" si="22"/>
        <v>1283500000</v>
      </c>
      <c r="O197" s="89">
        <f t="shared" si="23"/>
        <v>781500000</v>
      </c>
      <c r="P197" s="87">
        <f t="shared" si="19"/>
        <v>0.23513659886869659</v>
      </c>
      <c r="Q197" s="87">
        <f t="shared" si="20"/>
        <v>0.62131423757371529</v>
      </c>
    </row>
    <row r="198" spans="1:17">
      <c r="A198" s="83">
        <v>212</v>
      </c>
      <c r="B198" s="83" t="s">
        <v>117</v>
      </c>
      <c r="C198" s="83" t="s">
        <v>22</v>
      </c>
      <c r="D198" s="84">
        <v>41470</v>
      </c>
      <c r="E198" s="85">
        <f t="shared" si="18"/>
        <v>2013</v>
      </c>
      <c r="F198" s="86">
        <v>3416000000</v>
      </c>
      <c r="G198" s="86">
        <v>1301200000</v>
      </c>
      <c r="H198" s="86">
        <v>1012100000</v>
      </c>
      <c r="I198" s="86">
        <v>259200000</v>
      </c>
      <c r="J198" s="86">
        <v>0</v>
      </c>
      <c r="K198" s="83" t="s">
        <v>31</v>
      </c>
      <c r="L198" s="83" t="s">
        <v>36</v>
      </c>
      <c r="M198" s="91">
        <f t="shared" si="21"/>
        <v>2114800000</v>
      </c>
      <c r="N198" s="86">
        <f t="shared" si="22"/>
        <v>1271300000</v>
      </c>
      <c r="O198" s="86">
        <f t="shared" si="23"/>
        <v>843500000</v>
      </c>
      <c r="P198" s="83">
        <f t="shared" si="19"/>
        <v>0.24692622950819673</v>
      </c>
      <c r="Q198" s="83">
        <f t="shared" si="20"/>
        <v>0.61908665105386418</v>
      </c>
    </row>
    <row r="199" spans="1:17">
      <c r="A199" s="87">
        <v>213</v>
      </c>
      <c r="B199" s="87" t="s">
        <v>117</v>
      </c>
      <c r="C199" s="87" t="s">
        <v>23</v>
      </c>
      <c r="D199" s="84">
        <v>41471</v>
      </c>
      <c r="E199" s="88">
        <f t="shared" si="18"/>
        <v>2013</v>
      </c>
      <c r="F199" s="89">
        <v>3714000000</v>
      </c>
      <c r="G199" s="89">
        <v>1371700000</v>
      </c>
      <c r="H199" s="89">
        <v>1101900000</v>
      </c>
      <c r="I199" s="89">
        <v>292800000</v>
      </c>
      <c r="J199" s="89">
        <v>0</v>
      </c>
      <c r="K199" s="87" t="s">
        <v>31</v>
      </c>
      <c r="L199" s="87" t="s">
        <v>36</v>
      </c>
      <c r="M199" s="90">
        <f t="shared" si="21"/>
        <v>2342300000</v>
      </c>
      <c r="N199" s="89">
        <f t="shared" si="22"/>
        <v>1394700000</v>
      </c>
      <c r="O199" s="89">
        <f t="shared" si="23"/>
        <v>947600000</v>
      </c>
      <c r="P199" s="87">
        <f t="shared" si="19"/>
        <v>0.25514270328486804</v>
      </c>
      <c r="Q199" s="87">
        <f t="shared" si="20"/>
        <v>0.63066774367259026</v>
      </c>
    </row>
    <row r="200" spans="1:17">
      <c r="A200" s="83">
        <v>214</v>
      </c>
      <c r="B200" s="83" t="s">
        <v>118</v>
      </c>
      <c r="C200" s="83" t="s">
        <v>18</v>
      </c>
      <c r="D200" s="84">
        <v>41472</v>
      </c>
      <c r="E200" s="85">
        <f t="shared" si="18"/>
        <v>2013</v>
      </c>
      <c r="F200" s="86">
        <v>8054000000</v>
      </c>
      <c r="G200" s="86">
        <v>3883000000</v>
      </c>
      <c r="H200" s="86">
        <v>2422000000</v>
      </c>
      <c r="I200" s="86">
        <v>494000000</v>
      </c>
      <c r="J200" s="86">
        <v>0</v>
      </c>
      <c r="K200" s="83" t="s">
        <v>31</v>
      </c>
      <c r="L200" s="83" t="s">
        <v>36</v>
      </c>
      <c r="M200" s="91">
        <f t="shared" si="21"/>
        <v>4171000000</v>
      </c>
      <c r="N200" s="86">
        <f t="shared" si="22"/>
        <v>2916000000</v>
      </c>
      <c r="O200" s="86">
        <f t="shared" si="23"/>
        <v>1255000000</v>
      </c>
      <c r="P200" s="83">
        <f t="shared" si="19"/>
        <v>0.1558231934442513</v>
      </c>
      <c r="Q200" s="83">
        <f t="shared" si="20"/>
        <v>0.51787931462627268</v>
      </c>
    </row>
    <row r="201" spans="1:17">
      <c r="A201" s="87">
        <v>215</v>
      </c>
      <c r="B201" s="87" t="s">
        <v>118</v>
      </c>
      <c r="C201" s="87" t="s">
        <v>21</v>
      </c>
      <c r="D201" s="84">
        <v>41473</v>
      </c>
      <c r="E201" s="88">
        <f t="shared" si="18"/>
        <v>2013</v>
      </c>
      <c r="F201" s="89">
        <v>8446000000</v>
      </c>
      <c r="G201" s="89">
        <v>4145000000</v>
      </c>
      <c r="H201" s="89">
        <v>2145000000</v>
      </c>
      <c r="I201" s="89">
        <v>550000000</v>
      </c>
      <c r="J201" s="89">
        <v>0</v>
      </c>
      <c r="K201" s="87" t="s">
        <v>31</v>
      </c>
      <c r="L201" s="87" t="s">
        <v>36</v>
      </c>
      <c r="M201" s="90">
        <f t="shared" si="21"/>
        <v>4301000000</v>
      </c>
      <c r="N201" s="89">
        <f t="shared" si="22"/>
        <v>2695000000</v>
      </c>
      <c r="O201" s="89">
        <f t="shared" si="23"/>
        <v>1606000000</v>
      </c>
      <c r="P201" s="87">
        <f t="shared" si="19"/>
        <v>0.19014918304522851</v>
      </c>
      <c r="Q201" s="87">
        <f t="shared" si="20"/>
        <v>0.50923514089509825</v>
      </c>
    </row>
    <row r="202" spans="1:17">
      <c r="A202" s="83">
        <v>216</v>
      </c>
      <c r="B202" s="83" t="s">
        <v>118</v>
      </c>
      <c r="C202" s="83" t="s">
        <v>22</v>
      </c>
      <c r="D202" s="84">
        <v>41474</v>
      </c>
      <c r="E202" s="85">
        <f t="shared" si="18"/>
        <v>2013</v>
      </c>
      <c r="F202" s="86">
        <v>10282000000</v>
      </c>
      <c r="G202" s="86">
        <v>5587000000</v>
      </c>
      <c r="H202" s="86">
        <v>2563000000</v>
      </c>
      <c r="I202" s="86">
        <v>632000000</v>
      </c>
      <c r="J202" s="86">
        <v>0</v>
      </c>
      <c r="K202" s="83" t="s">
        <v>31</v>
      </c>
      <c r="L202" s="83" t="s">
        <v>36</v>
      </c>
      <c r="M202" s="91">
        <f t="shared" si="21"/>
        <v>4695000000</v>
      </c>
      <c r="N202" s="86">
        <f t="shared" si="22"/>
        <v>3195000000</v>
      </c>
      <c r="O202" s="86">
        <f t="shared" si="23"/>
        <v>1500000000</v>
      </c>
      <c r="P202" s="83">
        <f t="shared" si="19"/>
        <v>0.14588601439408674</v>
      </c>
      <c r="Q202" s="83">
        <f t="shared" si="20"/>
        <v>0.45662322505349151</v>
      </c>
    </row>
    <row r="203" spans="1:17">
      <c r="A203" s="87">
        <v>217</v>
      </c>
      <c r="B203" s="87" t="s">
        <v>118</v>
      </c>
      <c r="C203" s="87" t="s">
        <v>23</v>
      </c>
      <c r="D203" s="84">
        <v>41475</v>
      </c>
      <c r="E203" s="88">
        <f t="shared" si="18"/>
        <v>2013</v>
      </c>
      <c r="F203" s="89">
        <v>12483000000</v>
      </c>
      <c r="G203" s="89">
        <v>6492000000</v>
      </c>
      <c r="H203" s="89">
        <v>3005000000</v>
      </c>
      <c r="I203" s="89">
        <v>828000000</v>
      </c>
      <c r="J203" s="89">
        <v>0</v>
      </c>
      <c r="K203" s="87" t="s">
        <v>31</v>
      </c>
      <c r="L203" s="87" t="s">
        <v>36</v>
      </c>
      <c r="M203" s="90">
        <f t="shared" si="21"/>
        <v>5991000000</v>
      </c>
      <c r="N203" s="89">
        <f t="shared" si="22"/>
        <v>3833000000</v>
      </c>
      <c r="O203" s="89">
        <f t="shared" si="23"/>
        <v>2158000000</v>
      </c>
      <c r="P203" s="87">
        <f t="shared" si="19"/>
        <v>0.17287511014980372</v>
      </c>
      <c r="Q203" s="87">
        <f t="shared" si="20"/>
        <v>0.47993270848353764</v>
      </c>
    </row>
    <row r="204" spans="1:17">
      <c r="A204" s="83">
        <v>218</v>
      </c>
      <c r="B204" s="83" t="s">
        <v>119</v>
      </c>
      <c r="C204" s="83" t="s">
        <v>18</v>
      </c>
      <c r="D204" s="84">
        <v>41476</v>
      </c>
      <c r="E204" s="85">
        <f t="shared" si="18"/>
        <v>2013</v>
      </c>
      <c r="F204" s="86">
        <v>22364000000</v>
      </c>
      <c r="G204" s="86">
        <v>18553000000</v>
      </c>
      <c r="H204" s="86">
        <v>1306000000</v>
      </c>
      <c r="I204" s="86">
        <v>556000000</v>
      </c>
      <c r="J204" s="86">
        <v>0</v>
      </c>
      <c r="K204" s="83" t="s">
        <v>89</v>
      </c>
      <c r="L204" s="83" t="s">
        <v>120</v>
      </c>
      <c r="M204" s="91">
        <f t="shared" si="21"/>
        <v>3811000000</v>
      </c>
      <c r="N204" s="86">
        <f t="shared" si="22"/>
        <v>1862000000</v>
      </c>
      <c r="O204" s="86">
        <f t="shared" si="23"/>
        <v>1949000000</v>
      </c>
      <c r="P204" s="83">
        <f t="shared" si="19"/>
        <v>8.7148989447326061E-2</v>
      </c>
      <c r="Q204" s="83">
        <f t="shared" si="20"/>
        <v>0.170407798247183</v>
      </c>
    </row>
    <row r="205" spans="1:17">
      <c r="A205" s="87">
        <v>219</v>
      </c>
      <c r="B205" s="87" t="s">
        <v>119</v>
      </c>
      <c r="C205" s="87" t="s">
        <v>21</v>
      </c>
      <c r="D205" s="84">
        <v>41477</v>
      </c>
      <c r="E205" s="88">
        <f t="shared" si="18"/>
        <v>2013</v>
      </c>
      <c r="F205" s="89">
        <v>24551000000</v>
      </c>
      <c r="G205" s="89">
        <v>19746000000</v>
      </c>
      <c r="H205" s="89">
        <v>1333000000</v>
      </c>
      <c r="I205" s="89">
        <v>613000000</v>
      </c>
      <c r="J205" s="89">
        <v>0</v>
      </c>
      <c r="K205" s="87" t="s">
        <v>89</v>
      </c>
      <c r="L205" s="87" t="s">
        <v>120</v>
      </c>
      <c r="M205" s="90">
        <f t="shared" si="21"/>
        <v>4805000000</v>
      </c>
      <c r="N205" s="89">
        <f t="shared" si="22"/>
        <v>1946000000</v>
      </c>
      <c r="O205" s="89">
        <f t="shared" si="23"/>
        <v>2859000000</v>
      </c>
      <c r="P205" s="87">
        <f t="shared" si="19"/>
        <v>0.11645146837196041</v>
      </c>
      <c r="Q205" s="87">
        <f t="shared" si="20"/>
        <v>0.1957150421571423</v>
      </c>
    </row>
    <row r="206" spans="1:17">
      <c r="A206" s="83">
        <v>220</v>
      </c>
      <c r="B206" s="83" t="s">
        <v>119</v>
      </c>
      <c r="C206" s="83" t="s">
        <v>22</v>
      </c>
      <c r="D206" s="84">
        <v>41478</v>
      </c>
      <c r="E206" s="85">
        <f t="shared" si="18"/>
        <v>2013</v>
      </c>
      <c r="F206" s="86">
        <v>15742000000</v>
      </c>
      <c r="G206" s="86">
        <v>14415000000</v>
      </c>
      <c r="H206" s="86">
        <v>969000000</v>
      </c>
      <c r="I206" s="86">
        <v>466000000</v>
      </c>
      <c r="J206" s="86">
        <v>0</v>
      </c>
      <c r="K206" s="83" t="s">
        <v>89</v>
      </c>
      <c r="L206" s="83" t="s">
        <v>120</v>
      </c>
      <c r="M206" s="91">
        <f t="shared" si="21"/>
        <v>1327000000</v>
      </c>
      <c r="N206" s="86">
        <f t="shared" si="22"/>
        <v>1435000000</v>
      </c>
      <c r="O206" s="86">
        <f t="shared" si="23"/>
        <v>-108000000</v>
      </c>
      <c r="P206" s="83">
        <f t="shared" si="19"/>
        <v>-6.8606276203786046E-3</v>
      </c>
      <c r="Q206" s="83">
        <f t="shared" si="20"/>
        <v>8.4296785668911189E-2</v>
      </c>
    </row>
    <row r="207" spans="1:17">
      <c r="A207" s="87">
        <v>221</v>
      </c>
      <c r="B207" s="87" t="s">
        <v>119</v>
      </c>
      <c r="C207" s="87" t="s">
        <v>23</v>
      </c>
      <c r="D207" s="84">
        <v>41479</v>
      </c>
      <c r="E207" s="88">
        <f t="shared" si="18"/>
        <v>2013</v>
      </c>
      <c r="F207" s="89">
        <v>9841000000</v>
      </c>
      <c r="G207" s="89">
        <v>9973000000</v>
      </c>
      <c r="H207" s="89">
        <v>815000000</v>
      </c>
      <c r="I207" s="89">
        <v>384000000</v>
      </c>
      <c r="J207" s="89">
        <v>0</v>
      </c>
      <c r="K207" s="87" t="s">
        <v>89</v>
      </c>
      <c r="L207" s="87" t="s">
        <v>120</v>
      </c>
      <c r="M207" s="90">
        <f t="shared" si="21"/>
        <v>-132000000</v>
      </c>
      <c r="N207" s="89">
        <f t="shared" si="22"/>
        <v>1199000000</v>
      </c>
      <c r="O207" s="89">
        <f t="shared" si="23"/>
        <v>-1331000000</v>
      </c>
      <c r="P207" s="87">
        <f t="shared" si="19"/>
        <v>-0.13525048267452494</v>
      </c>
      <c r="Q207" s="87">
        <f t="shared" si="20"/>
        <v>-1.341327100904377E-2</v>
      </c>
    </row>
    <row r="208" spans="1:17">
      <c r="A208" s="83">
        <v>222</v>
      </c>
      <c r="B208" s="83" t="s">
        <v>121</v>
      </c>
      <c r="C208" s="83" t="s">
        <v>18</v>
      </c>
      <c r="D208" s="84">
        <v>41480</v>
      </c>
      <c r="E208" s="85">
        <f t="shared" si="18"/>
        <v>2013</v>
      </c>
      <c r="F208" s="86">
        <v>6932200000</v>
      </c>
      <c r="G208" s="86">
        <v>857700000</v>
      </c>
      <c r="H208" s="86">
        <v>1797000000</v>
      </c>
      <c r="I208" s="86">
        <v>1444100000</v>
      </c>
      <c r="J208" s="86">
        <v>342900000</v>
      </c>
      <c r="K208" s="83" t="s">
        <v>31</v>
      </c>
      <c r="L208" s="83" t="s">
        <v>72</v>
      </c>
      <c r="M208" s="91">
        <f t="shared" si="21"/>
        <v>6074500000</v>
      </c>
      <c r="N208" s="86">
        <f t="shared" si="22"/>
        <v>3584000000</v>
      </c>
      <c r="O208" s="86">
        <f t="shared" si="23"/>
        <v>2490500000</v>
      </c>
      <c r="P208" s="83">
        <f t="shared" si="19"/>
        <v>0.35926545685352412</v>
      </c>
      <c r="Q208" s="83">
        <f t="shared" si="20"/>
        <v>0.87627304463229572</v>
      </c>
    </row>
    <row r="209" spans="1:17">
      <c r="A209" s="87">
        <v>223</v>
      </c>
      <c r="B209" s="87" t="s">
        <v>121</v>
      </c>
      <c r="C209" s="87" t="s">
        <v>21</v>
      </c>
      <c r="D209" s="84">
        <v>41481</v>
      </c>
      <c r="E209" s="88">
        <f t="shared" si="18"/>
        <v>2013</v>
      </c>
      <c r="F209" s="89">
        <v>9703300000</v>
      </c>
      <c r="G209" s="89">
        <v>1171000000</v>
      </c>
      <c r="H209" s="89">
        <v>2193400000</v>
      </c>
      <c r="I209" s="89">
        <v>1893400000</v>
      </c>
      <c r="J209" s="89">
        <v>489800000</v>
      </c>
      <c r="K209" s="87" t="s">
        <v>31</v>
      </c>
      <c r="L209" s="87" t="s">
        <v>72</v>
      </c>
      <c r="M209" s="90">
        <f t="shared" si="21"/>
        <v>8532300000</v>
      </c>
      <c r="N209" s="89">
        <f t="shared" si="22"/>
        <v>4576600000</v>
      </c>
      <c r="O209" s="89">
        <f t="shared" si="23"/>
        <v>3955700000</v>
      </c>
      <c r="P209" s="87">
        <f t="shared" si="19"/>
        <v>0.40766543340925254</v>
      </c>
      <c r="Q209" s="87">
        <f t="shared" si="20"/>
        <v>0.87931940679974852</v>
      </c>
    </row>
    <row r="210" spans="1:17">
      <c r="A210" s="83">
        <v>224</v>
      </c>
      <c r="B210" s="83" t="s">
        <v>121</v>
      </c>
      <c r="C210" s="83" t="s">
        <v>22</v>
      </c>
      <c r="D210" s="84">
        <v>41482</v>
      </c>
      <c r="E210" s="85">
        <f t="shared" si="18"/>
        <v>2013</v>
      </c>
      <c r="F210" s="86">
        <v>10763800000</v>
      </c>
      <c r="G210" s="86">
        <v>1240400000</v>
      </c>
      <c r="H210" s="86">
        <v>2143600000</v>
      </c>
      <c r="I210" s="86">
        <v>2012800000</v>
      </c>
      <c r="J210" s="86">
        <v>382600000</v>
      </c>
      <c r="K210" s="83" t="s">
        <v>31</v>
      </c>
      <c r="L210" s="83" t="s">
        <v>72</v>
      </c>
      <c r="M210" s="91">
        <f t="shared" si="21"/>
        <v>9523400000</v>
      </c>
      <c r="N210" s="86">
        <f t="shared" si="22"/>
        <v>4539000000</v>
      </c>
      <c r="O210" s="86">
        <f t="shared" si="23"/>
        <v>4984400000</v>
      </c>
      <c r="P210" s="83">
        <f t="shared" si="19"/>
        <v>0.46307066277708614</v>
      </c>
      <c r="Q210" s="83">
        <f t="shared" si="20"/>
        <v>0.88476188706590608</v>
      </c>
    </row>
    <row r="211" spans="1:17">
      <c r="A211" s="87">
        <v>225</v>
      </c>
      <c r="B211" s="87" t="s">
        <v>121</v>
      </c>
      <c r="C211" s="87" t="s">
        <v>23</v>
      </c>
      <c r="D211" s="84">
        <v>41483</v>
      </c>
      <c r="E211" s="88">
        <f t="shared" si="18"/>
        <v>2013</v>
      </c>
      <c r="F211" s="89">
        <v>11448800000</v>
      </c>
      <c r="G211" s="89">
        <v>1478700000</v>
      </c>
      <c r="H211" s="89">
        <v>1972900000</v>
      </c>
      <c r="I211" s="89">
        <v>1973300000</v>
      </c>
      <c r="J211" s="89">
        <v>385600000</v>
      </c>
      <c r="K211" s="87" t="s">
        <v>31</v>
      </c>
      <c r="L211" s="87" t="s">
        <v>72</v>
      </c>
      <c r="M211" s="90">
        <f t="shared" si="21"/>
        <v>9970100000</v>
      </c>
      <c r="N211" s="89">
        <f t="shared" si="22"/>
        <v>4331800000</v>
      </c>
      <c r="O211" s="89">
        <f t="shared" si="23"/>
        <v>5638300000</v>
      </c>
      <c r="P211" s="87">
        <f t="shared" si="19"/>
        <v>0.49247956117671721</v>
      </c>
      <c r="Q211" s="87">
        <f t="shared" si="20"/>
        <v>0.87084235902452656</v>
      </c>
    </row>
    <row r="212" spans="1:17">
      <c r="A212" s="83">
        <v>230</v>
      </c>
      <c r="B212" s="83" t="s">
        <v>122</v>
      </c>
      <c r="C212" s="83" t="s">
        <v>18</v>
      </c>
      <c r="D212" s="84">
        <v>41484</v>
      </c>
      <c r="E212" s="85">
        <f t="shared" si="18"/>
        <v>2013</v>
      </c>
      <c r="F212" s="86">
        <v>8735700000</v>
      </c>
      <c r="G212" s="86">
        <v>7174000000</v>
      </c>
      <c r="H212" s="86">
        <v>488300000</v>
      </c>
      <c r="I212" s="86">
        <v>0</v>
      </c>
      <c r="J212" s="86">
        <v>282900000</v>
      </c>
      <c r="K212" s="83" t="s">
        <v>65</v>
      </c>
      <c r="L212" s="83" t="s">
        <v>123</v>
      </c>
      <c r="M212" s="91">
        <f t="shared" si="21"/>
        <v>1561700000</v>
      </c>
      <c r="N212" s="86">
        <f t="shared" si="22"/>
        <v>771200000</v>
      </c>
      <c r="O212" s="86">
        <f t="shared" si="23"/>
        <v>790500000</v>
      </c>
      <c r="P212" s="83">
        <f t="shared" si="19"/>
        <v>9.0490744874480583E-2</v>
      </c>
      <c r="Q212" s="83">
        <f t="shared" si="20"/>
        <v>0.17877216479503644</v>
      </c>
    </row>
    <row r="213" spans="1:17">
      <c r="A213" s="87">
        <v>231</v>
      </c>
      <c r="B213" s="87" t="s">
        <v>122</v>
      </c>
      <c r="C213" s="87" t="s">
        <v>21</v>
      </c>
      <c r="D213" s="84">
        <v>41485</v>
      </c>
      <c r="E213" s="88">
        <f t="shared" si="18"/>
        <v>2013</v>
      </c>
      <c r="F213" s="89">
        <v>8468100000</v>
      </c>
      <c r="G213" s="89">
        <v>6875400000</v>
      </c>
      <c r="H213" s="89">
        <v>497400000</v>
      </c>
      <c r="I213" s="89">
        <v>0</v>
      </c>
      <c r="J213" s="89">
        <v>299900000</v>
      </c>
      <c r="K213" s="87" t="s">
        <v>65</v>
      </c>
      <c r="L213" s="87" t="s">
        <v>123</v>
      </c>
      <c r="M213" s="90">
        <f t="shared" si="21"/>
        <v>1592700000</v>
      </c>
      <c r="N213" s="89">
        <f t="shared" si="22"/>
        <v>797300000</v>
      </c>
      <c r="O213" s="89">
        <f t="shared" si="23"/>
        <v>795400000</v>
      </c>
      <c r="P213" s="87">
        <f t="shared" si="19"/>
        <v>9.3928980526918671E-2</v>
      </c>
      <c r="Q213" s="87">
        <f t="shared" si="20"/>
        <v>0.1880823325185107</v>
      </c>
    </row>
    <row r="214" spans="1:17">
      <c r="A214" s="83">
        <v>232</v>
      </c>
      <c r="B214" s="83" t="s">
        <v>122</v>
      </c>
      <c r="C214" s="83" t="s">
        <v>22</v>
      </c>
      <c r="D214" s="84">
        <v>41486</v>
      </c>
      <c r="E214" s="85">
        <f t="shared" si="18"/>
        <v>2013</v>
      </c>
      <c r="F214" s="86">
        <v>8570000000</v>
      </c>
      <c r="G214" s="86">
        <v>6903500000</v>
      </c>
      <c r="H214" s="86">
        <v>547000000</v>
      </c>
      <c r="I214" s="86">
        <v>0</v>
      </c>
      <c r="J214" s="86">
        <v>280900000</v>
      </c>
      <c r="K214" s="83" t="s">
        <v>65</v>
      </c>
      <c r="L214" s="83" t="s">
        <v>123</v>
      </c>
      <c r="M214" s="91">
        <f t="shared" si="21"/>
        <v>1666500000</v>
      </c>
      <c r="N214" s="86">
        <f t="shared" si="22"/>
        <v>827900000</v>
      </c>
      <c r="O214" s="86">
        <f t="shared" si="23"/>
        <v>838600000</v>
      </c>
      <c r="P214" s="83">
        <f t="shared" si="19"/>
        <v>9.7852975495915984E-2</v>
      </c>
      <c r="Q214" s="83">
        <f t="shared" si="20"/>
        <v>0.19445740956826141</v>
      </c>
    </row>
    <row r="215" spans="1:17">
      <c r="A215" s="87">
        <v>233</v>
      </c>
      <c r="B215" s="87" t="s">
        <v>122</v>
      </c>
      <c r="C215" s="87" t="s">
        <v>23</v>
      </c>
      <c r="D215" s="84">
        <v>41487</v>
      </c>
      <c r="E215" s="88">
        <f t="shared" si="18"/>
        <v>2013</v>
      </c>
      <c r="F215" s="89">
        <v>7997000000</v>
      </c>
      <c r="G215" s="89">
        <v>6460300000</v>
      </c>
      <c r="H215" s="89">
        <v>646000000</v>
      </c>
      <c r="I215" s="89">
        <v>0</v>
      </c>
      <c r="J215" s="89">
        <v>285500000</v>
      </c>
      <c r="K215" s="87" t="s">
        <v>65</v>
      </c>
      <c r="L215" s="87" t="s">
        <v>123</v>
      </c>
      <c r="M215" s="90">
        <f t="shared" si="21"/>
        <v>1536700000</v>
      </c>
      <c r="N215" s="89">
        <f t="shared" si="22"/>
        <v>931500000</v>
      </c>
      <c r="O215" s="89">
        <f t="shared" si="23"/>
        <v>605200000</v>
      </c>
      <c r="P215" s="87">
        <f t="shared" si="19"/>
        <v>7.5678379392272108E-2</v>
      </c>
      <c r="Q215" s="87">
        <f t="shared" si="20"/>
        <v>0.19215955983493815</v>
      </c>
    </row>
    <row r="216" spans="1:17">
      <c r="A216" s="83">
        <v>234</v>
      </c>
      <c r="B216" s="83" t="s">
        <v>124</v>
      </c>
      <c r="C216" s="83" t="s">
        <v>18</v>
      </c>
      <c r="D216" s="84">
        <v>41488</v>
      </c>
      <c r="E216" s="85">
        <f t="shared" si="18"/>
        <v>2013</v>
      </c>
      <c r="F216" s="86">
        <v>17621000000</v>
      </c>
      <c r="G216" s="86">
        <v>4610000000</v>
      </c>
      <c r="H216" s="86">
        <v>5017000000</v>
      </c>
      <c r="I216" s="86">
        <v>3904000000</v>
      </c>
      <c r="J216" s="86">
        <v>0</v>
      </c>
      <c r="K216" s="83" t="s">
        <v>31</v>
      </c>
      <c r="L216" s="83" t="s">
        <v>34</v>
      </c>
      <c r="M216" s="91">
        <f t="shared" si="21"/>
        <v>13011000000</v>
      </c>
      <c r="N216" s="86">
        <f t="shared" si="22"/>
        <v>8921000000</v>
      </c>
      <c r="O216" s="86">
        <f t="shared" si="23"/>
        <v>4090000000</v>
      </c>
      <c r="P216" s="83">
        <f t="shared" si="19"/>
        <v>0.23210941490267295</v>
      </c>
      <c r="Q216" s="83">
        <f t="shared" si="20"/>
        <v>0.73838034163781852</v>
      </c>
    </row>
    <row r="217" spans="1:17">
      <c r="A217" s="87">
        <v>235</v>
      </c>
      <c r="B217" s="87" t="s">
        <v>124</v>
      </c>
      <c r="C217" s="87" t="s">
        <v>21</v>
      </c>
      <c r="D217" s="84">
        <v>41489</v>
      </c>
      <c r="E217" s="88">
        <f t="shared" si="18"/>
        <v>2013</v>
      </c>
      <c r="F217" s="89">
        <v>16385000000</v>
      </c>
      <c r="G217" s="89">
        <v>4619000000</v>
      </c>
      <c r="H217" s="89">
        <v>4939000000</v>
      </c>
      <c r="I217" s="89">
        <v>3731000000</v>
      </c>
      <c r="J217" s="89">
        <v>0</v>
      </c>
      <c r="K217" s="87" t="s">
        <v>31</v>
      </c>
      <c r="L217" s="87" t="s">
        <v>34</v>
      </c>
      <c r="M217" s="90">
        <f t="shared" si="21"/>
        <v>11766000000</v>
      </c>
      <c r="N217" s="89">
        <f t="shared" si="22"/>
        <v>8670000000</v>
      </c>
      <c r="O217" s="89">
        <f t="shared" si="23"/>
        <v>3096000000</v>
      </c>
      <c r="P217" s="87">
        <f t="shared" si="19"/>
        <v>0.1889533109551419</v>
      </c>
      <c r="Q217" s="87">
        <f t="shared" si="20"/>
        <v>0.71809581934696376</v>
      </c>
    </row>
    <row r="218" spans="1:17">
      <c r="A218" s="83">
        <v>236</v>
      </c>
      <c r="B218" s="83" t="s">
        <v>124</v>
      </c>
      <c r="C218" s="83" t="s">
        <v>22</v>
      </c>
      <c r="D218" s="84">
        <v>41490</v>
      </c>
      <c r="E218" s="85">
        <f t="shared" si="18"/>
        <v>2013</v>
      </c>
      <c r="F218" s="86">
        <v>15879000000</v>
      </c>
      <c r="G218" s="86">
        <v>3932000000</v>
      </c>
      <c r="H218" s="86">
        <v>4822000000</v>
      </c>
      <c r="I218" s="86">
        <v>4534000000</v>
      </c>
      <c r="J218" s="86">
        <v>0</v>
      </c>
      <c r="K218" s="83" t="s">
        <v>31</v>
      </c>
      <c r="L218" s="83" t="s">
        <v>34</v>
      </c>
      <c r="M218" s="91">
        <f t="shared" si="21"/>
        <v>11947000000</v>
      </c>
      <c r="N218" s="86">
        <f t="shared" si="22"/>
        <v>9356000000</v>
      </c>
      <c r="O218" s="86">
        <f t="shared" si="23"/>
        <v>2591000000</v>
      </c>
      <c r="P218" s="83">
        <f t="shared" si="19"/>
        <v>0.16317148435039991</v>
      </c>
      <c r="Q218" s="83">
        <f t="shared" si="20"/>
        <v>0.75237735373764092</v>
      </c>
    </row>
    <row r="219" spans="1:17">
      <c r="A219" s="87">
        <v>237</v>
      </c>
      <c r="B219" s="87" t="s">
        <v>124</v>
      </c>
      <c r="C219" s="87" t="s">
        <v>23</v>
      </c>
      <c r="D219" s="84">
        <v>41491</v>
      </c>
      <c r="E219" s="88">
        <f t="shared" si="18"/>
        <v>2013</v>
      </c>
      <c r="F219" s="89">
        <v>16560000000</v>
      </c>
      <c r="G219" s="89">
        <v>3909000000</v>
      </c>
      <c r="H219" s="89">
        <v>4841000000</v>
      </c>
      <c r="I219" s="89">
        <v>5920000000</v>
      </c>
      <c r="J219" s="89">
        <v>0</v>
      </c>
      <c r="K219" s="87" t="s">
        <v>31</v>
      </c>
      <c r="L219" s="87" t="s">
        <v>34</v>
      </c>
      <c r="M219" s="90">
        <f t="shared" si="21"/>
        <v>12651000000</v>
      </c>
      <c r="N219" s="89">
        <f t="shared" si="22"/>
        <v>10761000000</v>
      </c>
      <c r="O219" s="89">
        <f t="shared" si="23"/>
        <v>1890000000</v>
      </c>
      <c r="P219" s="87">
        <f t="shared" si="19"/>
        <v>0.11413043478260869</v>
      </c>
      <c r="Q219" s="87">
        <f t="shared" si="20"/>
        <v>0.76394927536231882</v>
      </c>
    </row>
    <row r="220" spans="1:17">
      <c r="A220" s="83">
        <v>238</v>
      </c>
      <c r="B220" s="83" t="s">
        <v>125</v>
      </c>
      <c r="C220" s="83" t="s">
        <v>18</v>
      </c>
      <c r="D220" s="84">
        <v>41492</v>
      </c>
      <c r="E220" s="85">
        <f t="shared" si="18"/>
        <v>2013</v>
      </c>
      <c r="F220" s="86">
        <v>7249000000</v>
      </c>
      <c r="G220" s="86">
        <v>2349000000</v>
      </c>
      <c r="H220" s="86">
        <v>2529000000</v>
      </c>
      <c r="I220" s="86">
        <v>886000000</v>
      </c>
      <c r="J220" s="86">
        <v>395000000</v>
      </c>
      <c r="K220" s="83" t="s">
        <v>31</v>
      </c>
      <c r="L220" s="83" t="s">
        <v>36</v>
      </c>
      <c r="M220" s="91">
        <f t="shared" si="21"/>
        <v>4900000000</v>
      </c>
      <c r="N220" s="86">
        <f t="shared" si="22"/>
        <v>3810000000</v>
      </c>
      <c r="O220" s="86">
        <f t="shared" si="23"/>
        <v>1090000000</v>
      </c>
      <c r="P220" s="83">
        <f t="shared" si="19"/>
        <v>0.15036556766450546</v>
      </c>
      <c r="Q220" s="83">
        <f t="shared" si="20"/>
        <v>0.67595530417988692</v>
      </c>
    </row>
    <row r="221" spans="1:17">
      <c r="A221" s="87">
        <v>239</v>
      </c>
      <c r="B221" s="87" t="s">
        <v>125</v>
      </c>
      <c r="C221" s="87" t="s">
        <v>21</v>
      </c>
      <c r="D221" s="84">
        <v>41493</v>
      </c>
      <c r="E221" s="88">
        <f t="shared" si="18"/>
        <v>2013</v>
      </c>
      <c r="F221" s="89">
        <v>7143000000</v>
      </c>
      <c r="G221" s="89">
        <v>2174000000</v>
      </c>
      <c r="H221" s="89">
        <v>2678000000</v>
      </c>
      <c r="I221" s="89">
        <v>861000000</v>
      </c>
      <c r="J221" s="89">
        <v>410000000</v>
      </c>
      <c r="K221" s="87" t="s">
        <v>31</v>
      </c>
      <c r="L221" s="87" t="s">
        <v>36</v>
      </c>
      <c r="M221" s="90">
        <f t="shared" si="21"/>
        <v>4969000000</v>
      </c>
      <c r="N221" s="89">
        <f t="shared" si="22"/>
        <v>3949000000</v>
      </c>
      <c r="O221" s="89">
        <f t="shared" si="23"/>
        <v>1020000000</v>
      </c>
      <c r="P221" s="87">
        <f t="shared" si="19"/>
        <v>0.14279714405711885</v>
      </c>
      <c r="Q221" s="87">
        <f t="shared" si="20"/>
        <v>0.69564608707825837</v>
      </c>
    </row>
    <row r="222" spans="1:17">
      <c r="A222" s="83">
        <v>240</v>
      </c>
      <c r="B222" s="83" t="s">
        <v>125</v>
      </c>
      <c r="C222" s="83" t="s">
        <v>22</v>
      </c>
      <c r="D222" s="84">
        <v>41494</v>
      </c>
      <c r="E222" s="85">
        <f t="shared" si="18"/>
        <v>2013</v>
      </c>
      <c r="F222" s="86">
        <v>7380000000</v>
      </c>
      <c r="G222" s="86">
        <v>2210000000</v>
      </c>
      <c r="H222" s="86">
        <v>2817000000</v>
      </c>
      <c r="I222" s="86">
        <v>817000000</v>
      </c>
      <c r="J222" s="86">
        <v>438000000</v>
      </c>
      <c r="K222" s="83" t="s">
        <v>31</v>
      </c>
      <c r="L222" s="83" t="s">
        <v>36</v>
      </c>
      <c r="M222" s="91">
        <f t="shared" si="21"/>
        <v>5170000000</v>
      </c>
      <c r="N222" s="86">
        <f t="shared" si="22"/>
        <v>4072000000</v>
      </c>
      <c r="O222" s="86">
        <f t="shared" si="23"/>
        <v>1098000000</v>
      </c>
      <c r="P222" s="83">
        <f t="shared" si="19"/>
        <v>0.14878048780487804</v>
      </c>
      <c r="Q222" s="83">
        <f t="shared" si="20"/>
        <v>0.70054200542005418</v>
      </c>
    </row>
    <row r="223" spans="1:17">
      <c r="A223" s="87">
        <v>241</v>
      </c>
      <c r="B223" s="87" t="s">
        <v>125</v>
      </c>
      <c r="C223" s="87" t="s">
        <v>23</v>
      </c>
      <c r="D223" s="84">
        <v>41495</v>
      </c>
      <c r="E223" s="88">
        <f t="shared" si="18"/>
        <v>2013</v>
      </c>
      <c r="F223" s="89">
        <v>7477000000</v>
      </c>
      <c r="G223" s="89">
        <v>2173000000</v>
      </c>
      <c r="H223" s="89">
        <v>2996000000</v>
      </c>
      <c r="I223" s="89">
        <v>876000000</v>
      </c>
      <c r="J223" s="89">
        <v>495000000</v>
      </c>
      <c r="K223" s="87" t="s">
        <v>31</v>
      </c>
      <c r="L223" s="87" t="s">
        <v>36</v>
      </c>
      <c r="M223" s="90">
        <f t="shared" si="21"/>
        <v>5304000000</v>
      </c>
      <c r="N223" s="89">
        <f t="shared" si="22"/>
        <v>4367000000</v>
      </c>
      <c r="O223" s="89">
        <f t="shared" si="23"/>
        <v>937000000</v>
      </c>
      <c r="P223" s="87">
        <f t="shared" si="19"/>
        <v>0.1253176407650127</v>
      </c>
      <c r="Q223" s="87">
        <f t="shared" si="20"/>
        <v>0.709375417948375</v>
      </c>
    </row>
    <row r="224" spans="1:17">
      <c r="A224" s="83">
        <v>242</v>
      </c>
      <c r="B224" s="83" t="s">
        <v>126</v>
      </c>
      <c r="C224" s="83" t="s">
        <v>18</v>
      </c>
      <c r="D224" s="84">
        <v>41496</v>
      </c>
      <c r="E224" s="85">
        <f t="shared" si="18"/>
        <v>2013</v>
      </c>
      <c r="F224" s="86">
        <v>7436600000</v>
      </c>
      <c r="G224" s="86">
        <v>5879100000</v>
      </c>
      <c r="H224" s="86">
        <v>702300000</v>
      </c>
      <c r="I224" s="86">
        <v>0</v>
      </c>
      <c r="J224" s="86">
        <v>0</v>
      </c>
      <c r="K224" s="83" t="s">
        <v>25</v>
      </c>
      <c r="L224" s="83" t="s">
        <v>127</v>
      </c>
      <c r="M224" s="91">
        <f t="shared" si="21"/>
        <v>1557500000</v>
      </c>
      <c r="N224" s="86">
        <f t="shared" si="22"/>
        <v>702300000</v>
      </c>
      <c r="O224" s="86">
        <f t="shared" si="23"/>
        <v>855200000</v>
      </c>
      <c r="P224" s="83">
        <f t="shared" si="19"/>
        <v>0.11499878976951833</v>
      </c>
      <c r="Q224" s="83">
        <f t="shared" si="20"/>
        <v>0.20943710835596907</v>
      </c>
    </row>
    <row r="225" spans="1:17">
      <c r="A225" s="87">
        <v>243</v>
      </c>
      <c r="B225" s="87" t="s">
        <v>126</v>
      </c>
      <c r="C225" s="87" t="s">
        <v>21</v>
      </c>
      <c r="D225" s="84">
        <v>41497</v>
      </c>
      <c r="E225" s="88">
        <f t="shared" si="18"/>
        <v>2013</v>
      </c>
      <c r="F225" s="89">
        <v>8305100000</v>
      </c>
      <c r="G225" s="89">
        <v>6548700000</v>
      </c>
      <c r="H225" s="89">
        <v>792700000</v>
      </c>
      <c r="I225" s="89">
        <v>0</v>
      </c>
      <c r="J225" s="89">
        <v>0</v>
      </c>
      <c r="K225" s="87" t="s">
        <v>25</v>
      </c>
      <c r="L225" s="87" t="s">
        <v>127</v>
      </c>
      <c r="M225" s="90">
        <f t="shared" si="21"/>
        <v>1756400000</v>
      </c>
      <c r="N225" s="89">
        <f t="shared" si="22"/>
        <v>792700000</v>
      </c>
      <c r="O225" s="89">
        <f t="shared" si="23"/>
        <v>963700000</v>
      </c>
      <c r="P225" s="87">
        <f t="shared" si="19"/>
        <v>0.11603713380934606</v>
      </c>
      <c r="Q225" s="87">
        <f t="shared" si="20"/>
        <v>0.21148450951824782</v>
      </c>
    </row>
    <row r="226" spans="1:17">
      <c r="A226" s="83">
        <v>244</v>
      </c>
      <c r="B226" s="83" t="s">
        <v>126</v>
      </c>
      <c r="C226" s="83" t="s">
        <v>22</v>
      </c>
      <c r="D226" s="84">
        <v>41498</v>
      </c>
      <c r="E226" s="85">
        <f t="shared" si="18"/>
        <v>2013</v>
      </c>
      <c r="F226" s="86">
        <v>8023200000</v>
      </c>
      <c r="G226" s="86">
        <v>6320100000</v>
      </c>
      <c r="H226" s="86">
        <v>763400000</v>
      </c>
      <c r="I226" s="86">
        <v>0</v>
      </c>
      <c r="J226" s="86">
        <v>0</v>
      </c>
      <c r="K226" s="83" t="s">
        <v>25</v>
      </c>
      <c r="L226" s="83" t="s">
        <v>127</v>
      </c>
      <c r="M226" s="91">
        <f t="shared" si="21"/>
        <v>1703100000</v>
      </c>
      <c r="N226" s="86">
        <f t="shared" si="22"/>
        <v>763400000</v>
      </c>
      <c r="O226" s="86">
        <f t="shared" si="23"/>
        <v>939700000</v>
      </c>
      <c r="P226" s="83">
        <f t="shared" si="19"/>
        <v>0.11712284375311596</v>
      </c>
      <c r="Q226" s="83">
        <f t="shared" si="20"/>
        <v>0.21227191145677538</v>
      </c>
    </row>
    <row r="227" spans="1:17">
      <c r="A227" s="87">
        <v>245</v>
      </c>
      <c r="B227" s="87" t="s">
        <v>126</v>
      </c>
      <c r="C227" s="87" t="s">
        <v>23</v>
      </c>
      <c r="D227" s="84">
        <v>41499</v>
      </c>
      <c r="E227" s="88">
        <f t="shared" si="18"/>
        <v>2013</v>
      </c>
      <c r="F227" s="89">
        <v>9071000000</v>
      </c>
      <c r="G227" s="89">
        <v>7137900000</v>
      </c>
      <c r="H227" s="89">
        <v>1707200000</v>
      </c>
      <c r="I227" s="89">
        <v>0</v>
      </c>
      <c r="J227" s="89">
        <v>0</v>
      </c>
      <c r="K227" s="87" t="s">
        <v>25</v>
      </c>
      <c r="L227" s="87" t="s">
        <v>127</v>
      </c>
      <c r="M227" s="90">
        <f t="shared" si="21"/>
        <v>1933100000</v>
      </c>
      <c r="N227" s="89">
        <f t="shared" si="22"/>
        <v>1707200000</v>
      </c>
      <c r="O227" s="89">
        <f t="shared" si="23"/>
        <v>225900000</v>
      </c>
      <c r="P227" s="87">
        <f t="shared" si="19"/>
        <v>2.4903538749862199E-2</v>
      </c>
      <c r="Q227" s="87">
        <f t="shared" si="20"/>
        <v>0.21310770587586814</v>
      </c>
    </row>
    <row r="228" spans="1:17">
      <c r="A228" s="83">
        <v>246</v>
      </c>
      <c r="B228" s="83" t="s">
        <v>128</v>
      </c>
      <c r="C228" s="83" t="s">
        <v>18</v>
      </c>
      <c r="D228" s="84">
        <v>41500</v>
      </c>
      <c r="E228" s="85">
        <f t="shared" si="18"/>
        <v>2013</v>
      </c>
      <c r="F228" s="86">
        <v>1847186000</v>
      </c>
      <c r="G228" s="86">
        <v>667208000</v>
      </c>
      <c r="H228" s="86">
        <v>93782000</v>
      </c>
      <c r="I228" s="86">
        <v>0</v>
      </c>
      <c r="J228" s="86">
        <v>445875000</v>
      </c>
      <c r="K228" s="83" t="s">
        <v>58</v>
      </c>
      <c r="L228" s="83" t="s">
        <v>59</v>
      </c>
      <c r="M228" s="91">
        <f t="shared" si="21"/>
        <v>1179978000</v>
      </c>
      <c r="N228" s="86">
        <f t="shared" si="22"/>
        <v>539657000</v>
      </c>
      <c r="O228" s="86">
        <f t="shared" si="23"/>
        <v>640321000</v>
      </c>
      <c r="P228" s="83">
        <f t="shared" si="19"/>
        <v>0.34664673725331396</v>
      </c>
      <c r="Q228" s="83">
        <f t="shared" si="20"/>
        <v>0.6387976089034888</v>
      </c>
    </row>
    <row r="229" spans="1:17">
      <c r="A229" s="87">
        <v>247</v>
      </c>
      <c r="B229" s="87" t="s">
        <v>128</v>
      </c>
      <c r="C229" s="87" t="s">
        <v>21</v>
      </c>
      <c r="D229" s="84">
        <v>41501</v>
      </c>
      <c r="E229" s="88">
        <f t="shared" si="18"/>
        <v>2013</v>
      </c>
      <c r="F229" s="89">
        <v>2135539000</v>
      </c>
      <c r="G229" s="89">
        <v>771403000</v>
      </c>
      <c r="H229" s="89">
        <v>117073000</v>
      </c>
      <c r="I229" s="89">
        <v>0</v>
      </c>
      <c r="J229" s="89">
        <v>560637000</v>
      </c>
      <c r="K229" s="87" t="s">
        <v>58</v>
      </c>
      <c r="L229" s="87" t="s">
        <v>59</v>
      </c>
      <c r="M229" s="90">
        <f t="shared" si="21"/>
        <v>1364136000</v>
      </c>
      <c r="N229" s="89">
        <f t="shared" si="22"/>
        <v>677710000</v>
      </c>
      <c r="O229" s="89">
        <f t="shared" si="23"/>
        <v>686426000</v>
      </c>
      <c r="P229" s="87">
        <f t="shared" si="19"/>
        <v>0.3214298591596782</v>
      </c>
      <c r="Q229" s="87">
        <f t="shared" si="20"/>
        <v>0.63877831310971134</v>
      </c>
    </row>
    <row r="230" spans="1:17">
      <c r="A230" s="83">
        <v>248</v>
      </c>
      <c r="B230" s="83" t="s">
        <v>128</v>
      </c>
      <c r="C230" s="83" t="s">
        <v>22</v>
      </c>
      <c r="D230" s="84">
        <v>41502</v>
      </c>
      <c r="E230" s="85">
        <f t="shared" si="18"/>
        <v>2013</v>
      </c>
      <c r="F230" s="86">
        <v>2396998000</v>
      </c>
      <c r="G230" s="86">
        <v>864526000</v>
      </c>
      <c r="H230" s="86">
        <v>102077000</v>
      </c>
      <c r="I230" s="86">
        <v>0</v>
      </c>
      <c r="J230" s="86">
        <v>628573000</v>
      </c>
      <c r="K230" s="83" t="s">
        <v>58</v>
      </c>
      <c r="L230" s="83" t="s">
        <v>59</v>
      </c>
      <c r="M230" s="91">
        <f t="shared" si="21"/>
        <v>1532472000</v>
      </c>
      <c r="N230" s="86">
        <f t="shared" si="22"/>
        <v>730650000</v>
      </c>
      <c r="O230" s="86">
        <f t="shared" si="23"/>
        <v>801822000</v>
      </c>
      <c r="P230" s="83">
        <f t="shared" si="19"/>
        <v>0.33451091740585515</v>
      </c>
      <c r="Q230" s="83">
        <f t="shared" si="20"/>
        <v>0.63932969489336244</v>
      </c>
    </row>
    <row r="231" spans="1:17">
      <c r="A231" s="87">
        <v>249</v>
      </c>
      <c r="B231" s="87" t="s">
        <v>128</v>
      </c>
      <c r="C231" s="87" t="s">
        <v>23</v>
      </c>
      <c r="D231" s="84">
        <v>41503</v>
      </c>
      <c r="E231" s="88">
        <f t="shared" si="18"/>
        <v>2013</v>
      </c>
      <c r="F231" s="89">
        <v>2490821000</v>
      </c>
      <c r="G231" s="89">
        <v>904336000</v>
      </c>
      <c r="H231" s="89">
        <v>97578000</v>
      </c>
      <c r="I231" s="89">
        <v>0</v>
      </c>
      <c r="J231" s="89">
        <v>639542000</v>
      </c>
      <c r="K231" s="87" t="s">
        <v>58</v>
      </c>
      <c r="L231" s="87" t="s">
        <v>59</v>
      </c>
      <c r="M231" s="90">
        <f t="shared" si="21"/>
        <v>1586485000</v>
      </c>
      <c r="N231" s="89">
        <f t="shared" si="22"/>
        <v>737120000</v>
      </c>
      <c r="O231" s="89">
        <f t="shared" si="23"/>
        <v>849365000</v>
      </c>
      <c r="P231" s="87">
        <f t="shared" si="19"/>
        <v>0.34099800828722737</v>
      </c>
      <c r="Q231" s="87">
        <f t="shared" si="20"/>
        <v>0.63693256159314537</v>
      </c>
    </row>
    <row r="232" spans="1:17">
      <c r="A232" s="83">
        <v>254</v>
      </c>
      <c r="B232" s="83" t="s">
        <v>129</v>
      </c>
      <c r="C232" s="83" t="s">
        <v>18</v>
      </c>
      <c r="D232" s="84">
        <v>41504</v>
      </c>
      <c r="E232" s="85">
        <f t="shared" si="18"/>
        <v>2013</v>
      </c>
      <c r="F232" s="86">
        <v>13469300000</v>
      </c>
      <c r="G232" s="86">
        <v>10104400000</v>
      </c>
      <c r="H232" s="86">
        <v>2065900000</v>
      </c>
      <c r="I232" s="86">
        <v>0</v>
      </c>
      <c r="J232" s="86">
        <v>0</v>
      </c>
      <c r="K232" s="83" t="s">
        <v>42</v>
      </c>
      <c r="L232" s="83" t="s">
        <v>130</v>
      </c>
      <c r="M232" s="91">
        <f t="shared" si="21"/>
        <v>3364900000</v>
      </c>
      <c r="N232" s="86">
        <f t="shared" si="22"/>
        <v>2065900000</v>
      </c>
      <c r="O232" s="86">
        <f t="shared" si="23"/>
        <v>1299000000</v>
      </c>
      <c r="P232" s="83">
        <f t="shared" si="19"/>
        <v>9.6441537422137749E-2</v>
      </c>
      <c r="Q232" s="83">
        <f t="shared" si="20"/>
        <v>0.24981996094823045</v>
      </c>
    </row>
    <row r="233" spans="1:17">
      <c r="A233" s="87">
        <v>255</v>
      </c>
      <c r="B233" s="87" t="s">
        <v>129</v>
      </c>
      <c r="C233" s="87" t="s">
        <v>21</v>
      </c>
      <c r="D233" s="84">
        <v>41505</v>
      </c>
      <c r="E233" s="88">
        <f t="shared" si="18"/>
        <v>2013</v>
      </c>
      <c r="F233" s="89">
        <v>11838200000</v>
      </c>
      <c r="G233" s="89">
        <v>8910800000</v>
      </c>
      <c r="H233" s="89">
        <v>1778900000</v>
      </c>
      <c r="I233" s="89">
        <v>0</v>
      </c>
      <c r="J233" s="89">
        <v>0</v>
      </c>
      <c r="K233" s="87" t="s">
        <v>42</v>
      </c>
      <c r="L233" s="87" t="s">
        <v>130</v>
      </c>
      <c r="M233" s="90">
        <f t="shared" si="21"/>
        <v>2927400000</v>
      </c>
      <c r="N233" s="89">
        <f t="shared" si="22"/>
        <v>1778900000</v>
      </c>
      <c r="O233" s="89">
        <f t="shared" si="23"/>
        <v>1148500000</v>
      </c>
      <c r="P233" s="87">
        <f t="shared" si="19"/>
        <v>9.7016438309878189E-2</v>
      </c>
      <c r="Q233" s="87">
        <f t="shared" si="20"/>
        <v>0.24728421550573565</v>
      </c>
    </row>
    <row r="234" spans="1:17">
      <c r="A234" s="83">
        <v>256</v>
      </c>
      <c r="B234" s="83" t="s">
        <v>129</v>
      </c>
      <c r="C234" s="83" t="s">
        <v>22</v>
      </c>
      <c r="D234" s="84">
        <v>41506</v>
      </c>
      <c r="E234" s="85">
        <f t="shared" si="18"/>
        <v>2013</v>
      </c>
      <c r="F234" s="86">
        <v>11937000000</v>
      </c>
      <c r="G234" s="86">
        <v>9061400000</v>
      </c>
      <c r="H234" s="86">
        <v>1545300000</v>
      </c>
      <c r="I234" s="86">
        <v>0</v>
      </c>
      <c r="J234" s="86">
        <v>0</v>
      </c>
      <c r="K234" s="83" t="s">
        <v>42</v>
      </c>
      <c r="L234" s="83" t="s">
        <v>130</v>
      </c>
      <c r="M234" s="91">
        <f t="shared" si="21"/>
        <v>2875600000</v>
      </c>
      <c r="N234" s="86">
        <f t="shared" si="22"/>
        <v>1545300000</v>
      </c>
      <c r="O234" s="86">
        <f t="shared" si="23"/>
        <v>1330300000</v>
      </c>
      <c r="P234" s="83">
        <f t="shared" si="19"/>
        <v>0.1114434112423557</v>
      </c>
      <c r="Q234" s="83">
        <f t="shared" si="20"/>
        <v>0.24089804808578374</v>
      </c>
    </row>
    <row r="235" spans="1:17">
      <c r="A235" s="87">
        <v>257</v>
      </c>
      <c r="B235" s="87" t="s">
        <v>129</v>
      </c>
      <c r="C235" s="87" t="s">
        <v>23</v>
      </c>
      <c r="D235" s="84">
        <v>41507</v>
      </c>
      <c r="E235" s="88">
        <f t="shared" si="18"/>
        <v>2013</v>
      </c>
      <c r="F235" s="89">
        <v>11642900000</v>
      </c>
      <c r="G235" s="89">
        <v>8552100000</v>
      </c>
      <c r="H235" s="89">
        <v>2209400000</v>
      </c>
      <c r="I235" s="89">
        <v>0</v>
      </c>
      <c r="J235" s="89">
        <v>0</v>
      </c>
      <c r="K235" s="87" t="s">
        <v>42</v>
      </c>
      <c r="L235" s="87" t="s">
        <v>130</v>
      </c>
      <c r="M235" s="90">
        <f t="shared" si="21"/>
        <v>3090800000</v>
      </c>
      <c r="N235" s="89">
        <f t="shared" si="22"/>
        <v>2209400000</v>
      </c>
      <c r="O235" s="89">
        <f t="shared" si="23"/>
        <v>881400000</v>
      </c>
      <c r="P235" s="87">
        <f t="shared" si="19"/>
        <v>7.570278882409022E-2</v>
      </c>
      <c r="Q235" s="87">
        <f t="shared" si="20"/>
        <v>0.26546650748524847</v>
      </c>
    </row>
    <row r="236" spans="1:17">
      <c r="A236" s="83">
        <v>258</v>
      </c>
      <c r="B236" s="83" t="s">
        <v>131</v>
      </c>
      <c r="C236" s="83" t="s">
        <v>18</v>
      </c>
      <c r="D236" s="84">
        <v>41508</v>
      </c>
      <c r="E236" s="85">
        <f t="shared" si="18"/>
        <v>2013</v>
      </c>
      <c r="F236" s="86">
        <v>101093000000</v>
      </c>
      <c r="G236" s="86">
        <v>96172000000</v>
      </c>
      <c r="H236" s="86">
        <v>2875000000</v>
      </c>
      <c r="I236" s="86">
        <v>0</v>
      </c>
      <c r="J236" s="86">
        <v>158000000</v>
      </c>
      <c r="K236" s="83" t="s">
        <v>31</v>
      </c>
      <c r="L236" s="83" t="s">
        <v>34</v>
      </c>
      <c r="M236" s="91">
        <f t="shared" si="21"/>
        <v>4921000000</v>
      </c>
      <c r="N236" s="86">
        <f t="shared" si="22"/>
        <v>3033000000</v>
      </c>
      <c r="O236" s="86">
        <f t="shared" si="23"/>
        <v>1888000000</v>
      </c>
      <c r="P236" s="83">
        <f t="shared" si="19"/>
        <v>1.8675872711265865E-2</v>
      </c>
      <c r="Q236" s="83">
        <f t="shared" si="20"/>
        <v>4.8677950006429715E-2</v>
      </c>
    </row>
    <row r="237" spans="1:17">
      <c r="A237" s="87">
        <v>259</v>
      </c>
      <c r="B237" s="87" t="s">
        <v>131</v>
      </c>
      <c r="C237" s="87" t="s">
        <v>21</v>
      </c>
      <c r="D237" s="84">
        <v>41509</v>
      </c>
      <c r="E237" s="88">
        <f t="shared" si="18"/>
        <v>2013</v>
      </c>
      <c r="F237" s="89">
        <v>91084000000</v>
      </c>
      <c r="G237" s="89">
        <v>85923000000</v>
      </c>
      <c r="H237" s="89">
        <v>3028000000</v>
      </c>
      <c r="I237" s="89">
        <v>0</v>
      </c>
      <c r="J237" s="89">
        <v>223000000</v>
      </c>
      <c r="K237" s="87" t="s">
        <v>31</v>
      </c>
      <c r="L237" s="87" t="s">
        <v>34</v>
      </c>
      <c r="M237" s="90">
        <f t="shared" si="21"/>
        <v>5161000000</v>
      </c>
      <c r="N237" s="89">
        <f t="shared" si="22"/>
        <v>3251000000</v>
      </c>
      <c r="O237" s="89">
        <f t="shared" si="23"/>
        <v>1910000000</v>
      </c>
      <c r="P237" s="87">
        <f t="shared" si="19"/>
        <v>2.0969654384963329E-2</v>
      </c>
      <c r="Q237" s="87">
        <f t="shared" si="20"/>
        <v>5.6661982345966311E-2</v>
      </c>
    </row>
    <row r="238" spans="1:17">
      <c r="A238" s="83">
        <v>260</v>
      </c>
      <c r="B238" s="83" t="s">
        <v>131</v>
      </c>
      <c r="C238" s="83" t="s">
        <v>22</v>
      </c>
      <c r="D238" s="84">
        <v>41510</v>
      </c>
      <c r="E238" s="85">
        <f t="shared" si="18"/>
        <v>2013</v>
      </c>
      <c r="F238" s="86">
        <v>102531000000</v>
      </c>
      <c r="G238" s="86">
        <v>96819000000</v>
      </c>
      <c r="H238" s="86">
        <v>3240000000</v>
      </c>
      <c r="I238" s="86">
        <v>0</v>
      </c>
      <c r="J238" s="86">
        <v>281000000</v>
      </c>
      <c r="K238" s="83" t="s">
        <v>31</v>
      </c>
      <c r="L238" s="83" t="s">
        <v>34</v>
      </c>
      <c r="M238" s="91">
        <f t="shared" si="21"/>
        <v>5712000000</v>
      </c>
      <c r="N238" s="86">
        <f t="shared" si="22"/>
        <v>3521000000</v>
      </c>
      <c r="O238" s="86">
        <f t="shared" si="23"/>
        <v>2191000000</v>
      </c>
      <c r="P238" s="83">
        <f t="shared" si="19"/>
        <v>2.1369146892159446E-2</v>
      </c>
      <c r="Q238" s="83">
        <f t="shared" si="20"/>
        <v>5.570998039617292E-2</v>
      </c>
    </row>
    <row r="239" spans="1:17">
      <c r="A239" s="87">
        <v>261</v>
      </c>
      <c r="B239" s="87" t="s">
        <v>131</v>
      </c>
      <c r="C239" s="87" t="s">
        <v>23</v>
      </c>
      <c r="D239" s="84">
        <v>41511</v>
      </c>
      <c r="E239" s="88">
        <f t="shared" si="18"/>
        <v>2013</v>
      </c>
      <c r="F239" s="89">
        <v>121546000000</v>
      </c>
      <c r="G239" s="89">
        <v>115003000000</v>
      </c>
      <c r="H239" s="89">
        <v>3648000000</v>
      </c>
      <c r="I239" s="89">
        <v>0</v>
      </c>
      <c r="J239" s="89">
        <v>459000000</v>
      </c>
      <c r="K239" s="87" t="s">
        <v>31</v>
      </c>
      <c r="L239" s="87" t="s">
        <v>34</v>
      </c>
      <c r="M239" s="90">
        <f t="shared" si="21"/>
        <v>6543000000</v>
      </c>
      <c r="N239" s="89">
        <f t="shared" si="22"/>
        <v>4107000000</v>
      </c>
      <c r="O239" s="89">
        <f t="shared" si="23"/>
        <v>2436000000</v>
      </c>
      <c r="P239" s="87">
        <f t="shared" si="19"/>
        <v>2.004179487601402E-2</v>
      </c>
      <c r="Q239" s="87">
        <f t="shared" si="20"/>
        <v>5.3831471212545057E-2</v>
      </c>
    </row>
    <row r="240" spans="1:17">
      <c r="A240" s="83">
        <v>262</v>
      </c>
      <c r="B240" s="83" t="s">
        <v>132</v>
      </c>
      <c r="C240" s="83" t="s">
        <v>18</v>
      </c>
      <c r="D240" s="84">
        <v>41512</v>
      </c>
      <c r="E240" s="85">
        <f t="shared" si="18"/>
        <v>2013</v>
      </c>
      <c r="F240" s="86">
        <v>55656000000</v>
      </c>
      <c r="G240" s="86">
        <v>41454000000</v>
      </c>
      <c r="H240" s="86">
        <v>6528000000</v>
      </c>
      <c r="I240" s="86">
        <v>2046000000</v>
      </c>
      <c r="J240" s="86">
        <v>0</v>
      </c>
      <c r="K240" s="83" t="s">
        <v>19</v>
      </c>
      <c r="L240" s="83" t="s">
        <v>133</v>
      </c>
      <c r="M240" s="91">
        <f t="shared" si="21"/>
        <v>14202000000</v>
      </c>
      <c r="N240" s="86">
        <f t="shared" si="22"/>
        <v>8574000000</v>
      </c>
      <c r="O240" s="86">
        <f t="shared" si="23"/>
        <v>5628000000</v>
      </c>
      <c r="P240" s="83">
        <f t="shared" si="19"/>
        <v>0.10112117291936179</v>
      </c>
      <c r="Q240" s="83">
        <f t="shared" si="20"/>
        <v>0.25517464424320824</v>
      </c>
    </row>
    <row r="241" spans="1:17">
      <c r="A241" s="87">
        <v>263</v>
      </c>
      <c r="B241" s="87" t="s">
        <v>132</v>
      </c>
      <c r="C241" s="87" t="s">
        <v>21</v>
      </c>
      <c r="D241" s="84">
        <v>41513</v>
      </c>
      <c r="E241" s="88">
        <f t="shared" si="18"/>
        <v>2013</v>
      </c>
      <c r="F241" s="89">
        <v>55184000000</v>
      </c>
      <c r="G241" s="89">
        <v>41342000000</v>
      </c>
      <c r="H241" s="89">
        <v>8148000000</v>
      </c>
      <c r="I241" s="89">
        <v>2380000000</v>
      </c>
      <c r="J241" s="89">
        <v>0</v>
      </c>
      <c r="K241" s="87" t="s">
        <v>19</v>
      </c>
      <c r="L241" s="87" t="s">
        <v>133</v>
      </c>
      <c r="M241" s="90">
        <f t="shared" si="21"/>
        <v>13842000000</v>
      </c>
      <c r="N241" s="89">
        <f t="shared" si="22"/>
        <v>10528000000</v>
      </c>
      <c r="O241" s="89">
        <f t="shared" si="23"/>
        <v>3314000000</v>
      </c>
      <c r="P241" s="87">
        <f t="shared" si="19"/>
        <v>6.0053638735865465E-2</v>
      </c>
      <c r="Q241" s="87">
        <f t="shared" si="20"/>
        <v>0.25083357494926062</v>
      </c>
    </row>
    <row r="242" spans="1:17">
      <c r="A242" s="83">
        <v>264</v>
      </c>
      <c r="B242" s="83" t="s">
        <v>132</v>
      </c>
      <c r="C242" s="83" t="s">
        <v>22</v>
      </c>
      <c r="D242" s="84">
        <v>41514</v>
      </c>
      <c r="E242" s="85">
        <f t="shared" si="18"/>
        <v>2013</v>
      </c>
      <c r="F242" s="86">
        <v>47011000000</v>
      </c>
      <c r="G242" s="86">
        <v>34133000000</v>
      </c>
      <c r="H242" s="86">
        <v>6974000000</v>
      </c>
      <c r="I242" s="86">
        <v>2119000000</v>
      </c>
      <c r="J242" s="86">
        <v>0</v>
      </c>
      <c r="K242" s="83" t="s">
        <v>19</v>
      </c>
      <c r="L242" s="83" t="s">
        <v>133</v>
      </c>
      <c r="M242" s="91">
        <f t="shared" si="21"/>
        <v>12878000000</v>
      </c>
      <c r="N242" s="86">
        <f t="shared" si="22"/>
        <v>9093000000</v>
      </c>
      <c r="O242" s="86">
        <f t="shared" si="23"/>
        <v>3785000000</v>
      </c>
      <c r="P242" s="83">
        <f t="shared" si="19"/>
        <v>8.0513071408819206E-2</v>
      </c>
      <c r="Q242" s="83">
        <f t="shared" si="20"/>
        <v>0.27393588734551488</v>
      </c>
    </row>
    <row r="243" spans="1:17">
      <c r="A243" s="87">
        <v>265</v>
      </c>
      <c r="B243" s="87" t="s">
        <v>132</v>
      </c>
      <c r="C243" s="87" t="s">
        <v>23</v>
      </c>
      <c r="D243" s="84">
        <v>41515</v>
      </c>
      <c r="E243" s="88">
        <f t="shared" si="18"/>
        <v>2013</v>
      </c>
      <c r="F243" s="89">
        <v>38537000000</v>
      </c>
      <c r="G243" s="89">
        <v>28905000000</v>
      </c>
      <c r="H243" s="89">
        <v>6588000000</v>
      </c>
      <c r="I243" s="89">
        <v>1951000000</v>
      </c>
      <c r="J243" s="89">
        <v>0</v>
      </c>
      <c r="K243" s="87" t="s">
        <v>19</v>
      </c>
      <c r="L243" s="87" t="s">
        <v>133</v>
      </c>
      <c r="M243" s="90">
        <f t="shared" si="21"/>
        <v>9632000000</v>
      </c>
      <c r="N243" s="89">
        <f t="shared" si="22"/>
        <v>8539000000</v>
      </c>
      <c r="O243" s="89">
        <f t="shared" si="23"/>
        <v>1093000000</v>
      </c>
      <c r="P243" s="87">
        <f t="shared" si="19"/>
        <v>2.8362353063289825E-2</v>
      </c>
      <c r="Q243" s="87">
        <f t="shared" si="20"/>
        <v>0.2499416145522485</v>
      </c>
    </row>
    <row r="244" spans="1:17">
      <c r="A244" s="83">
        <v>266</v>
      </c>
      <c r="B244" s="83" t="s">
        <v>134</v>
      </c>
      <c r="C244" s="83" t="s">
        <v>18</v>
      </c>
      <c r="D244" s="84">
        <v>41516</v>
      </c>
      <c r="E244" s="85">
        <f t="shared" si="18"/>
        <v>2013</v>
      </c>
      <c r="F244" s="86">
        <v>17936000000</v>
      </c>
      <c r="G244" s="86">
        <v>12620000000</v>
      </c>
      <c r="H244" s="86">
        <v>2096000000</v>
      </c>
      <c r="I244" s="86">
        <v>0</v>
      </c>
      <c r="J244" s="86">
        <v>-6000000</v>
      </c>
      <c r="K244" s="83" t="s">
        <v>53</v>
      </c>
      <c r="L244" s="83" t="s">
        <v>56</v>
      </c>
      <c r="M244" s="91">
        <f t="shared" si="21"/>
        <v>5316000000</v>
      </c>
      <c r="N244" s="86">
        <f t="shared" si="22"/>
        <v>2090000000</v>
      </c>
      <c r="O244" s="86">
        <f t="shared" si="23"/>
        <v>3226000000</v>
      </c>
      <c r="P244" s="83">
        <f t="shared" si="19"/>
        <v>0.17986173059768065</v>
      </c>
      <c r="Q244" s="83">
        <f t="shared" si="20"/>
        <v>0.29638715432649421</v>
      </c>
    </row>
    <row r="245" spans="1:17">
      <c r="A245" s="87">
        <v>267</v>
      </c>
      <c r="B245" s="87" t="s">
        <v>134</v>
      </c>
      <c r="C245" s="87" t="s">
        <v>21</v>
      </c>
      <c r="D245" s="84">
        <v>41517</v>
      </c>
      <c r="E245" s="88">
        <f t="shared" si="18"/>
        <v>2013</v>
      </c>
      <c r="F245" s="89">
        <v>19261000000</v>
      </c>
      <c r="G245" s="89">
        <v>12522000000</v>
      </c>
      <c r="H245" s="89">
        <v>2211000000</v>
      </c>
      <c r="I245" s="89">
        <v>0</v>
      </c>
      <c r="J245" s="89">
        <v>15000000</v>
      </c>
      <c r="K245" s="87" t="s">
        <v>53</v>
      </c>
      <c r="L245" s="87" t="s">
        <v>56</v>
      </c>
      <c r="M245" s="90">
        <f t="shared" si="21"/>
        <v>6739000000</v>
      </c>
      <c r="N245" s="89">
        <f t="shared" si="22"/>
        <v>2226000000</v>
      </c>
      <c r="O245" s="89">
        <f t="shared" si="23"/>
        <v>4513000000</v>
      </c>
      <c r="P245" s="87">
        <f t="shared" si="19"/>
        <v>0.2343076683453611</v>
      </c>
      <c r="Q245" s="87">
        <f t="shared" si="20"/>
        <v>0.34987799179689527</v>
      </c>
    </row>
    <row r="246" spans="1:17">
      <c r="A246" s="83">
        <v>268</v>
      </c>
      <c r="B246" s="83" t="s">
        <v>134</v>
      </c>
      <c r="C246" s="83" t="s">
        <v>22</v>
      </c>
      <c r="D246" s="84">
        <v>41518</v>
      </c>
      <c r="E246" s="85">
        <f t="shared" si="18"/>
        <v>2013</v>
      </c>
      <c r="F246" s="86">
        <v>19171000000</v>
      </c>
      <c r="G246" s="86">
        <v>13241000000</v>
      </c>
      <c r="H246" s="86">
        <v>2245000000</v>
      </c>
      <c r="I246" s="86">
        <v>0</v>
      </c>
      <c r="J246" s="86">
        <v>-82000000</v>
      </c>
      <c r="K246" s="83" t="s">
        <v>53</v>
      </c>
      <c r="L246" s="83" t="s">
        <v>56</v>
      </c>
      <c r="M246" s="91">
        <f t="shared" si="21"/>
        <v>5930000000</v>
      </c>
      <c r="N246" s="86">
        <f t="shared" si="22"/>
        <v>2163000000</v>
      </c>
      <c r="O246" s="86">
        <f t="shared" si="23"/>
        <v>3767000000</v>
      </c>
      <c r="P246" s="83">
        <f t="shared" si="19"/>
        <v>0.19649470554483334</v>
      </c>
      <c r="Q246" s="83">
        <f t="shared" si="20"/>
        <v>0.30932137082051014</v>
      </c>
    </row>
    <row r="247" spans="1:17">
      <c r="A247" s="87">
        <v>269</v>
      </c>
      <c r="B247" s="87" t="s">
        <v>134</v>
      </c>
      <c r="C247" s="87" t="s">
        <v>23</v>
      </c>
      <c r="D247" s="84">
        <v>41519</v>
      </c>
      <c r="E247" s="88">
        <f t="shared" si="18"/>
        <v>2013</v>
      </c>
      <c r="F247" s="89">
        <v>18987000000</v>
      </c>
      <c r="G247" s="89">
        <v>12968000000</v>
      </c>
      <c r="H247" s="89">
        <v>2270000000</v>
      </c>
      <c r="I247" s="89">
        <v>0</v>
      </c>
      <c r="J247" s="89">
        <v>120000000</v>
      </c>
      <c r="K247" s="87" t="s">
        <v>53</v>
      </c>
      <c r="L247" s="87" t="s">
        <v>56</v>
      </c>
      <c r="M247" s="90">
        <f t="shared" si="21"/>
        <v>6019000000</v>
      </c>
      <c r="N247" s="89">
        <f t="shared" si="22"/>
        <v>2390000000</v>
      </c>
      <c r="O247" s="89">
        <f t="shared" si="23"/>
        <v>3629000000</v>
      </c>
      <c r="P247" s="87">
        <f t="shared" si="19"/>
        <v>0.1911307736872597</v>
      </c>
      <c r="Q247" s="87">
        <f t="shared" si="20"/>
        <v>0.31700637278137678</v>
      </c>
    </row>
    <row r="248" spans="1:17">
      <c r="A248" s="83">
        <v>270</v>
      </c>
      <c r="B248" s="83" t="s">
        <v>135</v>
      </c>
      <c r="C248" s="83" t="s">
        <v>18</v>
      </c>
      <c r="D248" s="84">
        <v>41520</v>
      </c>
      <c r="E248" s="85">
        <f t="shared" si="18"/>
        <v>2013</v>
      </c>
      <c r="F248" s="86">
        <v>6514099000</v>
      </c>
      <c r="G248" s="86">
        <v>5745428000</v>
      </c>
      <c r="H248" s="86">
        <v>0</v>
      </c>
      <c r="I248" s="86">
        <v>0</v>
      </c>
      <c r="J248" s="86">
        <v>169645000</v>
      </c>
      <c r="K248" s="83" t="s">
        <v>58</v>
      </c>
      <c r="L248" s="83" t="s">
        <v>136</v>
      </c>
      <c r="M248" s="91">
        <f t="shared" si="21"/>
        <v>768671000</v>
      </c>
      <c r="N248" s="86">
        <f t="shared" si="22"/>
        <v>169645000</v>
      </c>
      <c r="O248" s="86">
        <f t="shared" si="23"/>
        <v>599026000</v>
      </c>
      <c r="P248" s="83">
        <f t="shared" si="19"/>
        <v>9.1958381350974241E-2</v>
      </c>
      <c r="Q248" s="83">
        <f t="shared" si="20"/>
        <v>0.11800112340939251</v>
      </c>
    </row>
    <row r="249" spans="1:17">
      <c r="A249" s="87">
        <v>271</v>
      </c>
      <c r="B249" s="87" t="s">
        <v>135</v>
      </c>
      <c r="C249" s="87" t="s">
        <v>21</v>
      </c>
      <c r="D249" s="84">
        <v>41521</v>
      </c>
      <c r="E249" s="88">
        <f t="shared" si="18"/>
        <v>2013</v>
      </c>
      <c r="F249" s="89">
        <v>7184794000</v>
      </c>
      <c r="G249" s="89">
        <v>6293699000</v>
      </c>
      <c r="H249" s="89">
        <v>0</v>
      </c>
      <c r="I249" s="89">
        <v>0</v>
      </c>
      <c r="J249" s="89">
        <v>190390000</v>
      </c>
      <c r="K249" s="87" t="s">
        <v>58</v>
      </c>
      <c r="L249" s="87" t="s">
        <v>136</v>
      </c>
      <c r="M249" s="90">
        <f t="shared" si="21"/>
        <v>891095000</v>
      </c>
      <c r="N249" s="89">
        <f t="shared" si="22"/>
        <v>190390000</v>
      </c>
      <c r="O249" s="89">
        <f t="shared" si="23"/>
        <v>700705000</v>
      </c>
      <c r="P249" s="87">
        <f t="shared" si="19"/>
        <v>9.7526108612160628E-2</v>
      </c>
      <c r="Q249" s="87">
        <f t="shared" si="20"/>
        <v>0.12402512862581727</v>
      </c>
    </row>
    <row r="250" spans="1:17">
      <c r="A250" s="83">
        <v>272</v>
      </c>
      <c r="B250" s="83" t="s">
        <v>135</v>
      </c>
      <c r="C250" s="83" t="s">
        <v>22</v>
      </c>
      <c r="D250" s="84">
        <v>41522</v>
      </c>
      <c r="E250" s="85">
        <f t="shared" si="18"/>
        <v>2013</v>
      </c>
      <c r="F250" s="86">
        <v>9049918000</v>
      </c>
      <c r="G250" s="86">
        <v>8050222000</v>
      </c>
      <c r="H250" s="86">
        <v>0</v>
      </c>
      <c r="I250" s="86">
        <v>0</v>
      </c>
      <c r="J250" s="86">
        <v>265101000</v>
      </c>
      <c r="K250" s="83" t="s">
        <v>58</v>
      </c>
      <c r="L250" s="83" t="s">
        <v>136</v>
      </c>
      <c r="M250" s="91">
        <f t="shared" si="21"/>
        <v>999696000</v>
      </c>
      <c r="N250" s="86">
        <f t="shared" si="22"/>
        <v>265101000</v>
      </c>
      <c r="O250" s="86">
        <f t="shared" si="23"/>
        <v>734595000</v>
      </c>
      <c r="P250" s="83">
        <f t="shared" si="19"/>
        <v>8.1171453708199351E-2</v>
      </c>
      <c r="Q250" s="83">
        <f t="shared" si="20"/>
        <v>0.11046464730398664</v>
      </c>
    </row>
    <row r="251" spans="1:17">
      <c r="A251" s="87">
        <v>273</v>
      </c>
      <c r="B251" s="87" t="s">
        <v>135</v>
      </c>
      <c r="C251" s="87" t="s">
        <v>23</v>
      </c>
      <c r="D251" s="84">
        <v>41523</v>
      </c>
      <c r="E251" s="88">
        <f t="shared" si="18"/>
        <v>2013</v>
      </c>
      <c r="F251" s="89">
        <v>10855810000</v>
      </c>
      <c r="G251" s="89">
        <v>9716541000</v>
      </c>
      <c r="H251" s="89">
        <v>0</v>
      </c>
      <c r="I251" s="89">
        <v>0</v>
      </c>
      <c r="J251" s="89">
        <v>314096000</v>
      </c>
      <c r="K251" s="87" t="s">
        <v>58</v>
      </c>
      <c r="L251" s="87" t="s">
        <v>136</v>
      </c>
      <c r="M251" s="90">
        <f t="shared" si="21"/>
        <v>1139269000</v>
      </c>
      <c r="N251" s="89">
        <f t="shared" si="22"/>
        <v>314096000</v>
      </c>
      <c r="O251" s="89">
        <f t="shared" si="23"/>
        <v>825173000</v>
      </c>
      <c r="P251" s="87">
        <f t="shared" si="19"/>
        <v>7.6012107802181511E-2</v>
      </c>
      <c r="Q251" s="87">
        <f t="shared" si="20"/>
        <v>0.10494555450030907</v>
      </c>
    </row>
    <row r="252" spans="1:17">
      <c r="A252" s="83">
        <v>274</v>
      </c>
      <c r="B252" s="83" t="s">
        <v>137</v>
      </c>
      <c r="C252" s="83" t="s">
        <v>18</v>
      </c>
      <c r="D252" s="84">
        <v>41524</v>
      </c>
      <c r="E252" s="85">
        <f t="shared" si="18"/>
        <v>2013</v>
      </c>
      <c r="F252" s="86">
        <v>2432680000</v>
      </c>
      <c r="G252" s="86">
        <v>728989000</v>
      </c>
      <c r="H252" s="86">
        <v>212572000</v>
      </c>
      <c r="I252" s="86">
        <v>0</v>
      </c>
      <c r="J252" s="86">
        <v>622592000</v>
      </c>
      <c r="K252" s="83" t="s">
        <v>58</v>
      </c>
      <c r="L252" s="83" t="s">
        <v>59</v>
      </c>
      <c r="M252" s="91">
        <f t="shared" si="21"/>
        <v>1703691000</v>
      </c>
      <c r="N252" s="86">
        <f t="shared" si="22"/>
        <v>835164000</v>
      </c>
      <c r="O252" s="86">
        <f t="shared" si="23"/>
        <v>868527000</v>
      </c>
      <c r="P252" s="83">
        <f t="shared" si="19"/>
        <v>0.35702476281302925</v>
      </c>
      <c r="Q252" s="83">
        <f t="shared" si="20"/>
        <v>0.70033502145781612</v>
      </c>
    </row>
    <row r="253" spans="1:17">
      <c r="A253" s="87">
        <v>275</v>
      </c>
      <c r="B253" s="87" t="s">
        <v>137</v>
      </c>
      <c r="C253" s="87" t="s">
        <v>21</v>
      </c>
      <c r="D253" s="84">
        <v>41525</v>
      </c>
      <c r="E253" s="88">
        <f t="shared" si="18"/>
        <v>2013</v>
      </c>
      <c r="F253" s="89">
        <v>2865751000</v>
      </c>
      <c r="G253" s="89">
        <v>991017000</v>
      </c>
      <c r="H253" s="89">
        <v>213519000</v>
      </c>
      <c r="I253" s="89">
        <v>0</v>
      </c>
      <c r="J253" s="89">
        <v>741342000</v>
      </c>
      <c r="K253" s="87" t="s">
        <v>58</v>
      </c>
      <c r="L253" s="87" t="s">
        <v>59</v>
      </c>
      <c r="M253" s="90">
        <f t="shared" si="21"/>
        <v>1874734000</v>
      </c>
      <c r="N253" s="89">
        <f t="shared" si="22"/>
        <v>954861000</v>
      </c>
      <c r="O253" s="89">
        <f t="shared" si="23"/>
        <v>919873000</v>
      </c>
      <c r="P253" s="87">
        <f t="shared" si="19"/>
        <v>0.32098845991853442</v>
      </c>
      <c r="Q253" s="87">
        <f t="shared" si="20"/>
        <v>0.65418593590301466</v>
      </c>
    </row>
    <row r="254" spans="1:17">
      <c r="A254" s="83">
        <v>276</v>
      </c>
      <c r="B254" s="83" t="s">
        <v>137</v>
      </c>
      <c r="C254" s="83" t="s">
        <v>22</v>
      </c>
      <c r="D254" s="84">
        <v>41526</v>
      </c>
      <c r="E254" s="85">
        <f t="shared" si="18"/>
        <v>2013</v>
      </c>
      <c r="F254" s="86">
        <v>3538756000</v>
      </c>
      <c r="G254" s="86">
        <v>1306606000</v>
      </c>
      <c r="H254" s="86">
        <v>257296000</v>
      </c>
      <c r="I254" s="86">
        <v>0</v>
      </c>
      <c r="J254" s="86">
        <v>985781000</v>
      </c>
      <c r="K254" s="83" t="s">
        <v>58</v>
      </c>
      <c r="L254" s="83" t="s">
        <v>59</v>
      </c>
      <c r="M254" s="91">
        <f t="shared" si="21"/>
        <v>2232150000</v>
      </c>
      <c r="N254" s="86">
        <f t="shared" si="22"/>
        <v>1243077000</v>
      </c>
      <c r="O254" s="86">
        <f t="shared" si="23"/>
        <v>989073000</v>
      </c>
      <c r="P254" s="83">
        <f t="shared" si="19"/>
        <v>0.2794973713926589</v>
      </c>
      <c r="Q254" s="83">
        <f t="shared" si="20"/>
        <v>0.63077250875731472</v>
      </c>
    </row>
    <row r="255" spans="1:17">
      <c r="A255" s="87">
        <v>277</v>
      </c>
      <c r="B255" s="87" t="s">
        <v>137</v>
      </c>
      <c r="C255" s="87" t="s">
        <v>23</v>
      </c>
      <c r="D255" s="84">
        <v>41527</v>
      </c>
      <c r="E255" s="88">
        <f t="shared" ref="E255:E318" si="24">YEAR(D255)</f>
        <v>2013</v>
      </c>
      <c r="F255" s="89">
        <v>3663851000</v>
      </c>
      <c r="G255" s="89">
        <v>1321426000</v>
      </c>
      <c r="H255" s="89">
        <v>310921000</v>
      </c>
      <c r="I255" s="89">
        <v>0</v>
      </c>
      <c r="J255" s="89">
        <v>1036178000</v>
      </c>
      <c r="K255" s="87" t="s">
        <v>58</v>
      </c>
      <c r="L255" s="87" t="s">
        <v>59</v>
      </c>
      <c r="M255" s="90">
        <f t="shared" si="21"/>
        <v>2342425000</v>
      </c>
      <c r="N255" s="89">
        <f t="shared" si="22"/>
        <v>1347099000</v>
      </c>
      <c r="O255" s="89">
        <f t="shared" si="23"/>
        <v>995326000</v>
      </c>
      <c r="P255" s="87">
        <f t="shared" si="19"/>
        <v>0.27166115652628886</v>
      </c>
      <c r="Q255" s="87">
        <f t="shared" si="20"/>
        <v>0.6393341323105115</v>
      </c>
    </row>
    <row r="256" spans="1:17">
      <c r="A256" s="83">
        <v>278</v>
      </c>
      <c r="B256" s="83" t="s">
        <v>138</v>
      </c>
      <c r="C256" s="83" t="s">
        <v>18</v>
      </c>
      <c r="D256" s="84">
        <v>41528</v>
      </c>
      <c r="E256" s="85">
        <f t="shared" si="24"/>
        <v>2013</v>
      </c>
      <c r="F256" s="86">
        <v>15456000000</v>
      </c>
      <c r="G256" s="86">
        <v>10645000000</v>
      </c>
      <c r="H256" s="86">
        <v>1879000000</v>
      </c>
      <c r="I256" s="86">
        <v>0</v>
      </c>
      <c r="J256" s="86">
        <v>1590000000</v>
      </c>
      <c r="K256" s="83" t="s">
        <v>25</v>
      </c>
      <c r="L256" s="83" t="s">
        <v>139</v>
      </c>
      <c r="M256" s="91">
        <f t="shared" si="21"/>
        <v>4811000000</v>
      </c>
      <c r="N256" s="86">
        <f t="shared" si="22"/>
        <v>3469000000</v>
      </c>
      <c r="O256" s="86">
        <f t="shared" si="23"/>
        <v>1342000000</v>
      </c>
      <c r="P256" s="83">
        <f t="shared" si="19"/>
        <v>8.6827122153209105E-2</v>
      </c>
      <c r="Q256" s="83">
        <f t="shared" si="20"/>
        <v>0.31127070393374745</v>
      </c>
    </row>
    <row r="257" spans="1:17">
      <c r="A257" s="87">
        <v>279</v>
      </c>
      <c r="B257" s="87" t="s">
        <v>138</v>
      </c>
      <c r="C257" s="87" t="s">
        <v>21</v>
      </c>
      <c r="D257" s="84">
        <v>41529</v>
      </c>
      <c r="E257" s="88">
        <f t="shared" si="24"/>
        <v>2013</v>
      </c>
      <c r="F257" s="89">
        <v>15884000000</v>
      </c>
      <c r="G257" s="89">
        <v>10421000000</v>
      </c>
      <c r="H257" s="89">
        <v>2054000000</v>
      </c>
      <c r="I257" s="89">
        <v>0</v>
      </c>
      <c r="J257" s="89">
        <v>1637000000</v>
      </c>
      <c r="K257" s="87" t="s">
        <v>25</v>
      </c>
      <c r="L257" s="87" t="s">
        <v>139</v>
      </c>
      <c r="M257" s="90">
        <f t="shared" si="21"/>
        <v>5463000000</v>
      </c>
      <c r="N257" s="89">
        <f t="shared" si="22"/>
        <v>3691000000</v>
      </c>
      <c r="O257" s="89">
        <f t="shared" si="23"/>
        <v>1772000000</v>
      </c>
      <c r="P257" s="87">
        <f t="shared" si="19"/>
        <v>0.11155880130949383</v>
      </c>
      <c r="Q257" s="87">
        <f t="shared" si="20"/>
        <v>0.34393099974817432</v>
      </c>
    </row>
    <row r="258" spans="1:17">
      <c r="A258" s="83">
        <v>280</v>
      </c>
      <c r="B258" s="83" t="s">
        <v>138</v>
      </c>
      <c r="C258" s="83" t="s">
        <v>22</v>
      </c>
      <c r="D258" s="84">
        <v>41530</v>
      </c>
      <c r="E258" s="85">
        <f t="shared" si="24"/>
        <v>2013</v>
      </c>
      <c r="F258" s="86">
        <v>15714000000</v>
      </c>
      <c r="G258" s="86">
        <v>9447000000</v>
      </c>
      <c r="H258" s="86">
        <v>2067000000</v>
      </c>
      <c r="I258" s="86">
        <v>0</v>
      </c>
      <c r="J258" s="86">
        <v>1626000000</v>
      </c>
      <c r="K258" s="83" t="s">
        <v>25</v>
      </c>
      <c r="L258" s="83" t="s">
        <v>139</v>
      </c>
      <c r="M258" s="91">
        <f t="shared" si="21"/>
        <v>6267000000</v>
      </c>
      <c r="N258" s="86">
        <f t="shared" si="22"/>
        <v>3693000000</v>
      </c>
      <c r="O258" s="86">
        <f t="shared" si="23"/>
        <v>2574000000</v>
      </c>
      <c r="P258" s="83">
        <f t="shared" ref="P258:P321" si="25">O258/F258</f>
        <v>0.16380297823596793</v>
      </c>
      <c r="Q258" s="83">
        <f t="shared" ref="Q258:Q321" si="26">1-G258/F258</f>
        <v>0.39881634211531114</v>
      </c>
    </row>
    <row r="259" spans="1:17">
      <c r="A259" s="87">
        <v>281</v>
      </c>
      <c r="B259" s="87" t="s">
        <v>138</v>
      </c>
      <c r="C259" s="87" t="s">
        <v>23</v>
      </c>
      <c r="D259" s="84">
        <v>41531</v>
      </c>
      <c r="E259" s="88">
        <f t="shared" si="24"/>
        <v>2013</v>
      </c>
      <c r="F259" s="89">
        <v>16389000000</v>
      </c>
      <c r="G259" s="89">
        <v>9383000000</v>
      </c>
      <c r="H259" s="89">
        <v>2197000000</v>
      </c>
      <c r="I259" s="89">
        <v>0</v>
      </c>
      <c r="J259" s="89">
        <v>1738000000</v>
      </c>
      <c r="K259" s="87" t="s">
        <v>25</v>
      </c>
      <c r="L259" s="87" t="s">
        <v>139</v>
      </c>
      <c r="M259" s="90">
        <f t="shared" ref="M259:M322" si="27">F259-G259</f>
        <v>7006000000</v>
      </c>
      <c r="N259" s="89">
        <f t="shared" ref="N259:N322" si="28">H259+I259+J259</f>
        <v>3935000000</v>
      </c>
      <c r="O259" s="89">
        <f t="shared" ref="O259:O322" si="29">M259-N259</f>
        <v>3071000000</v>
      </c>
      <c r="P259" s="87">
        <f t="shared" si="25"/>
        <v>0.18738178046250534</v>
      </c>
      <c r="Q259" s="87">
        <f t="shared" si="26"/>
        <v>0.42748184758069441</v>
      </c>
    </row>
    <row r="260" spans="1:17">
      <c r="A260" s="83">
        <v>282</v>
      </c>
      <c r="B260" s="83" t="s">
        <v>140</v>
      </c>
      <c r="C260" s="83" t="s">
        <v>18</v>
      </c>
      <c r="D260" s="84">
        <v>41532</v>
      </c>
      <c r="E260" s="85">
        <f t="shared" si="24"/>
        <v>2013</v>
      </c>
      <c r="F260" s="86">
        <v>6493900000</v>
      </c>
      <c r="G260" s="86">
        <v>340400000</v>
      </c>
      <c r="H260" s="86">
        <v>1684500000</v>
      </c>
      <c r="I260" s="86">
        <v>2226200000</v>
      </c>
      <c r="J260" s="86">
        <v>262800000</v>
      </c>
      <c r="K260" s="83" t="s">
        <v>31</v>
      </c>
      <c r="L260" s="83" t="s">
        <v>72</v>
      </c>
      <c r="M260" s="91">
        <f t="shared" si="27"/>
        <v>6153500000</v>
      </c>
      <c r="N260" s="86">
        <f t="shared" si="28"/>
        <v>4173500000</v>
      </c>
      <c r="O260" s="86">
        <f t="shared" si="29"/>
        <v>1980000000</v>
      </c>
      <c r="P260" s="83">
        <f t="shared" si="25"/>
        <v>0.30490152296770817</v>
      </c>
      <c r="Q260" s="83">
        <f t="shared" si="26"/>
        <v>0.94758157655646069</v>
      </c>
    </row>
    <row r="261" spans="1:17">
      <c r="A261" s="87">
        <v>283</v>
      </c>
      <c r="B261" s="87" t="s">
        <v>140</v>
      </c>
      <c r="C261" s="87" t="s">
        <v>21</v>
      </c>
      <c r="D261" s="84">
        <v>41533</v>
      </c>
      <c r="E261" s="88">
        <f t="shared" si="24"/>
        <v>2013</v>
      </c>
      <c r="F261" s="89">
        <v>7670400000</v>
      </c>
      <c r="G261" s="89">
        <v>385900000</v>
      </c>
      <c r="H261" s="89">
        <v>2027900000</v>
      </c>
      <c r="I261" s="89">
        <v>2430600000</v>
      </c>
      <c r="J261" s="89">
        <v>258300000</v>
      </c>
      <c r="K261" s="87" t="s">
        <v>31</v>
      </c>
      <c r="L261" s="87" t="s">
        <v>72</v>
      </c>
      <c r="M261" s="90">
        <f t="shared" si="27"/>
        <v>7284500000</v>
      </c>
      <c r="N261" s="89">
        <f t="shared" si="28"/>
        <v>4716800000</v>
      </c>
      <c r="O261" s="89">
        <f t="shared" si="29"/>
        <v>2567700000</v>
      </c>
      <c r="P261" s="87">
        <f t="shared" si="25"/>
        <v>0.33475438047559447</v>
      </c>
      <c r="Q261" s="87">
        <f t="shared" si="26"/>
        <v>0.94968971631205679</v>
      </c>
    </row>
    <row r="262" spans="1:17">
      <c r="A262" s="83">
        <v>284</v>
      </c>
      <c r="B262" s="83" t="s">
        <v>140</v>
      </c>
      <c r="C262" s="83" t="s">
        <v>22</v>
      </c>
      <c r="D262" s="84">
        <v>41534</v>
      </c>
      <c r="E262" s="85">
        <f t="shared" si="24"/>
        <v>2013</v>
      </c>
      <c r="F262" s="86">
        <v>9256000000</v>
      </c>
      <c r="G262" s="86">
        <v>420100000</v>
      </c>
      <c r="H262" s="86">
        <v>2305400000</v>
      </c>
      <c r="I262" s="86">
        <v>3697300000</v>
      </c>
      <c r="J262" s="86">
        <v>279000000</v>
      </c>
      <c r="K262" s="83" t="s">
        <v>31</v>
      </c>
      <c r="L262" s="83" t="s">
        <v>72</v>
      </c>
      <c r="M262" s="91">
        <f t="shared" si="27"/>
        <v>8835900000</v>
      </c>
      <c r="N262" s="86">
        <f t="shared" si="28"/>
        <v>6281700000</v>
      </c>
      <c r="O262" s="86">
        <f t="shared" si="29"/>
        <v>2554200000</v>
      </c>
      <c r="P262" s="83">
        <f t="shared" si="25"/>
        <v>0.27595073465859982</v>
      </c>
      <c r="Q262" s="83">
        <f t="shared" si="26"/>
        <v>0.95461322385479686</v>
      </c>
    </row>
    <row r="263" spans="1:17">
      <c r="A263" s="87">
        <v>285</v>
      </c>
      <c r="B263" s="87" t="s">
        <v>140</v>
      </c>
      <c r="C263" s="87" t="s">
        <v>23</v>
      </c>
      <c r="D263" s="84">
        <v>41535</v>
      </c>
      <c r="E263" s="88">
        <f t="shared" si="24"/>
        <v>2013</v>
      </c>
      <c r="F263" s="89">
        <v>11229200000</v>
      </c>
      <c r="G263" s="89">
        <v>438000000</v>
      </c>
      <c r="H263" s="89">
        <v>2657700000</v>
      </c>
      <c r="I263" s="89">
        <v>4470100000</v>
      </c>
      <c r="J263" s="89">
        <v>459000000</v>
      </c>
      <c r="K263" s="87" t="s">
        <v>31</v>
      </c>
      <c r="L263" s="87" t="s">
        <v>72</v>
      </c>
      <c r="M263" s="90">
        <f t="shared" si="27"/>
        <v>10791200000</v>
      </c>
      <c r="N263" s="89">
        <f t="shared" si="28"/>
        <v>7586800000</v>
      </c>
      <c r="O263" s="89">
        <f t="shared" si="29"/>
        <v>3204400000</v>
      </c>
      <c r="P263" s="87">
        <f t="shared" si="25"/>
        <v>0.28536316033199161</v>
      </c>
      <c r="Q263" s="87">
        <f t="shared" si="26"/>
        <v>0.96099454992341393</v>
      </c>
    </row>
    <row r="264" spans="1:17">
      <c r="A264" s="83">
        <v>286</v>
      </c>
      <c r="B264" s="83" t="s">
        <v>141</v>
      </c>
      <c r="C264" s="83" t="s">
        <v>18</v>
      </c>
      <c r="D264" s="84">
        <v>41536</v>
      </c>
      <c r="E264" s="85">
        <f t="shared" si="24"/>
        <v>2013</v>
      </c>
      <c r="F264" s="86">
        <v>2910748000</v>
      </c>
      <c r="G264" s="86">
        <v>514722000</v>
      </c>
      <c r="H264" s="86">
        <v>1468434000</v>
      </c>
      <c r="I264" s="86">
        <v>338786000</v>
      </c>
      <c r="J264" s="86">
        <v>12794000</v>
      </c>
      <c r="K264" s="83" t="s">
        <v>31</v>
      </c>
      <c r="L264" s="83" t="s">
        <v>142</v>
      </c>
      <c r="M264" s="91">
        <f t="shared" si="27"/>
        <v>2396026000</v>
      </c>
      <c r="N264" s="86">
        <f t="shared" si="28"/>
        <v>1820014000</v>
      </c>
      <c r="O264" s="86">
        <f t="shared" si="29"/>
        <v>576012000</v>
      </c>
      <c r="P264" s="83">
        <f t="shared" si="25"/>
        <v>0.19789140111064235</v>
      </c>
      <c r="Q264" s="83">
        <f t="shared" si="26"/>
        <v>0.82316504211288644</v>
      </c>
    </row>
    <row r="265" spans="1:17">
      <c r="A265" s="87">
        <v>287</v>
      </c>
      <c r="B265" s="87" t="s">
        <v>141</v>
      </c>
      <c r="C265" s="87" t="s">
        <v>21</v>
      </c>
      <c r="D265" s="84">
        <v>41537</v>
      </c>
      <c r="E265" s="88">
        <f t="shared" si="24"/>
        <v>2013</v>
      </c>
      <c r="F265" s="89">
        <v>3402703000</v>
      </c>
      <c r="G265" s="89">
        <v>604377000</v>
      </c>
      <c r="H265" s="89">
        <v>1628961000</v>
      </c>
      <c r="I265" s="89">
        <v>392805000</v>
      </c>
      <c r="J265" s="89">
        <v>13476000</v>
      </c>
      <c r="K265" s="87" t="s">
        <v>31</v>
      </c>
      <c r="L265" s="87" t="s">
        <v>142</v>
      </c>
      <c r="M265" s="90">
        <f t="shared" si="27"/>
        <v>2798326000</v>
      </c>
      <c r="N265" s="89">
        <f t="shared" si="28"/>
        <v>2035242000</v>
      </c>
      <c r="O265" s="89">
        <f t="shared" si="29"/>
        <v>763084000</v>
      </c>
      <c r="P265" s="87">
        <f t="shared" si="25"/>
        <v>0.22425818533089723</v>
      </c>
      <c r="Q265" s="87">
        <f t="shared" si="26"/>
        <v>0.82238326412854723</v>
      </c>
    </row>
    <row r="266" spans="1:17">
      <c r="A266" s="83">
        <v>288</v>
      </c>
      <c r="B266" s="83" t="s">
        <v>141</v>
      </c>
      <c r="C266" s="83" t="s">
        <v>22</v>
      </c>
      <c r="D266" s="84">
        <v>41538</v>
      </c>
      <c r="E266" s="85">
        <f t="shared" si="24"/>
        <v>2013</v>
      </c>
      <c r="F266" s="86">
        <v>4425267000</v>
      </c>
      <c r="G266" s="86">
        <v>750781000</v>
      </c>
      <c r="H266" s="86">
        <v>2262024000</v>
      </c>
      <c r="I266" s="86">
        <v>539799000</v>
      </c>
      <c r="J266" s="86">
        <v>91527000</v>
      </c>
      <c r="K266" s="83" t="s">
        <v>31</v>
      </c>
      <c r="L266" s="83" t="s">
        <v>142</v>
      </c>
      <c r="M266" s="91">
        <f t="shared" si="27"/>
        <v>3674486000</v>
      </c>
      <c r="N266" s="86">
        <f t="shared" si="28"/>
        <v>2893350000</v>
      </c>
      <c r="O266" s="86">
        <f t="shared" si="29"/>
        <v>781136000</v>
      </c>
      <c r="P266" s="83">
        <f t="shared" si="25"/>
        <v>0.17651725873263693</v>
      </c>
      <c r="Q266" s="83">
        <f t="shared" si="26"/>
        <v>0.83034221437938094</v>
      </c>
    </row>
    <row r="267" spans="1:17">
      <c r="A267" s="87">
        <v>289</v>
      </c>
      <c r="B267" s="87" t="s">
        <v>141</v>
      </c>
      <c r="C267" s="87" t="s">
        <v>23</v>
      </c>
      <c r="D267" s="84">
        <v>41539</v>
      </c>
      <c r="E267" s="88">
        <f t="shared" si="24"/>
        <v>2013</v>
      </c>
      <c r="F267" s="89">
        <v>4796473000</v>
      </c>
      <c r="G267" s="89">
        <v>779116000</v>
      </c>
      <c r="H267" s="89">
        <v>2464380000</v>
      </c>
      <c r="I267" s="89">
        <v>551418000</v>
      </c>
      <c r="J267" s="89">
        <v>90546000</v>
      </c>
      <c r="K267" s="87" t="s">
        <v>31</v>
      </c>
      <c r="L267" s="87" t="s">
        <v>142</v>
      </c>
      <c r="M267" s="90">
        <f t="shared" si="27"/>
        <v>4017357000</v>
      </c>
      <c r="N267" s="89">
        <f t="shared" si="28"/>
        <v>3106344000</v>
      </c>
      <c r="O267" s="89">
        <f t="shared" si="29"/>
        <v>911013000</v>
      </c>
      <c r="P267" s="87">
        <f t="shared" si="25"/>
        <v>0.18993393687403223</v>
      </c>
      <c r="Q267" s="87">
        <f t="shared" si="26"/>
        <v>0.8375648106431538</v>
      </c>
    </row>
    <row r="268" spans="1:17">
      <c r="A268" s="83">
        <v>290</v>
      </c>
      <c r="B268" s="83" t="s">
        <v>143</v>
      </c>
      <c r="C268" s="83" t="s">
        <v>18</v>
      </c>
      <c r="D268" s="84">
        <v>41540</v>
      </c>
      <c r="E268" s="85">
        <f t="shared" si="24"/>
        <v>2013</v>
      </c>
      <c r="F268" s="86">
        <v>6104000000</v>
      </c>
      <c r="G268" s="86">
        <v>2990700000</v>
      </c>
      <c r="H268" s="86">
        <v>200900000</v>
      </c>
      <c r="I268" s="86">
        <v>0</v>
      </c>
      <c r="J268" s="86">
        <v>0</v>
      </c>
      <c r="K268" s="83" t="s">
        <v>65</v>
      </c>
      <c r="L268" s="83" t="s">
        <v>144</v>
      </c>
      <c r="M268" s="91">
        <f t="shared" si="27"/>
        <v>3113300000</v>
      </c>
      <c r="N268" s="86">
        <f t="shared" si="28"/>
        <v>200900000</v>
      </c>
      <c r="O268" s="86">
        <f t="shared" si="29"/>
        <v>2912400000</v>
      </c>
      <c r="P268" s="83">
        <f t="shared" si="25"/>
        <v>0.47712975098296201</v>
      </c>
      <c r="Q268" s="83">
        <f t="shared" si="26"/>
        <v>0.51004259501965921</v>
      </c>
    </row>
    <row r="269" spans="1:17">
      <c r="A269" s="87">
        <v>291</v>
      </c>
      <c r="B269" s="87" t="s">
        <v>143</v>
      </c>
      <c r="C269" s="87" t="s">
        <v>21</v>
      </c>
      <c r="D269" s="84">
        <v>41541</v>
      </c>
      <c r="E269" s="88">
        <f t="shared" si="24"/>
        <v>2013</v>
      </c>
      <c r="F269" s="89">
        <v>5474700000</v>
      </c>
      <c r="G269" s="89">
        <v>2954500000</v>
      </c>
      <c r="H269" s="89">
        <v>150200000</v>
      </c>
      <c r="I269" s="89">
        <v>0</v>
      </c>
      <c r="J269" s="89">
        <v>0</v>
      </c>
      <c r="K269" s="87" t="s">
        <v>65</v>
      </c>
      <c r="L269" s="87" t="s">
        <v>144</v>
      </c>
      <c r="M269" s="90">
        <f t="shared" si="27"/>
        <v>2520200000</v>
      </c>
      <c r="N269" s="89">
        <f t="shared" si="28"/>
        <v>150200000</v>
      </c>
      <c r="O269" s="89">
        <f t="shared" si="29"/>
        <v>2370000000</v>
      </c>
      <c r="P269" s="87">
        <f t="shared" si="25"/>
        <v>0.4329004329004329</v>
      </c>
      <c r="Q269" s="87">
        <f t="shared" si="26"/>
        <v>0.46033572615851093</v>
      </c>
    </row>
    <row r="270" spans="1:17">
      <c r="A270" s="83">
        <v>292</v>
      </c>
      <c r="B270" s="83" t="s">
        <v>143</v>
      </c>
      <c r="C270" s="83" t="s">
        <v>22</v>
      </c>
      <c r="D270" s="84">
        <v>41542</v>
      </c>
      <c r="E270" s="85">
        <f t="shared" si="24"/>
        <v>2013</v>
      </c>
      <c r="F270" s="86">
        <v>4743200000</v>
      </c>
      <c r="G270" s="86">
        <v>2964700000</v>
      </c>
      <c r="H270" s="86">
        <v>205200000</v>
      </c>
      <c r="I270" s="86">
        <v>0</v>
      </c>
      <c r="J270" s="86">
        <v>0</v>
      </c>
      <c r="K270" s="83" t="s">
        <v>65</v>
      </c>
      <c r="L270" s="83" t="s">
        <v>144</v>
      </c>
      <c r="M270" s="91">
        <f t="shared" si="27"/>
        <v>1778500000</v>
      </c>
      <c r="N270" s="86">
        <f t="shared" si="28"/>
        <v>205200000</v>
      </c>
      <c r="O270" s="86">
        <f t="shared" si="29"/>
        <v>1573300000</v>
      </c>
      <c r="P270" s="83">
        <f t="shared" si="25"/>
        <v>0.33169590150109629</v>
      </c>
      <c r="Q270" s="83">
        <f t="shared" si="26"/>
        <v>0.37495783437341879</v>
      </c>
    </row>
    <row r="271" spans="1:17">
      <c r="A271" s="87">
        <v>293</v>
      </c>
      <c r="B271" s="87" t="s">
        <v>143</v>
      </c>
      <c r="C271" s="87" t="s">
        <v>23</v>
      </c>
      <c r="D271" s="84">
        <v>41543</v>
      </c>
      <c r="E271" s="88">
        <f t="shared" si="24"/>
        <v>2013</v>
      </c>
      <c r="F271" s="89">
        <v>4308300000</v>
      </c>
      <c r="G271" s="89">
        <v>2761200000</v>
      </c>
      <c r="H271" s="89">
        <v>319000000</v>
      </c>
      <c r="I271" s="89">
        <v>0</v>
      </c>
      <c r="J271" s="89">
        <v>0</v>
      </c>
      <c r="K271" s="87" t="s">
        <v>65</v>
      </c>
      <c r="L271" s="87" t="s">
        <v>144</v>
      </c>
      <c r="M271" s="90">
        <f t="shared" si="27"/>
        <v>1547100000</v>
      </c>
      <c r="N271" s="89">
        <f t="shared" si="28"/>
        <v>319000000</v>
      </c>
      <c r="O271" s="89">
        <f t="shared" si="29"/>
        <v>1228100000</v>
      </c>
      <c r="P271" s="87">
        <f t="shared" si="25"/>
        <v>0.2850544298215073</v>
      </c>
      <c r="Q271" s="87">
        <f t="shared" si="26"/>
        <v>0.35909755588050973</v>
      </c>
    </row>
    <row r="272" spans="1:17">
      <c r="A272" s="83">
        <v>294</v>
      </c>
      <c r="B272" s="83" t="s">
        <v>145</v>
      </c>
      <c r="C272" s="83" t="s">
        <v>18</v>
      </c>
      <c r="D272" s="84">
        <v>41544</v>
      </c>
      <c r="E272" s="85">
        <f t="shared" si="24"/>
        <v>2013</v>
      </c>
      <c r="F272" s="86">
        <v>5513000000</v>
      </c>
      <c r="G272" s="86">
        <v>375000000</v>
      </c>
      <c r="H272" s="86">
        <v>3380000000</v>
      </c>
      <c r="I272" s="86">
        <v>0</v>
      </c>
      <c r="J272" s="86">
        <v>490000000</v>
      </c>
      <c r="K272" s="83" t="s">
        <v>53</v>
      </c>
      <c r="L272" s="83" t="s">
        <v>146</v>
      </c>
      <c r="M272" s="91">
        <f t="shared" si="27"/>
        <v>5138000000</v>
      </c>
      <c r="N272" s="86">
        <f t="shared" si="28"/>
        <v>3870000000</v>
      </c>
      <c r="O272" s="86">
        <f t="shared" si="29"/>
        <v>1268000000</v>
      </c>
      <c r="P272" s="83">
        <f t="shared" si="25"/>
        <v>0.23000181389443133</v>
      </c>
      <c r="Q272" s="83">
        <f t="shared" si="26"/>
        <v>0.93197895882459636</v>
      </c>
    </row>
    <row r="273" spans="1:17">
      <c r="A273" s="87">
        <v>295</v>
      </c>
      <c r="B273" s="87" t="s">
        <v>145</v>
      </c>
      <c r="C273" s="87" t="s">
        <v>21</v>
      </c>
      <c r="D273" s="84">
        <v>41545</v>
      </c>
      <c r="E273" s="88">
        <f t="shared" si="24"/>
        <v>2013</v>
      </c>
      <c r="F273" s="89">
        <v>5133000000</v>
      </c>
      <c r="G273" s="89">
        <v>216000000</v>
      </c>
      <c r="H273" s="89">
        <v>3142000000</v>
      </c>
      <c r="I273" s="89">
        <v>0</v>
      </c>
      <c r="J273" s="89">
        <v>581000000</v>
      </c>
      <c r="K273" s="87" t="s">
        <v>53</v>
      </c>
      <c r="L273" s="87" t="s">
        <v>146</v>
      </c>
      <c r="M273" s="90">
        <f t="shared" si="27"/>
        <v>4917000000</v>
      </c>
      <c r="N273" s="89">
        <f t="shared" si="28"/>
        <v>3723000000</v>
      </c>
      <c r="O273" s="89">
        <f t="shared" si="29"/>
        <v>1194000000</v>
      </c>
      <c r="P273" s="87">
        <f t="shared" si="25"/>
        <v>0.23261250730566921</v>
      </c>
      <c r="Q273" s="87">
        <f t="shared" si="26"/>
        <v>0.95791934541203971</v>
      </c>
    </row>
    <row r="274" spans="1:17">
      <c r="A274" s="83">
        <v>296</v>
      </c>
      <c r="B274" s="83" t="s">
        <v>145</v>
      </c>
      <c r="C274" s="83" t="s">
        <v>22</v>
      </c>
      <c r="D274" s="84">
        <v>41546</v>
      </c>
      <c r="E274" s="85">
        <f t="shared" si="24"/>
        <v>2013</v>
      </c>
      <c r="F274" s="86">
        <v>5342000000</v>
      </c>
      <c r="G274" s="86">
        <v>160000000</v>
      </c>
      <c r="H274" s="86">
        <v>3247000000</v>
      </c>
      <c r="I274" s="86">
        <v>0</v>
      </c>
      <c r="J274" s="86">
        <v>464000000</v>
      </c>
      <c r="K274" s="83" t="s">
        <v>53</v>
      </c>
      <c r="L274" s="83" t="s">
        <v>146</v>
      </c>
      <c r="M274" s="91">
        <f t="shared" si="27"/>
        <v>5182000000</v>
      </c>
      <c r="N274" s="86">
        <f t="shared" si="28"/>
        <v>3711000000</v>
      </c>
      <c r="O274" s="86">
        <f t="shared" si="29"/>
        <v>1471000000</v>
      </c>
      <c r="P274" s="83">
        <f t="shared" si="25"/>
        <v>0.27536503182328714</v>
      </c>
      <c r="Q274" s="83">
        <f t="shared" si="26"/>
        <v>0.97004867090977165</v>
      </c>
    </row>
    <row r="275" spans="1:17">
      <c r="A275" s="87">
        <v>297</v>
      </c>
      <c r="B275" s="87" t="s">
        <v>145</v>
      </c>
      <c r="C275" s="87" t="s">
        <v>23</v>
      </c>
      <c r="D275" s="84">
        <v>41547</v>
      </c>
      <c r="E275" s="88">
        <f t="shared" si="24"/>
        <v>2013</v>
      </c>
      <c r="F275" s="89">
        <v>5276000000</v>
      </c>
      <c r="G275" s="89">
        <v>237000000</v>
      </c>
      <c r="H275" s="89">
        <v>3113000000</v>
      </c>
      <c r="I275" s="89">
        <v>0</v>
      </c>
      <c r="J275" s="89">
        <v>448000000</v>
      </c>
      <c r="K275" s="87" t="s">
        <v>53</v>
      </c>
      <c r="L275" s="87" t="s">
        <v>146</v>
      </c>
      <c r="M275" s="90">
        <f t="shared" si="27"/>
        <v>5039000000</v>
      </c>
      <c r="N275" s="89">
        <f t="shared" si="28"/>
        <v>3561000000</v>
      </c>
      <c r="O275" s="89">
        <f t="shared" si="29"/>
        <v>1478000000</v>
      </c>
      <c r="P275" s="87">
        <f t="shared" si="25"/>
        <v>0.28013646702047007</v>
      </c>
      <c r="Q275" s="87">
        <f t="shared" si="26"/>
        <v>0.95507960576194084</v>
      </c>
    </row>
    <row r="276" spans="1:17">
      <c r="A276" s="83">
        <v>298</v>
      </c>
      <c r="B276" s="83" t="s">
        <v>147</v>
      </c>
      <c r="C276" s="83" t="s">
        <v>18</v>
      </c>
      <c r="D276" s="84">
        <v>41548</v>
      </c>
      <c r="E276" s="85">
        <f t="shared" si="24"/>
        <v>2013</v>
      </c>
      <c r="F276" s="86">
        <v>2921900000</v>
      </c>
      <c r="G276" s="86">
        <v>1630500000</v>
      </c>
      <c r="H276" s="86">
        <v>746300000</v>
      </c>
      <c r="I276" s="86">
        <v>0</v>
      </c>
      <c r="J276" s="86">
        <v>0</v>
      </c>
      <c r="K276" s="83" t="s">
        <v>42</v>
      </c>
      <c r="L276" s="83" t="s">
        <v>148</v>
      </c>
      <c r="M276" s="91">
        <f t="shared" si="27"/>
        <v>1291400000</v>
      </c>
      <c r="N276" s="86">
        <f t="shared" si="28"/>
        <v>746300000</v>
      </c>
      <c r="O276" s="86">
        <f t="shared" si="29"/>
        <v>545100000</v>
      </c>
      <c r="P276" s="83">
        <f t="shared" si="25"/>
        <v>0.18655669256305829</v>
      </c>
      <c r="Q276" s="83">
        <f t="shared" si="26"/>
        <v>0.44197268900373043</v>
      </c>
    </row>
    <row r="277" spans="1:17">
      <c r="A277" s="87">
        <v>299</v>
      </c>
      <c r="B277" s="87" t="s">
        <v>147</v>
      </c>
      <c r="C277" s="87" t="s">
        <v>21</v>
      </c>
      <c r="D277" s="84">
        <v>41549</v>
      </c>
      <c r="E277" s="88">
        <f t="shared" si="24"/>
        <v>2013</v>
      </c>
      <c r="F277" s="89">
        <v>3194300000</v>
      </c>
      <c r="G277" s="89">
        <v>1756300000</v>
      </c>
      <c r="H277" s="89">
        <v>815800000</v>
      </c>
      <c r="I277" s="89">
        <v>0</v>
      </c>
      <c r="J277" s="89">
        <v>0</v>
      </c>
      <c r="K277" s="87" t="s">
        <v>42</v>
      </c>
      <c r="L277" s="87" t="s">
        <v>148</v>
      </c>
      <c r="M277" s="90">
        <f t="shared" si="27"/>
        <v>1438000000</v>
      </c>
      <c r="N277" s="89">
        <f t="shared" si="28"/>
        <v>815800000</v>
      </c>
      <c r="O277" s="89">
        <f t="shared" si="29"/>
        <v>622200000</v>
      </c>
      <c r="P277" s="87">
        <f t="shared" si="25"/>
        <v>0.19478445981905268</v>
      </c>
      <c r="Q277" s="87">
        <f t="shared" si="26"/>
        <v>0.45017687756315938</v>
      </c>
    </row>
    <row r="278" spans="1:17">
      <c r="A278" s="83">
        <v>300</v>
      </c>
      <c r="B278" s="83" t="s">
        <v>147</v>
      </c>
      <c r="C278" s="83" t="s">
        <v>22</v>
      </c>
      <c r="D278" s="84">
        <v>41550</v>
      </c>
      <c r="E278" s="85">
        <f t="shared" si="24"/>
        <v>2013</v>
      </c>
      <c r="F278" s="86">
        <v>3297600000</v>
      </c>
      <c r="G278" s="86">
        <v>1844700000</v>
      </c>
      <c r="H278" s="86">
        <v>811700000</v>
      </c>
      <c r="I278" s="86">
        <v>0</v>
      </c>
      <c r="J278" s="86">
        <v>0</v>
      </c>
      <c r="K278" s="83" t="s">
        <v>42</v>
      </c>
      <c r="L278" s="83" t="s">
        <v>148</v>
      </c>
      <c r="M278" s="91">
        <f t="shared" si="27"/>
        <v>1452900000</v>
      </c>
      <c r="N278" s="86">
        <f t="shared" si="28"/>
        <v>811700000</v>
      </c>
      <c r="O278" s="86">
        <f t="shared" si="29"/>
        <v>641200000</v>
      </c>
      <c r="P278" s="83">
        <f t="shared" si="25"/>
        <v>0.19444444444444445</v>
      </c>
      <c r="Q278" s="83">
        <f t="shared" si="26"/>
        <v>0.44059315866084425</v>
      </c>
    </row>
    <row r="279" spans="1:17">
      <c r="A279" s="87">
        <v>301</v>
      </c>
      <c r="B279" s="87" t="s">
        <v>147</v>
      </c>
      <c r="C279" s="87" t="s">
        <v>23</v>
      </c>
      <c r="D279" s="84">
        <v>41551</v>
      </c>
      <c r="E279" s="88">
        <f t="shared" si="24"/>
        <v>2013</v>
      </c>
      <c r="F279" s="89">
        <v>3394800000</v>
      </c>
      <c r="G279" s="89">
        <v>1883000000</v>
      </c>
      <c r="H279" s="89">
        <v>837600000</v>
      </c>
      <c r="I279" s="89">
        <v>0</v>
      </c>
      <c r="J279" s="89">
        <v>0</v>
      </c>
      <c r="K279" s="87" t="s">
        <v>42</v>
      </c>
      <c r="L279" s="87" t="s">
        <v>148</v>
      </c>
      <c r="M279" s="90">
        <f t="shared" si="27"/>
        <v>1511800000</v>
      </c>
      <c r="N279" s="89">
        <f t="shared" si="28"/>
        <v>837600000</v>
      </c>
      <c r="O279" s="89">
        <f t="shared" si="29"/>
        <v>674200000</v>
      </c>
      <c r="P279" s="87">
        <f t="shared" si="25"/>
        <v>0.19859785554377282</v>
      </c>
      <c r="Q279" s="87">
        <f t="shared" si="26"/>
        <v>0.44532814893366324</v>
      </c>
    </row>
    <row r="280" spans="1:17">
      <c r="A280" s="83">
        <v>302</v>
      </c>
      <c r="B280" s="83" t="s">
        <v>149</v>
      </c>
      <c r="C280" s="83" t="s">
        <v>18</v>
      </c>
      <c r="D280" s="84">
        <v>41552</v>
      </c>
      <c r="E280" s="85">
        <f t="shared" si="24"/>
        <v>2013</v>
      </c>
      <c r="F280" s="86">
        <v>12316000000</v>
      </c>
      <c r="G280" s="86">
        <v>7081000000</v>
      </c>
      <c r="H280" s="86">
        <v>723000000</v>
      </c>
      <c r="I280" s="86">
        <v>0</v>
      </c>
      <c r="J280" s="86">
        <v>2811000000</v>
      </c>
      <c r="K280" s="83" t="s">
        <v>89</v>
      </c>
      <c r="L280" s="83" t="s">
        <v>150</v>
      </c>
      <c r="M280" s="91">
        <f t="shared" si="27"/>
        <v>5235000000</v>
      </c>
      <c r="N280" s="86">
        <f t="shared" si="28"/>
        <v>3534000000</v>
      </c>
      <c r="O280" s="86">
        <f t="shared" si="29"/>
        <v>1701000000</v>
      </c>
      <c r="P280" s="83">
        <f t="shared" si="25"/>
        <v>0.13811302370899642</v>
      </c>
      <c r="Q280" s="83">
        <f t="shared" si="26"/>
        <v>0.42505683663527116</v>
      </c>
    </row>
    <row r="281" spans="1:17">
      <c r="A281" s="87">
        <v>303</v>
      </c>
      <c r="B281" s="87" t="s">
        <v>149</v>
      </c>
      <c r="C281" s="87" t="s">
        <v>21</v>
      </c>
      <c r="D281" s="84">
        <v>41553</v>
      </c>
      <c r="E281" s="88">
        <f t="shared" si="24"/>
        <v>2013</v>
      </c>
      <c r="F281" s="89">
        <v>19080000000</v>
      </c>
      <c r="G281" s="89">
        <v>12930000000</v>
      </c>
      <c r="H281" s="89">
        <v>686000000</v>
      </c>
      <c r="I281" s="89">
        <v>0</v>
      </c>
      <c r="J281" s="89">
        <v>2903000000</v>
      </c>
      <c r="K281" s="87" t="s">
        <v>89</v>
      </c>
      <c r="L281" s="87" t="s">
        <v>150</v>
      </c>
      <c r="M281" s="90">
        <f t="shared" si="27"/>
        <v>6150000000</v>
      </c>
      <c r="N281" s="89">
        <f t="shared" si="28"/>
        <v>3589000000</v>
      </c>
      <c r="O281" s="89">
        <f t="shared" si="29"/>
        <v>2561000000</v>
      </c>
      <c r="P281" s="87">
        <f t="shared" si="25"/>
        <v>0.13422431865828091</v>
      </c>
      <c r="Q281" s="87">
        <f t="shared" si="26"/>
        <v>0.32232704402515722</v>
      </c>
    </row>
    <row r="282" spans="1:17">
      <c r="A282" s="83">
        <v>304</v>
      </c>
      <c r="B282" s="83" t="s">
        <v>149</v>
      </c>
      <c r="C282" s="83" t="s">
        <v>22</v>
      </c>
      <c r="D282" s="84">
        <v>41554</v>
      </c>
      <c r="E282" s="85">
        <f t="shared" si="24"/>
        <v>2013</v>
      </c>
      <c r="F282" s="86">
        <v>23125000000</v>
      </c>
      <c r="G282" s="86">
        <v>16049000000</v>
      </c>
      <c r="H282" s="86">
        <v>554000000</v>
      </c>
      <c r="I282" s="86">
        <v>0</v>
      </c>
      <c r="J282" s="86">
        <v>2915000000</v>
      </c>
      <c r="K282" s="83" t="s">
        <v>89</v>
      </c>
      <c r="L282" s="83" t="s">
        <v>150</v>
      </c>
      <c r="M282" s="91">
        <f t="shared" si="27"/>
        <v>7076000000</v>
      </c>
      <c r="N282" s="86">
        <f t="shared" si="28"/>
        <v>3469000000</v>
      </c>
      <c r="O282" s="86">
        <f t="shared" si="29"/>
        <v>3607000000</v>
      </c>
      <c r="P282" s="83">
        <f t="shared" si="25"/>
        <v>0.15597837837837839</v>
      </c>
      <c r="Q282" s="83">
        <f t="shared" si="26"/>
        <v>0.30598918918918916</v>
      </c>
    </row>
    <row r="283" spans="1:17">
      <c r="A283" s="87">
        <v>305</v>
      </c>
      <c r="B283" s="87" t="s">
        <v>149</v>
      </c>
      <c r="C283" s="87" t="s">
        <v>23</v>
      </c>
      <c r="D283" s="84">
        <v>41555</v>
      </c>
      <c r="E283" s="88">
        <f t="shared" si="24"/>
        <v>2013</v>
      </c>
      <c r="F283" s="89">
        <v>12764000000</v>
      </c>
      <c r="G283" s="89">
        <v>10295000000</v>
      </c>
      <c r="H283" s="89">
        <v>334000000</v>
      </c>
      <c r="I283" s="89">
        <v>0</v>
      </c>
      <c r="J283" s="89">
        <v>2229000000</v>
      </c>
      <c r="K283" s="87" t="s">
        <v>89</v>
      </c>
      <c r="L283" s="87" t="s">
        <v>150</v>
      </c>
      <c r="M283" s="90">
        <f t="shared" si="27"/>
        <v>2469000000</v>
      </c>
      <c r="N283" s="89">
        <f t="shared" si="28"/>
        <v>2563000000</v>
      </c>
      <c r="O283" s="89">
        <f t="shared" si="29"/>
        <v>-94000000</v>
      </c>
      <c r="P283" s="87">
        <f t="shared" si="25"/>
        <v>-7.3644625509244749E-3</v>
      </c>
      <c r="Q283" s="87">
        <f t="shared" si="26"/>
        <v>0.19343465998119713</v>
      </c>
    </row>
    <row r="284" spans="1:17">
      <c r="A284" s="83">
        <v>306</v>
      </c>
      <c r="B284" s="83" t="s">
        <v>151</v>
      </c>
      <c r="C284" s="83" t="s">
        <v>18</v>
      </c>
      <c r="D284" s="84">
        <v>41556</v>
      </c>
      <c r="E284" s="85">
        <f t="shared" si="24"/>
        <v>2013</v>
      </c>
      <c r="F284" s="86">
        <v>11359113000</v>
      </c>
      <c r="G284" s="86">
        <v>9641542000</v>
      </c>
      <c r="H284" s="86">
        <v>1042251000</v>
      </c>
      <c r="I284" s="86">
        <v>0</v>
      </c>
      <c r="J284" s="86">
        <v>0</v>
      </c>
      <c r="K284" s="83" t="s">
        <v>19</v>
      </c>
      <c r="L284" s="83" t="s">
        <v>152</v>
      </c>
      <c r="M284" s="91">
        <f t="shared" si="27"/>
        <v>1717571000</v>
      </c>
      <c r="N284" s="86">
        <f t="shared" si="28"/>
        <v>1042251000</v>
      </c>
      <c r="O284" s="86">
        <f t="shared" si="29"/>
        <v>675320000</v>
      </c>
      <c r="P284" s="83">
        <f t="shared" si="25"/>
        <v>5.9451825155714184E-2</v>
      </c>
      <c r="Q284" s="83">
        <f t="shared" si="26"/>
        <v>0.15120643662933897</v>
      </c>
    </row>
    <row r="285" spans="1:17">
      <c r="A285" s="87">
        <v>307</v>
      </c>
      <c r="B285" s="87" t="s">
        <v>151</v>
      </c>
      <c r="C285" s="87" t="s">
        <v>21</v>
      </c>
      <c r="D285" s="84">
        <v>41557</v>
      </c>
      <c r="E285" s="88">
        <f t="shared" si="24"/>
        <v>2013</v>
      </c>
      <c r="F285" s="89">
        <v>12752076000</v>
      </c>
      <c r="G285" s="89">
        <v>10915981000</v>
      </c>
      <c r="H285" s="89">
        <v>1153445000</v>
      </c>
      <c r="I285" s="89">
        <v>0</v>
      </c>
      <c r="J285" s="89">
        <v>0</v>
      </c>
      <c r="K285" s="87" t="s">
        <v>19</v>
      </c>
      <c r="L285" s="87" t="s">
        <v>152</v>
      </c>
      <c r="M285" s="90">
        <f t="shared" si="27"/>
        <v>1836095000</v>
      </c>
      <c r="N285" s="89">
        <f t="shared" si="28"/>
        <v>1153445000</v>
      </c>
      <c r="O285" s="89">
        <f t="shared" si="29"/>
        <v>682650000</v>
      </c>
      <c r="P285" s="87">
        <f t="shared" si="25"/>
        <v>5.3532460126492348E-2</v>
      </c>
      <c r="Q285" s="87">
        <f t="shared" si="26"/>
        <v>0.14398400699619418</v>
      </c>
    </row>
    <row r="286" spans="1:17">
      <c r="A286" s="83">
        <v>308</v>
      </c>
      <c r="B286" s="83" t="s">
        <v>151</v>
      </c>
      <c r="C286" s="83" t="s">
        <v>22</v>
      </c>
      <c r="D286" s="84">
        <v>41558</v>
      </c>
      <c r="E286" s="85">
        <f t="shared" si="24"/>
        <v>2013</v>
      </c>
      <c r="F286" s="86">
        <v>13470067000</v>
      </c>
      <c r="G286" s="86">
        <v>11462415000</v>
      </c>
      <c r="H286" s="86">
        <v>1259234000</v>
      </c>
      <c r="I286" s="86">
        <v>0</v>
      </c>
      <c r="J286" s="86">
        <v>0</v>
      </c>
      <c r="K286" s="83" t="s">
        <v>19</v>
      </c>
      <c r="L286" s="83" t="s">
        <v>152</v>
      </c>
      <c r="M286" s="91">
        <f t="shared" si="27"/>
        <v>2007652000</v>
      </c>
      <c r="N286" s="86">
        <f t="shared" si="28"/>
        <v>1259234000</v>
      </c>
      <c r="O286" s="86">
        <f t="shared" si="29"/>
        <v>748418000</v>
      </c>
      <c r="P286" s="83">
        <f t="shared" si="25"/>
        <v>5.5561564764302955E-2</v>
      </c>
      <c r="Q286" s="83">
        <f t="shared" si="26"/>
        <v>0.14904543533450876</v>
      </c>
    </row>
    <row r="287" spans="1:17">
      <c r="A287" s="87">
        <v>309</v>
      </c>
      <c r="B287" s="87" t="s">
        <v>151</v>
      </c>
      <c r="C287" s="87" t="s">
        <v>23</v>
      </c>
      <c r="D287" s="84">
        <v>41559</v>
      </c>
      <c r="E287" s="88">
        <f t="shared" si="24"/>
        <v>2013</v>
      </c>
      <c r="F287" s="89">
        <v>13476084000</v>
      </c>
      <c r="G287" s="89">
        <v>11207604000</v>
      </c>
      <c r="H287" s="89">
        <v>1410170000</v>
      </c>
      <c r="I287" s="89">
        <v>0</v>
      </c>
      <c r="J287" s="89">
        <v>0</v>
      </c>
      <c r="K287" s="87" t="s">
        <v>19</v>
      </c>
      <c r="L287" s="87" t="s">
        <v>152</v>
      </c>
      <c r="M287" s="90">
        <f t="shared" si="27"/>
        <v>2268480000</v>
      </c>
      <c r="N287" s="89">
        <f t="shared" si="28"/>
        <v>1410170000</v>
      </c>
      <c r="O287" s="89">
        <f t="shared" si="29"/>
        <v>858310000</v>
      </c>
      <c r="P287" s="87">
        <f t="shared" si="25"/>
        <v>6.36913512857296E-2</v>
      </c>
      <c r="Q287" s="87">
        <f t="shared" si="26"/>
        <v>0.16833376817775847</v>
      </c>
    </row>
    <row r="288" spans="1:17">
      <c r="A288" s="83">
        <v>310</v>
      </c>
      <c r="B288" s="83" t="s">
        <v>153</v>
      </c>
      <c r="C288" s="83" t="s">
        <v>18</v>
      </c>
      <c r="D288" s="84">
        <v>41560</v>
      </c>
      <c r="E288" s="85">
        <f t="shared" si="24"/>
        <v>2013</v>
      </c>
      <c r="F288" s="86">
        <v>8155000000</v>
      </c>
      <c r="G288" s="86">
        <v>5345000000</v>
      </c>
      <c r="H288" s="86">
        <v>47000000</v>
      </c>
      <c r="I288" s="86">
        <v>0</v>
      </c>
      <c r="J288" s="86">
        <v>1854000000</v>
      </c>
      <c r="K288" s="83" t="s">
        <v>25</v>
      </c>
      <c r="L288" s="83" t="s">
        <v>154</v>
      </c>
      <c r="M288" s="91">
        <f t="shared" si="27"/>
        <v>2810000000</v>
      </c>
      <c r="N288" s="86">
        <f t="shared" si="28"/>
        <v>1901000000</v>
      </c>
      <c r="O288" s="86">
        <f t="shared" si="29"/>
        <v>909000000</v>
      </c>
      <c r="P288" s="83">
        <f t="shared" si="25"/>
        <v>0.1114653586756591</v>
      </c>
      <c r="Q288" s="83">
        <f t="shared" si="26"/>
        <v>0.34457388105456777</v>
      </c>
    </row>
    <row r="289" spans="1:17">
      <c r="A289" s="87">
        <v>311</v>
      </c>
      <c r="B289" s="87" t="s">
        <v>153</v>
      </c>
      <c r="C289" s="87" t="s">
        <v>21</v>
      </c>
      <c r="D289" s="84">
        <v>41561</v>
      </c>
      <c r="E289" s="88">
        <f t="shared" si="24"/>
        <v>2013</v>
      </c>
      <c r="F289" s="89">
        <v>9108000000</v>
      </c>
      <c r="G289" s="89">
        <v>5973000000</v>
      </c>
      <c r="H289" s="89">
        <v>62000000</v>
      </c>
      <c r="I289" s="89">
        <v>0</v>
      </c>
      <c r="J289" s="89">
        <v>2102000000</v>
      </c>
      <c r="K289" s="87" t="s">
        <v>25</v>
      </c>
      <c r="L289" s="87" t="s">
        <v>154</v>
      </c>
      <c r="M289" s="90">
        <f t="shared" si="27"/>
        <v>3135000000</v>
      </c>
      <c r="N289" s="89">
        <f t="shared" si="28"/>
        <v>2164000000</v>
      </c>
      <c r="O289" s="89">
        <f t="shared" si="29"/>
        <v>971000000</v>
      </c>
      <c r="P289" s="87">
        <f t="shared" si="25"/>
        <v>0.10660957400087835</v>
      </c>
      <c r="Q289" s="87">
        <f t="shared" si="26"/>
        <v>0.34420289855072461</v>
      </c>
    </row>
    <row r="290" spans="1:17">
      <c r="A290" s="83">
        <v>312</v>
      </c>
      <c r="B290" s="83" t="s">
        <v>153</v>
      </c>
      <c r="C290" s="83" t="s">
        <v>22</v>
      </c>
      <c r="D290" s="84">
        <v>41562</v>
      </c>
      <c r="E290" s="85">
        <f t="shared" si="24"/>
        <v>2013</v>
      </c>
      <c r="F290" s="86">
        <v>9754000000</v>
      </c>
      <c r="G290" s="86">
        <v>6426000000</v>
      </c>
      <c r="H290" s="86">
        <v>89000000</v>
      </c>
      <c r="I290" s="86">
        <v>0</v>
      </c>
      <c r="J290" s="86">
        <v>2125000000</v>
      </c>
      <c r="K290" s="83" t="s">
        <v>25</v>
      </c>
      <c r="L290" s="83" t="s">
        <v>154</v>
      </c>
      <c r="M290" s="91">
        <f t="shared" si="27"/>
        <v>3328000000</v>
      </c>
      <c r="N290" s="86">
        <f t="shared" si="28"/>
        <v>2214000000</v>
      </c>
      <c r="O290" s="86">
        <f t="shared" si="29"/>
        <v>1114000000</v>
      </c>
      <c r="P290" s="83">
        <f t="shared" si="25"/>
        <v>0.11420955505433668</v>
      </c>
      <c r="Q290" s="83">
        <f t="shared" si="26"/>
        <v>0.34119335657166294</v>
      </c>
    </row>
    <row r="291" spans="1:17">
      <c r="A291" s="87">
        <v>313</v>
      </c>
      <c r="B291" s="87" t="s">
        <v>153</v>
      </c>
      <c r="C291" s="87" t="s">
        <v>23</v>
      </c>
      <c r="D291" s="84">
        <v>41563</v>
      </c>
      <c r="E291" s="88">
        <f t="shared" si="24"/>
        <v>2013</v>
      </c>
      <c r="F291" s="89">
        <v>29003000000</v>
      </c>
      <c r="G291" s="89">
        <v>18655000000</v>
      </c>
      <c r="H291" s="89">
        <v>86000000</v>
      </c>
      <c r="I291" s="89">
        <v>0</v>
      </c>
      <c r="J291" s="89">
        <v>6907000000</v>
      </c>
      <c r="K291" s="87" t="s">
        <v>25</v>
      </c>
      <c r="L291" s="87" t="s">
        <v>154</v>
      </c>
      <c r="M291" s="90">
        <f t="shared" si="27"/>
        <v>10348000000</v>
      </c>
      <c r="N291" s="89">
        <f t="shared" si="28"/>
        <v>6993000000</v>
      </c>
      <c r="O291" s="89">
        <f t="shared" si="29"/>
        <v>3355000000</v>
      </c>
      <c r="P291" s="87">
        <f t="shared" si="25"/>
        <v>0.11567768851498121</v>
      </c>
      <c r="Q291" s="87">
        <f t="shared" si="26"/>
        <v>0.3567906768265352</v>
      </c>
    </row>
    <row r="292" spans="1:17">
      <c r="A292" s="83">
        <v>314</v>
      </c>
      <c r="B292" s="83" t="s">
        <v>155</v>
      </c>
      <c r="C292" s="83" t="s">
        <v>18</v>
      </c>
      <c r="D292" s="84">
        <v>41564</v>
      </c>
      <c r="E292" s="85">
        <f t="shared" si="24"/>
        <v>2013</v>
      </c>
      <c r="F292" s="86">
        <v>29119000000</v>
      </c>
      <c r="G292" s="86">
        <v>17900000000</v>
      </c>
      <c r="H292" s="86">
        <v>0</v>
      </c>
      <c r="I292" s="86">
        <v>0</v>
      </c>
      <c r="J292" s="86">
        <v>8742000000</v>
      </c>
      <c r="K292" s="83" t="s">
        <v>31</v>
      </c>
      <c r="L292" s="83" t="s">
        <v>87</v>
      </c>
      <c r="M292" s="91">
        <f t="shared" si="27"/>
        <v>11219000000</v>
      </c>
      <c r="N292" s="86">
        <f t="shared" si="28"/>
        <v>8742000000</v>
      </c>
      <c r="O292" s="86">
        <f t="shared" si="29"/>
        <v>2477000000</v>
      </c>
      <c r="P292" s="83">
        <f t="shared" si="25"/>
        <v>8.5064734365877956E-2</v>
      </c>
      <c r="Q292" s="83">
        <f t="shared" si="26"/>
        <v>0.38528108794944882</v>
      </c>
    </row>
    <row r="293" spans="1:17">
      <c r="A293" s="87">
        <v>315</v>
      </c>
      <c r="B293" s="87" t="s">
        <v>155</v>
      </c>
      <c r="C293" s="87" t="s">
        <v>21</v>
      </c>
      <c r="D293" s="84">
        <v>41565</v>
      </c>
      <c r="E293" s="88">
        <f t="shared" si="24"/>
        <v>2013</v>
      </c>
      <c r="F293" s="89">
        <v>32380000000</v>
      </c>
      <c r="G293" s="89">
        <v>20865000000</v>
      </c>
      <c r="H293" s="89">
        <v>0</v>
      </c>
      <c r="I293" s="89">
        <v>0</v>
      </c>
      <c r="J293" s="89">
        <v>9339000000</v>
      </c>
      <c r="K293" s="87" t="s">
        <v>31</v>
      </c>
      <c r="L293" s="87" t="s">
        <v>87</v>
      </c>
      <c r="M293" s="90">
        <f t="shared" si="27"/>
        <v>11515000000</v>
      </c>
      <c r="N293" s="89">
        <f t="shared" si="28"/>
        <v>9339000000</v>
      </c>
      <c r="O293" s="89">
        <f t="shared" si="29"/>
        <v>2176000000</v>
      </c>
      <c r="P293" s="87">
        <f t="shared" si="25"/>
        <v>6.7201976528721438E-2</v>
      </c>
      <c r="Q293" s="87">
        <f t="shared" si="26"/>
        <v>0.35562075355157508</v>
      </c>
    </row>
    <row r="294" spans="1:17">
      <c r="A294" s="83">
        <v>316</v>
      </c>
      <c r="B294" s="83" t="s">
        <v>155</v>
      </c>
      <c r="C294" s="83" t="s">
        <v>22</v>
      </c>
      <c r="D294" s="84">
        <v>41566</v>
      </c>
      <c r="E294" s="85">
        <f t="shared" si="24"/>
        <v>2013</v>
      </c>
      <c r="F294" s="86">
        <v>34914000000</v>
      </c>
      <c r="G294" s="86">
        <v>21334000000</v>
      </c>
      <c r="H294" s="86">
        <v>0</v>
      </c>
      <c r="I294" s="86">
        <v>0</v>
      </c>
      <c r="J294" s="86">
        <v>10276000000</v>
      </c>
      <c r="K294" s="83" t="s">
        <v>31</v>
      </c>
      <c r="L294" s="83" t="s">
        <v>87</v>
      </c>
      <c r="M294" s="91">
        <f t="shared" si="27"/>
        <v>13580000000</v>
      </c>
      <c r="N294" s="86">
        <f t="shared" si="28"/>
        <v>10276000000</v>
      </c>
      <c r="O294" s="86">
        <f t="shared" si="29"/>
        <v>3304000000</v>
      </c>
      <c r="P294" s="83">
        <f t="shared" si="25"/>
        <v>9.4632525634415987E-2</v>
      </c>
      <c r="Q294" s="83">
        <f t="shared" si="26"/>
        <v>0.38895571976857424</v>
      </c>
    </row>
    <row r="295" spans="1:17">
      <c r="A295" s="87">
        <v>317</v>
      </c>
      <c r="B295" s="87" t="s">
        <v>155</v>
      </c>
      <c r="C295" s="87" t="s">
        <v>23</v>
      </c>
      <c r="D295" s="84">
        <v>41567</v>
      </c>
      <c r="E295" s="88">
        <f t="shared" si="24"/>
        <v>2013</v>
      </c>
      <c r="F295" s="89">
        <v>37876000000</v>
      </c>
      <c r="G295" s="89">
        <v>23290000000</v>
      </c>
      <c r="H295" s="89">
        <v>0</v>
      </c>
      <c r="I295" s="89">
        <v>0</v>
      </c>
      <c r="J295" s="89">
        <v>11259000000</v>
      </c>
      <c r="K295" s="87" t="s">
        <v>31</v>
      </c>
      <c r="L295" s="87" t="s">
        <v>87</v>
      </c>
      <c r="M295" s="90">
        <f t="shared" si="27"/>
        <v>14586000000</v>
      </c>
      <c r="N295" s="89">
        <f t="shared" si="28"/>
        <v>11259000000</v>
      </c>
      <c r="O295" s="89">
        <f t="shared" si="29"/>
        <v>3327000000</v>
      </c>
      <c r="P295" s="87">
        <f t="shared" si="25"/>
        <v>8.7839264969901784E-2</v>
      </c>
      <c r="Q295" s="87">
        <f t="shared" si="26"/>
        <v>0.38509874326750448</v>
      </c>
    </row>
    <row r="296" spans="1:17">
      <c r="A296" s="83">
        <v>318</v>
      </c>
      <c r="B296" s="83" t="s">
        <v>156</v>
      </c>
      <c r="C296" s="83" t="s">
        <v>18</v>
      </c>
      <c r="D296" s="84">
        <v>41568</v>
      </c>
      <c r="E296" s="85">
        <f t="shared" si="24"/>
        <v>2013</v>
      </c>
      <c r="F296" s="86">
        <v>4111000000</v>
      </c>
      <c r="G296" s="86">
        <v>3477000000</v>
      </c>
      <c r="H296" s="86">
        <v>0</v>
      </c>
      <c r="I296" s="86">
        <v>0</v>
      </c>
      <c r="J296" s="86">
        <v>14000000</v>
      </c>
      <c r="K296" s="83" t="s">
        <v>53</v>
      </c>
      <c r="L296" s="83" t="s">
        <v>56</v>
      </c>
      <c r="M296" s="91">
        <f t="shared" si="27"/>
        <v>634000000</v>
      </c>
      <c r="N296" s="86">
        <f t="shared" si="28"/>
        <v>14000000</v>
      </c>
      <c r="O296" s="86">
        <f t="shared" si="29"/>
        <v>620000000</v>
      </c>
      <c r="P296" s="83">
        <f t="shared" si="25"/>
        <v>0.15081488688883482</v>
      </c>
      <c r="Q296" s="83">
        <f t="shared" si="26"/>
        <v>0.15422038433471175</v>
      </c>
    </row>
    <row r="297" spans="1:17">
      <c r="A297" s="87">
        <v>319</v>
      </c>
      <c r="B297" s="87" t="s">
        <v>156</v>
      </c>
      <c r="C297" s="87" t="s">
        <v>21</v>
      </c>
      <c r="D297" s="84">
        <v>41569</v>
      </c>
      <c r="E297" s="88">
        <f t="shared" si="24"/>
        <v>2013</v>
      </c>
      <c r="F297" s="89">
        <v>4531000000</v>
      </c>
      <c r="G297" s="89">
        <v>3748000000</v>
      </c>
      <c r="H297" s="89">
        <v>0</v>
      </c>
      <c r="I297" s="89">
        <v>0</v>
      </c>
      <c r="J297" s="89">
        <v>15000000</v>
      </c>
      <c r="K297" s="87" t="s">
        <v>53</v>
      </c>
      <c r="L297" s="87" t="s">
        <v>56</v>
      </c>
      <c r="M297" s="90">
        <f t="shared" si="27"/>
        <v>783000000</v>
      </c>
      <c r="N297" s="89">
        <f t="shared" si="28"/>
        <v>15000000</v>
      </c>
      <c r="O297" s="89">
        <f t="shared" si="29"/>
        <v>768000000</v>
      </c>
      <c r="P297" s="87">
        <f t="shared" si="25"/>
        <v>0.16949900684175678</v>
      </c>
      <c r="Q297" s="87">
        <f t="shared" si="26"/>
        <v>0.17280953431913482</v>
      </c>
    </row>
    <row r="298" spans="1:17">
      <c r="A298" s="83">
        <v>320</v>
      </c>
      <c r="B298" s="83" t="s">
        <v>156</v>
      </c>
      <c r="C298" s="83" t="s">
        <v>22</v>
      </c>
      <c r="D298" s="84">
        <v>41570</v>
      </c>
      <c r="E298" s="85">
        <f t="shared" si="24"/>
        <v>2013</v>
      </c>
      <c r="F298" s="86">
        <v>4945000000</v>
      </c>
      <c r="G298" s="86">
        <v>4157000000</v>
      </c>
      <c r="H298" s="86">
        <v>0</v>
      </c>
      <c r="I298" s="86">
        <v>0</v>
      </c>
      <c r="J298" s="86">
        <v>14000000</v>
      </c>
      <c r="K298" s="83" t="s">
        <v>53</v>
      </c>
      <c r="L298" s="83" t="s">
        <v>56</v>
      </c>
      <c r="M298" s="91">
        <f t="shared" si="27"/>
        <v>788000000</v>
      </c>
      <c r="N298" s="86">
        <f t="shared" si="28"/>
        <v>14000000</v>
      </c>
      <c r="O298" s="86">
        <f t="shared" si="29"/>
        <v>774000000</v>
      </c>
      <c r="P298" s="83">
        <f t="shared" si="25"/>
        <v>0.15652173913043479</v>
      </c>
      <c r="Q298" s="83">
        <f t="shared" si="26"/>
        <v>0.15935288169868556</v>
      </c>
    </row>
    <row r="299" spans="1:17">
      <c r="A299" s="87">
        <v>321</v>
      </c>
      <c r="B299" s="87" t="s">
        <v>156</v>
      </c>
      <c r="C299" s="87" t="s">
        <v>23</v>
      </c>
      <c r="D299" s="84">
        <v>41571</v>
      </c>
      <c r="E299" s="88">
        <f t="shared" si="24"/>
        <v>2013</v>
      </c>
      <c r="F299" s="89">
        <v>5142000000</v>
      </c>
      <c r="G299" s="89">
        <v>4195000000</v>
      </c>
      <c r="H299" s="89">
        <v>0</v>
      </c>
      <c r="I299" s="89">
        <v>0</v>
      </c>
      <c r="J299" s="89">
        <v>13000000</v>
      </c>
      <c r="K299" s="87" t="s">
        <v>53</v>
      </c>
      <c r="L299" s="87" t="s">
        <v>56</v>
      </c>
      <c r="M299" s="90">
        <f t="shared" si="27"/>
        <v>947000000</v>
      </c>
      <c r="N299" s="89">
        <f t="shared" si="28"/>
        <v>13000000</v>
      </c>
      <c r="O299" s="89">
        <f t="shared" si="29"/>
        <v>934000000</v>
      </c>
      <c r="P299" s="87">
        <f t="shared" si="25"/>
        <v>0.18164138467522364</v>
      </c>
      <c r="Q299" s="87">
        <f t="shared" si="26"/>
        <v>0.18416958381952553</v>
      </c>
    </row>
    <row r="300" spans="1:17">
      <c r="A300" s="83">
        <v>322</v>
      </c>
      <c r="B300" s="83" t="s">
        <v>157</v>
      </c>
      <c r="C300" s="83" t="s">
        <v>18</v>
      </c>
      <c r="D300" s="84">
        <v>41572</v>
      </c>
      <c r="E300" s="85">
        <f t="shared" si="24"/>
        <v>2013</v>
      </c>
      <c r="F300" s="86">
        <v>17085000000</v>
      </c>
      <c r="G300" s="86">
        <v>7153000000</v>
      </c>
      <c r="H300" s="86">
        <v>6043000000</v>
      </c>
      <c r="I300" s="86">
        <v>0</v>
      </c>
      <c r="J300" s="86">
        <v>0</v>
      </c>
      <c r="K300" s="83" t="s">
        <v>42</v>
      </c>
      <c r="L300" s="83" t="s">
        <v>148</v>
      </c>
      <c r="M300" s="91">
        <f t="shared" si="27"/>
        <v>9932000000</v>
      </c>
      <c r="N300" s="86">
        <f t="shared" si="28"/>
        <v>6043000000</v>
      </c>
      <c r="O300" s="86">
        <f t="shared" si="29"/>
        <v>3889000000</v>
      </c>
      <c r="P300" s="83">
        <f t="shared" si="25"/>
        <v>0.2276265730172666</v>
      </c>
      <c r="Q300" s="83">
        <f t="shared" si="26"/>
        <v>0.58132865086333041</v>
      </c>
    </row>
    <row r="301" spans="1:17">
      <c r="A301" s="87">
        <v>323</v>
      </c>
      <c r="B301" s="87" t="s">
        <v>157</v>
      </c>
      <c r="C301" s="87" t="s">
        <v>21</v>
      </c>
      <c r="D301" s="84">
        <v>41573</v>
      </c>
      <c r="E301" s="88">
        <f t="shared" si="24"/>
        <v>2013</v>
      </c>
      <c r="F301" s="89">
        <v>17420000000</v>
      </c>
      <c r="G301" s="89">
        <v>7219000000</v>
      </c>
      <c r="H301" s="89">
        <v>6645000000</v>
      </c>
      <c r="I301" s="89">
        <v>0</v>
      </c>
      <c r="J301" s="89">
        <v>0</v>
      </c>
      <c r="K301" s="87" t="s">
        <v>42</v>
      </c>
      <c r="L301" s="87" t="s">
        <v>148</v>
      </c>
      <c r="M301" s="90">
        <f t="shared" si="27"/>
        <v>10201000000</v>
      </c>
      <c r="N301" s="89">
        <f t="shared" si="28"/>
        <v>6645000000</v>
      </c>
      <c r="O301" s="89">
        <f t="shared" si="29"/>
        <v>3556000000</v>
      </c>
      <c r="P301" s="87">
        <f t="shared" si="25"/>
        <v>0.20413318025258323</v>
      </c>
      <c r="Q301" s="87">
        <f t="shared" si="26"/>
        <v>0.58559127439724457</v>
      </c>
    </row>
    <row r="302" spans="1:17">
      <c r="A302" s="83">
        <v>324</v>
      </c>
      <c r="B302" s="83" t="s">
        <v>157</v>
      </c>
      <c r="C302" s="83" t="s">
        <v>22</v>
      </c>
      <c r="D302" s="84">
        <v>41574</v>
      </c>
      <c r="E302" s="85">
        <f t="shared" si="24"/>
        <v>2013</v>
      </c>
      <c r="F302" s="86">
        <v>17277000000</v>
      </c>
      <c r="G302" s="86">
        <v>7168000000</v>
      </c>
      <c r="H302" s="86">
        <v>6552000000</v>
      </c>
      <c r="I302" s="86">
        <v>0</v>
      </c>
      <c r="J302" s="86">
        <v>0</v>
      </c>
      <c r="K302" s="83" t="s">
        <v>42</v>
      </c>
      <c r="L302" s="83" t="s">
        <v>148</v>
      </c>
      <c r="M302" s="91">
        <f t="shared" si="27"/>
        <v>10109000000</v>
      </c>
      <c r="N302" s="86">
        <f t="shared" si="28"/>
        <v>6552000000</v>
      </c>
      <c r="O302" s="86">
        <f t="shared" si="29"/>
        <v>3557000000</v>
      </c>
      <c r="P302" s="83">
        <f t="shared" si="25"/>
        <v>0.20588065057591018</v>
      </c>
      <c r="Q302" s="83">
        <f t="shared" si="26"/>
        <v>0.58511315621925108</v>
      </c>
    </row>
    <row r="303" spans="1:17">
      <c r="A303" s="87">
        <v>325</v>
      </c>
      <c r="B303" s="87" t="s">
        <v>157</v>
      </c>
      <c r="C303" s="87" t="s">
        <v>23</v>
      </c>
      <c r="D303" s="84">
        <v>41575</v>
      </c>
      <c r="E303" s="88">
        <f t="shared" si="24"/>
        <v>2013</v>
      </c>
      <c r="F303" s="89">
        <v>16034000000</v>
      </c>
      <c r="G303" s="89">
        <v>6635000000</v>
      </c>
      <c r="H303" s="89">
        <v>6610000000</v>
      </c>
      <c r="I303" s="89">
        <v>0</v>
      </c>
      <c r="J303" s="89">
        <v>0</v>
      </c>
      <c r="K303" s="87" t="s">
        <v>42</v>
      </c>
      <c r="L303" s="87" t="s">
        <v>148</v>
      </c>
      <c r="M303" s="90">
        <f t="shared" si="27"/>
        <v>9399000000</v>
      </c>
      <c r="N303" s="89">
        <f t="shared" si="28"/>
        <v>6610000000</v>
      </c>
      <c r="O303" s="89">
        <f t="shared" si="29"/>
        <v>2789000000</v>
      </c>
      <c r="P303" s="87">
        <f t="shared" si="25"/>
        <v>0.17394287139827866</v>
      </c>
      <c r="Q303" s="87">
        <f t="shared" si="26"/>
        <v>0.58619184233503807</v>
      </c>
    </row>
    <row r="304" spans="1:17">
      <c r="A304" s="83">
        <v>326</v>
      </c>
      <c r="B304" s="83" t="s">
        <v>158</v>
      </c>
      <c r="C304" s="83" t="s">
        <v>18</v>
      </c>
      <c r="D304" s="84">
        <v>41576</v>
      </c>
      <c r="E304" s="85">
        <f t="shared" si="24"/>
        <v>2013</v>
      </c>
      <c r="F304" s="86">
        <v>5533000000</v>
      </c>
      <c r="G304" s="86">
        <v>3142000000</v>
      </c>
      <c r="H304" s="86">
        <v>1291000000</v>
      </c>
      <c r="I304" s="86">
        <v>130000000</v>
      </c>
      <c r="J304" s="86">
        <v>0</v>
      </c>
      <c r="K304" s="83" t="s">
        <v>42</v>
      </c>
      <c r="L304" s="83" t="s">
        <v>148</v>
      </c>
      <c r="M304" s="91">
        <f t="shared" si="27"/>
        <v>2391000000</v>
      </c>
      <c r="N304" s="86">
        <f t="shared" si="28"/>
        <v>1421000000</v>
      </c>
      <c r="O304" s="86">
        <f t="shared" si="29"/>
        <v>970000000</v>
      </c>
      <c r="P304" s="83">
        <f t="shared" si="25"/>
        <v>0.17531176576902224</v>
      </c>
      <c r="Q304" s="83">
        <f t="shared" si="26"/>
        <v>0.43213446593168259</v>
      </c>
    </row>
    <row r="305" spans="1:17">
      <c r="A305" s="87">
        <v>327</v>
      </c>
      <c r="B305" s="87" t="s">
        <v>158</v>
      </c>
      <c r="C305" s="87" t="s">
        <v>21</v>
      </c>
      <c r="D305" s="84">
        <v>41577</v>
      </c>
      <c r="E305" s="88">
        <f t="shared" si="24"/>
        <v>2013</v>
      </c>
      <c r="F305" s="89">
        <v>5514000000</v>
      </c>
      <c r="G305" s="89">
        <v>3158000000</v>
      </c>
      <c r="H305" s="89">
        <v>1254000000</v>
      </c>
      <c r="I305" s="89">
        <v>125000000</v>
      </c>
      <c r="J305" s="89">
        <v>0</v>
      </c>
      <c r="K305" s="87" t="s">
        <v>42</v>
      </c>
      <c r="L305" s="87" t="s">
        <v>148</v>
      </c>
      <c r="M305" s="90">
        <f t="shared" si="27"/>
        <v>2356000000</v>
      </c>
      <c r="N305" s="89">
        <f t="shared" si="28"/>
        <v>1379000000</v>
      </c>
      <c r="O305" s="89">
        <f t="shared" si="29"/>
        <v>977000000</v>
      </c>
      <c r="P305" s="87">
        <f t="shared" si="25"/>
        <v>0.17718534639100472</v>
      </c>
      <c r="Q305" s="87">
        <f t="shared" si="26"/>
        <v>0.42727602466449044</v>
      </c>
    </row>
    <row r="306" spans="1:17">
      <c r="A306" s="83">
        <v>328</v>
      </c>
      <c r="B306" s="83" t="s">
        <v>158</v>
      </c>
      <c r="C306" s="83" t="s">
        <v>22</v>
      </c>
      <c r="D306" s="84">
        <v>41578</v>
      </c>
      <c r="E306" s="85">
        <f t="shared" si="24"/>
        <v>2013</v>
      </c>
      <c r="F306" s="86">
        <v>5655000000</v>
      </c>
      <c r="G306" s="86">
        <v>3190000000</v>
      </c>
      <c r="H306" s="86">
        <v>1321000000</v>
      </c>
      <c r="I306" s="86">
        <v>136000000</v>
      </c>
      <c r="J306" s="86">
        <v>0</v>
      </c>
      <c r="K306" s="83" t="s">
        <v>42</v>
      </c>
      <c r="L306" s="83" t="s">
        <v>148</v>
      </c>
      <c r="M306" s="91">
        <f t="shared" si="27"/>
        <v>2465000000</v>
      </c>
      <c r="N306" s="86">
        <f t="shared" si="28"/>
        <v>1457000000</v>
      </c>
      <c r="O306" s="86">
        <f t="shared" si="29"/>
        <v>1008000000</v>
      </c>
      <c r="P306" s="83">
        <f t="shared" si="25"/>
        <v>0.17824933687002653</v>
      </c>
      <c r="Q306" s="83">
        <f t="shared" si="26"/>
        <v>0.4358974358974359</v>
      </c>
    </row>
    <row r="307" spans="1:17">
      <c r="A307" s="87">
        <v>329</v>
      </c>
      <c r="B307" s="87" t="s">
        <v>158</v>
      </c>
      <c r="C307" s="87" t="s">
        <v>23</v>
      </c>
      <c r="D307" s="84">
        <v>41579</v>
      </c>
      <c r="E307" s="88">
        <f t="shared" si="24"/>
        <v>2013</v>
      </c>
      <c r="F307" s="89">
        <v>5761000000</v>
      </c>
      <c r="G307" s="89">
        <v>3163000000</v>
      </c>
      <c r="H307" s="89">
        <v>1393000000</v>
      </c>
      <c r="I307" s="89">
        <v>141000000</v>
      </c>
      <c r="J307" s="89">
        <v>0</v>
      </c>
      <c r="K307" s="87" t="s">
        <v>42</v>
      </c>
      <c r="L307" s="87" t="s">
        <v>148</v>
      </c>
      <c r="M307" s="90">
        <f t="shared" si="27"/>
        <v>2598000000</v>
      </c>
      <c r="N307" s="89">
        <f t="shared" si="28"/>
        <v>1534000000</v>
      </c>
      <c r="O307" s="89">
        <f t="shared" si="29"/>
        <v>1064000000</v>
      </c>
      <c r="P307" s="87">
        <f t="shared" si="25"/>
        <v>0.18469015795868773</v>
      </c>
      <c r="Q307" s="87">
        <f t="shared" si="26"/>
        <v>0.45096337441416423</v>
      </c>
    </row>
    <row r="308" spans="1:17">
      <c r="A308" s="83">
        <v>330</v>
      </c>
      <c r="B308" s="83" t="s">
        <v>159</v>
      </c>
      <c r="C308" s="83" t="s">
        <v>18</v>
      </c>
      <c r="D308" s="84">
        <v>41580</v>
      </c>
      <c r="E308" s="85">
        <f t="shared" si="24"/>
        <v>2013</v>
      </c>
      <c r="F308" s="86">
        <v>2666000000</v>
      </c>
      <c r="G308" s="86">
        <v>55000000</v>
      </c>
      <c r="H308" s="86">
        <v>1670000000</v>
      </c>
      <c r="I308" s="86">
        <v>0</v>
      </c>
      <c r="J308" s="86">
        <v>46000000</v>
      </c>
      <c r="K308" s="83" t="s">
        <v>53</v>
      </c>
      <c r="L308" s="83" t="s">
        <v>146</v>
      </c>
      <c r="M308" s="91">
        <f t="shared" si="27"/>
        <v>2611000000</v>
      </c>
      <c r="N308" s="86">
        <f t="shared" si="28"/>
        <v>1716000000</v>
      </c>
      <c r="O308" s="86">
        <f t="shared" si="29"/>
        <v>895000000</v>
      </c>
      <c r="P308" s="83">
        <f t="shared" si="25"/>
        <v>0.33570892723180795</v>
      </c>
      <c r="Q308" s="83">
        <f t="shared" si="26"/>
        <v>0.9793698424606152</v>
      </c>
    </row>
    <row r="309" spans="1:17">
      <c r="A309" s="87">
        <v>331</v>
      </c>
      <c r="B309" s="87" t="s">
        <v>159</v>
      </c>
      <c r="C309" s="87" t="s">
        <v>21</v>
      </c>
      <c r="D309" s="84">
        <v>41581</v>
      </c>
      <c r="E309" s="88">
        <f t="shared" si="24"/>
        <v>2013</v>
      </c>
      <c r="F309" s="89">
        <v>2607000000</v>
      </c>
      <c r="G309" s="89">
        <v>45000000</v>
      </c>
      <c r="H309" s="89">
        <v>1611000000</v>
      </c>
      <c r="I309" s="89">
        <v>0</v>
      </c>
      <c r="J309" s="89">
        <v>27000000</v>
      </c>
      <c r="K309" s="87" t="s">
        <v>53</v>
      </c>
      <c r="L309" s="87" t="s">
        <v>146</v>
      </c>
      <c r="M309" s="90">
        <f t="shared" si="27"/>
        <v>2562000000</v>
      </c>
      <c r="N309" s="89">
        <f t="shared" si="28"/>
        <v>1638000000</v>
      </c>
      <c r="O309" s="89">
        <f t="shared" si="29"/>
        <v>924000000</v>
      </c>
      <c r="P309" s="87">
        <f t="shared" si="25"/>
        <v>0.35443037974683544</v>
      </c>
      <c r="Q309" s="87">
        <f t="shared" si="26"/>
        <v>0.98273878020713468</v>
      </c>
    </row>
    <row r="310" spans="1:17">
      <c r="A310" s="83">
        <v>332</v>
      </c>
      <c r="B310" s="83" t="s">
        <v>159</v>
      </c>
      <c r="C310" s="83" t="s">
        <v>22</v>
      </c>
      <c r="D310" s="84">
        <v>41582</v>
      </c>
      <c r="E310" s="85">
        <f t="shared" si="24"/>
        <v>2013</v>
      </c>
      <c r="F310" s="86">
        <v>2819000000</v>
      </c>
      <c r="G310" s="86">
        <v>43000000</v>
      </c>
      <c r="H310" s="86">
        <v>1859000000</v>
      </c>
      <c r="I310" s="86">
        <v>0</v>
      </c>
      <c r="J310" s="86">
        <v>147000000</v>
      </c>
      <c r="K310" s="83" t="s">
        <v>53</v>
      </c>
      <c r="L310" s="83" t="s">
        <v>146</v>
      </c>
      <c r="M310" s="91">
        <f t="shared" si="27"/>
        <v>2776000000</v>
      </c>
      <c r="N310" s="86">
        <f t="shared" si="28"/>
        <v>2006000000</v>
      </c>
      <c r="O310" s="86">
        <f t="shared" si="29"/>
        <v>770000000</v>
      </c>
      <c r="P310" s="83">
        <f t="shared" si="25"/>
        <v>0.27314650585313943</v>
      </c>
      <c r="Q310" s="83">
        <f t="shared" si="26"/>
        <v>0.98474636395885062</v>
      </c>
    </row>
    <row r="311" spans="1:17">
      <c r="A311" s="87">
        <v>333</v>
      </c>
      <c r="B311" s="87" t="s">
        <v>159</v>
      </c>
      <c r="C311" s="87" t="s">
        <v>23</v>
      </c>
      <c r="D311" s="84">
        <v>41583</v>
      </c>
      <c r="E311" s="88">
        <f t="shared" si="24"/>
        <v>2013</v>
      </c>
      <c r="F311" s="89">
        <v>2960000000</v>
      </c>
      <c r="G311" s="89">
        <v>40000000</v>
      </c>
      <c r="H311" s="89">
        <v>1836000000</v>
      </c>
      <c r="I311" s="89">
        <v>0</v>
      </c>
      <c r="J311" s="89">
        <v>248000000</v>
      </c>
      <c r="K311" s="87" t="s">
        <v>53</v>
      </c>
      <c r="L311" s="87" t="s">
        <v>146</v>
      </c>
      <c r="M311" s="90">
        <f t="shared" si="27"/>
        <v>2920000000</v>
      </c>
      <c r="N311" s="89">
        <f t="shared" si="28"/>
        <v>2084000000</v>
      </c>
      <c r="O311" s="89">
        <f t="shared" si="29"/>
        <v>836000000</v>
      </c>
      <c r="P311" s="87">
        <f t="shared" si="25"/>
        <v>0.28243243243243243</v>
      </c>
      <c r="Q311" s="87">
        <f t="shared" si="26"/>
        <v>0.98648648648648651</v>
      </c>
    </row>
    <row r="312" spans="1:17">
      <c r="A312" s="83">
        <v>338</v>
      </c>
      <c r="B312" s="83" t="s">
        <v>160</v>
      </c>
      <c r="C312" s="83" t="s">
        <v>18</v>
      </c>
      <c r="D312" s="84">
        <v>41584</v>
      </c>
      <c r="E312" s="85">
        <f t="shared" si="24"/>
        <v>2013</v>
      </c>
      <c r="F312" s="86">
        <v>3214591000</v>
      </c>
      <c r="G312" s="86">
        <v>2359822000</v>
      </c>
      <c r="H312" s="86">
        <v>203733000</v>
      </c>
      <c r="I312" s="86">
        <v>0</v>
      </c>
      <c r="J312" s="86">
        <v>96054000</v>
      </c>
      <c r="K312" s="83" t="s">
        <v>25</v>
      </c>
      <c r="L312" s="83" t="s">
        <v>161</v>
      </c>
      <c r="M312" s="91">
        <f t="shared" si="27"/>
        <v>854769000</v>
      </c>
      <c r="N312" s="86">
        <f t="shared" si="28"/>
        <v>299787000</v>
      </c>
      <c r="O312" s="86">
        <f t="shared" si="29"/>
        <v>554982000</v>
      </c>
      <c r="P312" s="83">
        <f t="shared" si="25"/>
        <v>0.1726446692596352</v>
      </c>
      <c r="Q312" s="83">
        <f t="shared" si="26"/>
        <v>0.26590287846883165</v>
      </c>
    </row>
    <row r="313" spans="1:17">
      <c r="A313" s="87">
        <v>339</v>
      </c>
      <c r="B313" s="87" t="s">
        <v>160</v>
      </c>
      <c r="C313" s="87" t="s">
        <v>21</v>
      </c>
      <c r="D313" s="84">
        <v>41585</v>
      </c>
      <c r="E313" s="88">
        <f t="shared" si="24"/>
        <v>2013</v>
      </c>
      <c r="F313" s="89">
        <v>4108269000</v>
      </c>
      <c r="G313" s="89">
        <v>2990513000</v>
      </c>
      <c r="H313" s="89">
        <v>273897000</v>
      </c>
      <c r="I313" s="89">
        <v>0</v>
      </c>
      <c r="J313" s="89">
        <v>110474000</v>
      </c>
      <c r="K313" s="87" t="s">
        <v>25</v>
      </c>
      <c r="L313" s="87" t="s">
        <v>161</v>
      </c>
      <c r="M313" s="90">
        <f t="shared" si="27"/>
        <v>1117756000</v>
      </c>
      <c r="N313" s="89">
        <f t="shared" si="28"/>
        <v>384371000</v>
      </c>
      <c r="O313" s="89">
        <f t="shared" si="29"/>
        <v>733385000</v>
      </c>
      <c r="P313" s="87">
        <f t="shared" si="25"/>
        <v>0.17851435726336323</v>
      </c>
      <c r="Q313" s="87">
        <f t="shared" si="26"/>
        <v>0.27207468644336585</v>
      </c>
    </row>
    <row r="314" spans="1:17">
      <c r="A314" s="83">
        <v>340</v>
      </c>
      <c r="B314" s="83" t="s">
        <v>160</v>
      </c>
      <c r="C314" s="83" t="s">
        <v>22</v>
      </c>
      <c r="D314" s="84">
        <v>41586</v>
      </c>
      <c r="E314" s="85">
        <f t="shared" si="24"/>
        <v>2013</v>
      </c>
      <c r="F314" s="86">
        <v>4501223000</v>
      </c>
      <c r="G314" s="86">
        <v>3326936000</v>
      </c>
      <c r="H314" s="86">
        <v>250214000</v>
      </c>
      <c r="I314" s="86">
        <v>0</v>
      </c>
      <c r="J314" s="86">
        <v>130368000</v>
      </c>
      <c r="K314" s="83" t="s">
        <v>25</v>
      </c>
      <c r="L314" s="83" t="s">
        <v>161</v>
      </c>
      <c r="M314" s="91">
        <f t="shared" si="27"/>
        <v>1174287000</v>
      </c>
      <c r="N314" s="86">
        <f t="shared" si="28"/>
        <v>380582000</v>
      </c>
      <c r="O314" s="86">
        <f t="shared" si="29"/>
        <v>793705000</v>
      </c>
      <c r="P314" s="83">
        <f t="shared" si="25"/>
        <v>0.17633096605078219</v>
      </c>
      <c r="Q314" s="83">
        <f t="shared" si="26"/>
        <v>0.26088176480036651</v>
      </c>
    </row>
    <row r="315" spans="1:17">
      <c r="A315" s="87">
        <v>341</v>
      </c>
      <c r="B315" s="87" t="s">
        <v>160</v>
      </c>
      <c r="C315" s="87" t="s">
        <v>23</v>
      </c>
      <c r="D315" s="84">
        <v>41587</v>
      </c>
      <c r="E315" s="88">
        <f t="shared" si="24"/>
        <v>2013</v>
      </c>
      <c r="F315" s="89">
        <v>3904384000</v>
      </c>
      <c r="G315" s="89">
        <v>3406170000</v>
      </c>
      <c r="H315" s="89">
        <v>276240000</v>
      </c>
      <c r="I315" s="89">
        <v>0</v>
      </c>
      <c r="J315" s="89">
        <v>146368000</v>
      </c>
      <c r="K315" s="87" t="s">
        <v>25</v>
      </c>
      <c r="L315" s="87" t="s">
        <v>161</v>
      </c>
      <c r="M315" s="90">
        <f t="shared" si="27"/>
        <v>498214000</v>
      </c>
      <c r="N315" s="89">
        <f t="shared" si="28"/>
        <v>422608000</v>
      </c>
      <c r="O315" s="89">
        <f t="shared" si="29"/>
        <v>75606000</v>
      </c>
      <c r="P315" s="87">
        <f t="shared" si="25"/>
        <v>1.9364386289873126E-2</v>
      </c>
      <c r="Q315" s="87">
        <f t="shared" si="26"/>
        <v>0.12760373979608564</v>
      </c>
    </row>
    <row r="316" spans="1:17">
      <c r="A316" s="83">
        <v>342</v>
      </c>
      <c r="B316" s="83" t="s">
        <v>162</v>
      </c>
      <c r="C316" s="83" t="s">
        <v>18</v>
      </c>
      <c r="D316" s="84">
        <v>41588</v>
      </c>
      <c r="E316" s="85">
        <f t="shared" si="24"/>
        <v>2013</v>
      </c>
      <c r="F316" s="86">
        <v>17301000000</v>
      </c>
      <c r="G316" s="86">
        <v>13021000000</v>
      </c>
      <c r="H316" s="86">
        <v>1827000000</v>
      </c>
      <c r="I316" s="86">
        <v>713000000</v>
      </c>
      <c r="J316" s="86">
        <v>0</v>
      </c>
      <c r="K316" s="83" t="s">
        <v>19</v>
      </c>
      <c r="L316" s="83" t="s">
        <v>163</v>
      </c>
      <c r="M316" s="91">
        <f t="shared" si="27"/>
        <v>4280000000</v>
      </c>
      <c r="N316" s="86">
        <f t="shared" si="28"/>
        <v>2540000000</v>
      </c>
      <c r="O316" s="86">
        <f t="shared" si="29"/>
        <v>1740000000</v>
      </c>
      <c r="P316" s="83">
        <f t="shared" si="25"/>
        <v>0.10057222125888678</v>
      </c>
      <c r="Q316" s="83">
        <f t="shared" si="26"/>
        <v>0.24738454424599732</v>
      </c>
    </row>
    <row r="317" spans="1:17">
      <c r="A317" s="87">
        <v>343</v>
      </c>
      <c r="B317" s="87" t="s">
        <v>162</v>
      </c>
      <c r="C317" s="87" t="s">
        <v>21</v>
      </c>
      <c r="D317" s="84">
        <v>41589</v>
      </c>
      <c r="E317" s="88">
        <f t="shared" si="24"/>
        <v>2013</v>
      </c>
      <c r="F317" s="89">
        <v>19221000000</v>
      </c>
      <c r="G317" s="89">
        <v>14360000000</v>
      </c>
      <c r="H317" s="89">
        <v>2112000000</v>
      </c>
      <c r="I317" s="89">
        <v>754000000</v>
      </c>
      <c r="J317" s="89">
        <v>0</v>
      </c>
      <c r="K317" s="87" t="s">
        <v>19</v>
      </c>
      <c r="L317" s="87" t="s">
        <v>163</v>
      </c>
      <c r="M317" s="90">
        <f t="shared" si="27"/>
        <v>4861000000</v>
      </c>
      <c r="N317" s="89">
        <f t="shared" si="28"/>
        <v>2866000000</v>
      </c>
      <c r="O317" s="89">
        <f t="shared" si="29"/>
        <v>1995000000</v>
      </c>
      <c r="P317" s="87">
        <f t="shared" si="25"/>
        <v>0.10379272670516622</v>
      </c>
      <c r="Q317" s="87">
        <f t="shared" si="26"/>
        <v>0.25290047344050781</v>
      </c>
    </row>
    <row r="318" spans="1:17">
      <c r="A318" s="83">
        <v>344</v>
      </c>
      <c r="B318" s="83" t="s">
        <v>162</v>
      </c>
      <c r="C318" s="83" t="s">
        <v>22</v>
      </c>
      <c r="D318" s="84">
        <v>41590</v>
      </c>
      <c r="E318" s="85">
        <f t="shared" si="24"/>
        <v>2013</v>
      </c>
      <c r="F318" s="86">
        <v>19110000000</v>
      </c>
      <c r="G318" s="86">
        <v>14163000000</v>
      </c>
      <c r="H318" s="86">
        <v>2169000000</v>
      </c>
      <c r="I318" s="86">
        <v>735000000</v>
      </c>
      <c r="J318" s="86">
        <v>0</v>
      </c>
      <c r="K318" s="83" t="s">
        <v>19</v>
      </c>
      <c r="L318" s="83" t="s">
        <v>163</v>
      </c>
      <c r="M318" s="91">
        <f t="shared" si="27"/>
        <v>4947000000</v>
      </c>
      <c r="N318" s="86">
        <f t="shared" si="28"/>
        <v>2904000000</v>
      </c>
      <c r="O318" s="86">
        <f t="shared" si="29"/>
        <v>2043000000</v>
      </c>
      <c r="P318" s="83">
        <f t="shared" si="25"/>
        <v>0.10690737833594977</v>
      </c>
      <c r="Q318" s="83">
        <f t="shared" si="26"/>
        <v>0.25886970172684454</v>
      </c>
    </row>
    <row r="319" spans="1:17">
      <c r="A319" s="87">
        <v>345</v>
      </c>
      <c r="B319" s="87" t="s">
        <v>162</v>
      </c>
      <c r="C319" s="87" t="s">
        <v>23</v>
      </c>
      <c r="D319" s="84">
        <v>41591</v>
      </c>
      <c r="E319" s="88">
        <f t="shared" ref="E319:E382" si="30">YEAR(D319)</f>
        <v>2013</v>
      </c>
      <c r="F319" s="89">
        <v>17509000000</v>
      </c>
      <c r="G319" s="89">
        <v>13057000000</v>
      </c>
      <c r="H319" s="89">
        <v>2189000000</v>
      </c>
      <c r="I319" s="89">
        <v>636000000</v>
      </c>
      <c r="J319" s="89">
        <v>0</v>
      </c>
      <c r="K319" s="87" t="s">
        <v>19</v>
      </c>
      <c r="L319" s="87" t="s">
        <v>163</v>
      </c>
      <c r="M319" s="90">
        <f t="shared" si="27"/>
        <v>4452000000</v>
      </c>
      <c r="N319" s="89">
        <f t="shared" si="28"/>
        <v>2825000000</v>
      </c>
      <c r="O319" s="89">
        <f t="shared" si="29"/>
        <v>1627000000</v>
      </c>
      <c r="P319" s="87">
        <f t="shared" si="25"/>
        <v>9.2923639271231942E-2</v>
      </c>
      <c r="Q319" s="87">
        <f t="shared" si="26"/>
        <v>0.2542692329659032</v>
      </c>
    </row>
    <row r="320" spans="1:17">
      <c r="A320" s="83">
        <v>346</v>
      </c>
      <c r="B320" s="83" t="s">
        <v>164</v>
      </c>
      <c r="C320" s="83" t="s">
        <v>18</v>
      </c>
      <c r="D320" s="84">
        <v>41592</v>
      </c>
      <c r="E320" s="85">
        <f t="shared" si="30"/>
        <v>2013</v>
      </c>
      <c r="F320" s="86">
        <v>6566000000</v>
      </c>
      <c r="G320" s="86">
        <v>4562000000</v>
      </c>
      <c r="H320" s="86">
        <v>234000000</v>
      </c>
      <c r="I320" s="86">
        <v>0</v>
      </c>
      <c r="J320" s="86">
        <v>628000000</v>
      </c>
      <c r="K320" s="83" t="s">
        <v>48</v>
      </c>
      <c r="L320" s="83" t="s">
        <v>49</v>
      </c>
      <c r="M320" s="91">
        <f t="shared" si="27"/>
        <v>2004000000</v>
      </c>
      <c r="N320" s="86">
        <f t="shared" si="28"/>
        <v>862000000</v>
      </c>
      <c r="O320" s="86">
        <f t="shared" si="29"/>
        <v>1142000000</v>
      </c>
      <c r="P320" s="83">
        <f t="shared" si="25"/>
        <v>0.17392628693268353</v>
      </c>
      <c r="Q320" s="83">
        <f t="shared" si="26"/>
        <v>0.30520865062442892</v>
      </c>
    </row>
    <row r="321" spans="1:17">
      <c r="A321" s="87">
        <v>347</v>
      </c>
      <c r="B321" s="87" t="s">
        <v>164</v>
      </c>
      <c r="C321" s="87" t="s">
        <v>21</v>
      </c>
      <c r="D321" s="84">
        <v>41593</v>
      </c>
      <c r="E321" s="88">
        <f t="shared" si="30"/>
        <v>2013</v>
      </c>
      <c r="F321" s="89">
        <v>7179000000</v>
      </c>
      <c r="G321" s="89">
        <v>5090000000</v>
      </c>
      <c r="H321" s="89">
        <v>252000000</v>
      </c>
      <c r="I321" s="89">
        <v>0</v>
      </c>
      <c r="J321" s="89">
        <v>685000000</v>
      </c>
      <c r="K321" s="87" t="s">
        <v>48</v>
      </c>
      <c r="L321" s="87" t="s">
        <v>49</v>
      </c>
      <c r="M321" s="90">
        <f t="shared" si="27"/>
        <v>2089000000</v>
      </c>
      <c r="N321" s="89">
        <f t="shared" si="28"/>
        <v>937000000</v>
      </c>
      <c r="O321" s="89">
        <f t="shared" si="29"/>
        <v>1152000000</v>
      </c>
      <c r="P321" s="87">
        <f t="shared" si="25"/>
        <v>0.16046803175929794</v>
      </c>
      <c r="Q321" s="87">
        <f t="shared" si="26"/>
        <v>0.29098760273018531</v>
      </c>
    </row>
    <row r="322" spans="1:17">
      <c r="A322" s="83">
        <v>348</v>
      </c>
      <c r="B322" s="83" t="s">
        <v>164</v>
      </c>
      <c r="C322" s="83" t="s">
        <v>22</v>
      </c>
      <c r="D322" s="84">
        <v>41594</v>
      </c>
      <c r="E322" s="85">
        <f t="shared" si="30"/>
        <v>2013</v>
      </c>
      <c r="F322" s="86">
        <v>6456000000</v>
      </c>
      <c r="G322" s="86">
        <v>4281000000</v>
      </c>
      <c r="H322" s="86">
        <v>262000000</v>
      </c>
      <c r="I322" s="86">
        <v>0</v>
      </c>
      <c r="J322" s="86">
        <v>750000000</v>
      </c>
      <c r="K322" s="83" t="s">
        <v>48</v>
      </c>
      <c r="L322" s="83" t="s">
        <v>49</v>
      </c>
      <c r="M322" s="91">
        <f t="shared" si="27"/>
        <v>2175000000</v>
      </c>
      <c r="N322" s="86">
        <f t="shared" si="28"/>
        <v>1012000000</v>
      </c>
      <c r="O322" s="86">
        <f t="shared" si="29"/>
        <v>1163000000</v>
      </c>
      <c r="P322" s="83">
        <f t="shared" ref="P322:P385" si="31">O322/F322</f>
        <v>0.18014250309789342</v>
      </c>
      <c r="Q322" s="83">
        <f t="shared" ref="Q322:Q385" si="32">1-G322/F322</f>
        <v>0.33689591078066916</v>
      </c>
    </row>
    <row r="323" spans="1:17">
      <c r="A323" s="87">
        <v>349</v>
      </c>
      <c r="B323" s="87" t="s">
        <v>164</v>
      </c>
      <c r="C323" s="87" t="s">
        <v>23</v>
      </c>
      <c r="D323" s="84">
        <v>41595</v>
      </c>
      <c r="E323" s="88">
        <f t="shared" si="30"/>
        <v>2013</v>
      </c>
      <c r="F323" s="89">
        <v>6399000000</v>
      </c>
      <c r="G323" s="89">
        <v>4010000000</v>
      </c>
      <c r="H323" s="89">
        <v>281000000</v>
      </c>
      <c r="I323" s="89">
        <v>0</v>
      </c>
      <c r="J323" s="89">
        <v>811000000</v>
      </c>
      <c r="K323" s="87" t="s">
        <v>48</v>
      </c>
      <c r="L323" s="87" t="s">
        <v>49</v>
      </c>
      <c r="M323" s="90">
        <f t="shared" ref="M323:M386" si="33">F323-G323</f>
        <v>2389000000</v>
      </c>
      <c r="N323" s="89">
        <f t="shared" ref="N323:N386" si="34">H323+I323+J323</f>
        <v>1092000000</v>
      </c>
      <c r="O323" s="89">
        <f t="shared" ref="O323:O386" si="35">M323-N323</f>
        <v>1297000000</v>
      </c>
      <c r="P323" s="87">
        <f t="shared" si="31"/>
        <v>0.20268791998749805</v>
      </c>
      <c r="Q323" s="87">
        <f t="shared" si="32"/>
        <v>0.37333958431004843</v>
      </c>
    </row>
    <row r="324" spans="1:17">
      <c r="A324" s="83">
        <v>350</v>
      </c>
      <c r="B324" s="83" t="s">
        <v>165</v>
      </c>
      <c r="C324" s="83" t="s">
        <v>18</v>
      </c>
      <c r="D324" s="84">
        <v>41596</v>
      </c>
      <c r="E324" s="85">
        <f t="shared" si="30"/>
        <v>2013</v>
      </c>
      <c r="F324" s="86">
        <v>8110000000</v>
      </c>
      <c r="G324" s="86">
        <v>6781000000</v>
      </c>
      <c r="H324" s="86">
        <v>1105000000</v>
      </c>
      <c r="I324" s="86">
        <v>0</v>
      </c>
      <c r="J324" s="86">
        <v>88000000</v>
      </c>
      <c r="K324" s="83" t="s">
        <v>31</v>
      </c>
      <c r="L324" s="83" t="s">
        <v>87</v>
      </c>
      <c r="M324" s="91">
        <f t="shared" si="33"/>
        <v>1329000000</v>
      </c>
      <c r="N324" s="86">
        <f t="shared" si="34"/>
        <v>1193000000</v>
      </c>
      <c r="O324" s="86">
        <f t="shared" si="35"/>
        <v>136000000</v>
      </c>
      <c r="P324" s="83">
        <f t="shared" si="31"/>
        <v>1.6769420468557335E-2</v>
      </c>
      <c r="Q324" s="83">
        <f t="shared" si="32"/>
        <v>0.16387176325524044</v>
      </c>
    </row>
    <row r="325" spans="1:17">
      <c r="A325" s="87">
        <v>351</v>
      </c>
      <c r="B325" s="87" t="s">
        <v>165</v>
      </c>
      <c r="C325" s="87" t="s">
        <v>21</v>
      </c>
      <c r="D325" s="84">
        <v>41597</v>
      </c>
      <c r="E325" s="88">
        <f t="shared" si="30"/>
        <v>2013</v>
      </c>
      <c r="F325" s="89">
        <v>10863000000</v>
      </c>
      <c r="G325" s="89">
        <v>8995000000</v>
      </c>
      <c r="H325" s="89">
        <v>1264000000</v>
      </c>
      <c r="I325" s="89">
        <v>0</v>
      </c>
      <c r="J325" s="89">
        <v>327000000</v>
      </c>
      <c r="K325" s="87" t="s">
        <v>31</v>
      </c>
      <c r="L325" s="87" t="s">
        <v>87</v>
      </c>
      <c r="M325" s="90">
        <f t="shared" si="33"/>
        <v>1868000000</v>
      </c>
      <c r="N325" s="89">
        <f t="shared" si="34"/>
        <v>1591000000</v>
      </c>
      <c r="O325" s="89">
        <f t="shared" si="35"/>
        <v>277000000</v>
      </c>
      <c r="P325" s="87">
        <f t="shared" si="31"/>
        <v>2.5499401638589707E-2</v>
      </c>
      <c r="Q325" s="87">
        <f t="shared" si="32"/>
        <v>0.17195986375770966</v>
      </c>
    </row>
    <row r="326" spans="1:17">
      <c r="A326" s="83">
        <v>352</v>
      </c>
      <c r="B326" s="83" t="s">
        <v>165</v>
      </c>
      <c r="C326" s="83" t="s">
        <v>22</v>
      </c>
      <c r="D326" s="84">
        <v>41598</v>
      </c>
      <c r="E326" s="85">
        <f t="shared" si="30"/>
        <v>2013</v>
      </c>
      <c r="F326" s="86">
        <v>16560000000</v>
      </c>
      <c r="G326" s="86">
        <v>12678000000</v>
      </c>
      <c r="H326" s="86">
        <v>2012000000</v>
      </c>
      <c r="I326" s="86">
        <v>0</v>
      </c>
      <c r="J326" s="86">
        <v>1406000000</v>
      </c>
      <c r="K326" s="83" t="s">
        <v>31</v>
      </c>
      <c r="L326" s="83" t="s">
        <v>87</v>
      </c>
      <c r="M326" s="91">
        <f t="shared" si="33"/>
        <v>3882000000</v>
      </c>
      <c r="N326" s="86">
        <f t="shared" si="34"/>
        <v>3418000000</v>
      </c>
      <c r="O326" s="86">
        <f t="shared" si="35"/>
        <v>464000000</v>
      </c>
      <c r="P326" s="83">
        <f t="shared" si="31"/>
        <v>2.8019323671497585E-2</v>
      </c>
      <c r="Q326" s="83">
        <f t="shared" si="32"/>
        <v>0.23442028985507246</v>
      </c>
    </row>
    <row r="327" spans="1:17">
      <c r="A327" s="87">
        <v>353</v>
      </c>
      <c r="B327" s="87" t="s">
        <v>165</v>
      </c>
      <c r="C327" s="87" t="s">
        <v>23</v>
      </c>
      <c r="D327" s="84">
        <v>41599</v>
      </c>
      <c r="E327" s="88">
        <f t="shared" si="30"/>
        <v>2013</v>
      </c>
      <c r="F327" s="89">
        <v>22760000000</v>
      </c>
      <c r="G327" s="89">
        <v>17242000000</v>
      </c>
      <c r="H327" s="89">
        <v>2977000000</v>
      </c>
      <c r="I327" s="89">
        <v>0</v>
      </c>
      <c r="J327" s="89">
        <v>1836000000</v>
      </c>
      <c r="K327" s="87" t="s">
        <v>31</v>
      </c>
      <c r="L327" s="87" t="s">
        <v>87</v>
      </c>
      <c r="M327" s="90">
        <f t="shared" si="33"/>
        <v>5518000000</v>
      </c>
      <c r="N327" s="89">
        <f t="shared" si="34"/>
        <v>4813000000</v>
      </c>
      <c r="O327" s="89">
        <f t="shared" si="35"/>
        <v>705000000</v>
      </c>
      <c r="P327" s="87">
        <f t="shared" si="31"/>
        <v>3.0975395430579963E-2</v>
      </c>
      <c r="Q327" s="87">
        <f t="shared" si="32"/>
        <v>0.24244288224956068</v>
      </c>
    </row>
    <row r="328" spans="1:17">
      <c r="A328" s="83">
        <v>354</v>
      </c>
      <c r="B328" s="83" t="s">
        <v>166</v>
      </c>
      <c r="C328" s="83" t="s">
        <v>18</v>
      </c>
      <c r="D328" s="84">
        <v>41600</v>
      </c>
      <c r="E328" s="85">
        <f t="shared" si="30"/>
        <v>2013</v>
      </c>
      <c r="F328" s="86">
        <v>7452000000</v>
      </c>
      <c r="G328" s="86">
        <v>4747000000</v>
      </c>
      <c r="H328" s="86">
        <v>365000000</v>
      </c>
      <c r="I328" s="86">
        <v>0</v>
      </c>
      <c r="J328" s="86">
        <v>1050000000</v>
      </c>
      <c r="K328" s="83" t="s">
        <v>48</v>
      </c>
      <c r="L328" s="83" t="s">
        <v>49</v>
      </c>
      <c r="M328" s="91">
        <f t="shared" si="33"/>
        <v>2705000000</v>
      </c>
      <c r="N328" s="86">
        <f t="shared" si="34"/>
        <v>1415000000</v>
      </c>
      <c r="O328" s="86">
        <f t="shared" si="35"/>
        <v>1290000000</v>
      </c>
      <c r="P328" s="83">
        <f t="shared" si="31"/>
        <v>0.17310789049919484</v>
      </c>
      <c r="Q328" s="83">
        <f t="shared" si="32"/>
        <v>0.36298980139559844</v>
      </c>
    </row>
    <row r="329" spans="1:17">
      <c r="A329" s="87">
        <v>355</v>
      </c>
      <c r="B329" s="87" t="s">
        <v>166</v>
      </c>
      <c r="C329" s="87" t="s">
        <v>21</v>
      </c>
      <c r="D329" s="84">
        <v>41601</v>
      </c>
      <c r="E329" s="88">
        <f t="shared" si="30"/>
        <v>2013</v>
      </c>
      <c r="F329" s="89">
        <v>8106000000</v>
      </c>
      <c r="G329" s="89">
        <v>5755000000</v>
      </c>
      <c r="H329" s="89">
        <v>387000000</v>
      </c>
      <c r="I329" s="89">
        <v>0</v>
      </c>
      <c r="J329" s="89">
        <v>954000000</v>
      </c>
      <c r="K329" s="87" t="s">
        <v>48</v>
      </c>
      <c r="L329" s="87" t="s">
        <v>49</v>
      </c>
      <c r="M329" s="90">
        <f t="shared" si="33"/>
        <v>2351000000</v>
      </c>
      <c r="N329" s="89">
        <f t="shared" si="34"/>
        <v>1341000000</v>
      </c>
      <c r="O329" s="89">
        <f t="shared" si="35"/>
        <v>1010000000</v>
      </c>
      <c r="P329" s="87">
        <f t="shared" si="31"/>
        <v>0.12459906242289662</v>
      </c>
      <c r="Q329" s="87">
        <f t="shared" si="32"/>
        <v>0.29003207500616823</v>
      </c>
    </row>
    <row r="330" spans="1:17">
      <c r="A330" s="83">
        <v>356</v>
      </c>
      <c r="B330" s="83" t="s">
        <v>166</v>
      </c>
      <c r="C330" s="83" t="s">
        <v>22</v>
      </c>
      <c r="D330" s="84">
        <v>41602</v>
      </c>
      <c r="E330" s="85">
        <f t="shared" si="30"/>
        <v>2013</v>
      </c>
      <c r="F330" s="86">
        <v>9226000000</v>
      </c>
      <c r="G330" s="86">
        <v>6890000000</v>
      </c>
      <c r="H330" s="86">
        <v>388000000</v>
      </c>
      <c r="I330" s="86">
        <v>0</v>
      </c>
      <c r="J330" s="86">
        <v>1013000000</v>
      </c>
      <c r="K330" s="83" t="s">
        <v>48</v>
      </c>
      <c r="L330" s="83" t="s">
        <v>49</v>
      </c>
      <c r="M330" s="91">
        <f t="shared" si="33"/>
        <v>2336000000</v>
      </c>
      <c r="N330" s="86">
        <f t="shared" si="34"/>
        <v>1401000000</v>
      </c>
      <c r="O330" s="86">
        <f t="shared" si="35"/>
        <v>935000000</v>
      </c>
      <c r="P330" s="83">
        <f t="shared" si="31"/>
        <v>0.10134402774766962</v>
      </c>
      <c r="Q330" s="83">
        <f t="shared" si="32"/>
        <v>0.2531974853674398</v>
      </c>
    </row>
    <row r="331" spans="1:17">
      <c r="A331" s="87">
        <v>357</v>
      </c>
      <c r="B331" s="87" t="s">
        <v>166</v>
      </c>
      <c r="C331" s="87" t="s">
        <v>23</v>
      </c>
      <c r="D331" s="84">
        <v>41603</v>
      </c>
      <c r="E331" s="88">
        <f t="shared" si="30"/>
        <v>2013</v>
      </c>
      <c r="F331" s="89">
        <v>7386000000</v>
      </c>
      <c r="G331" s="89">
        <v>5109000000</v>
      </c>
      <c r="H331" s="89">
        <v>374000000</v>
      </c>
      <c r="I331" s="89">
        <v>0</v>
      </c>
      <c r="J331" s="89">
        <v>970000000</v>
      </c>
      <c r="K331" s="87" t="s">
        <v>48</v>
      </c>
      <c r="L331" s="87" t="s">
        <v>49</v>
      </c>
      <c r="M331" s="90">
        <f t="shared" si="33"/>
        <v>2277000000</v>
      </c>
      <c r="N331" s="89">
        <f t="shared" si="34"/>
        <v>1344000000</v>
      </c>
      <c r="O331" s="89">
        <f t="shared" si="35"/>
        <v>933000000</v>
      </c>
      <c r="P331" s="87">
        <f t="shared" si="31"/>
        <v>0.12632006498781478</v>
      </c>
      <c r="Q331" s="87">
        <f t="shared" si="32"/>
        <v>0.3082859463850528</v>
      </c>
    </row>
    <row r="332" spans="1:17">
      <c r="A332" s="83">
        <v>358</v>
      </c>
      <c r="B332" s="83" t="s">
        <v>167</v>
      </c>
      <c r="C332" s="83" t="s">
        <v>18</v>
      </c>
      <c r="D332" s="84">
        <v>41604</v>
      </c>
      <c r="E332" s="85">
        <f t="shared" si="30"/>
        <v>2013</v>
      </c>
      <c r="F332" s="86">
        <v>23771000000</v>
      </c>
      <c r="G332" s="86">
        <v>1403000000</v>
      </c>
      <c r="H332" s="86">
        <v>11188000000</v>
      </c>
      <c r="I332" s="86">
        <v>0</v>
      </c>
      <c r="J332" s="86">
        <v>5024000000</v>
      </c>
      <c r="K332" s="83" t="s">
        <v>53</v>
      </c>
      <c r="L332" s="83" t="s">
        <v>106</v>
      </c>
      <c r="M332" s="91">
        <f t="shared" si="33"/>
        <v>22368000000</v>
      </c>
      <c r="N332" s="86">
        <f t="shared" si="34"/>
        <v>16212000000</v>
      </c>
      <c r="O332" s="86">
        <f t="shared" si="35"/>
        <v>6156000000</v>
      </c>
      <c r="P332" s="83">
        <f t="shared" si="31"/>
        <v>0.25897101510243575</v>
      </c>
      <c r="Q332" s="83">
        <f t="shared" si="32"/>
        <v>0.94097850321820709</v>
      </c>
    </row>
    <row r="333" spans="1:17">
      <c r="A333" s="87">
        <v>359</v>
      </c>
      <c r="B333" s="87" t="s">
        <v>167</v>
      </c>
      <c r="C333" s="87" t="s">
        <v>21</v>
      </c>
      <c r="D333" s="84">
        <v>41605</v>
      </c>
      <c r="E333" s="88">
        <f t="shared" si="30"/>
        <v>2013</v>
      </c>
      <c r="F333" s="89">
        <v>24176000000</v>
      </c>
      <c r="G333" s="89">
        <v>1241000000</v>
      </c>
      <c r="H333" s="89">
        <v>11682000000</v>
      </c>
      <c r="I333" s="89">
        <v>0</v>
      </c>
      <c r="J333" s="89">
        <v>4124000000</v>
      </c>
      <c r="K333" s="87" t="s">
        <v>53</v>
      </c>
      <c r="L333" s="87" t="s">
        <v>106</v>
      </c>
      <c r="M333" s="90">
        <f t="shared" si="33"/>
        <v>22935000000</v>
      </c>
      <c r="N333" s="89">
        <f t="shared" si="34"/>
        <v>15806000000</v>
      </c>
      <c r="O333" s="89">
        <f t="shared" si="35"/>
        <v>7129000000</v>
      </c>
      <c r="P333" s="87">
        <f t="shared" si="31"/>
        <v>0.29487921906022502</v>
      </c>
      <c r="Q333" s="87">
        <f t="shared" si="32"/>
        <v>0.948668100595632</v>
      </c>
    </row>
    <row r="334" spans="1:17">
      <c r="A334" s="83">
        <v>360</v>
      </c>
      <c r="B334" s="83" t="s">
        <v>167</v>
      </c>
      <c r="C334" s="83" t="s">
        <v>22</v>
      </c>
      <c r="D334" s="84">
        <v>41606</v>
      </c>
      <c r="E334" s="85">
        <f t="shared" si="30"/>
        <v>2013</v>
      </c>
      <c r="F334" s="86">
        <v>23869000000</v>
      </c>
      <c r="G334" s="86">
        <v>1088000000</v>
      </c>
      <c r="H334" s="86">
        <v>11648000000</v>
      </c>
      <c r="I334" s="86">
        <v>0</v>
      </c>
      <c r="J334" s="86">
        <v>4073000000</v>
      </c>
      <c r="K334" s="83" t="s">
        <v>53</v>
      </c>
      <c r="L334" s="83" t="s">
        <v>106</v>
      </c>
      <c r="M334" s="91">
        <f t="shared" si="33"/>
        <v>22781000000</v>
      </c>
      <c r="N334" s="86">
        <f t="shared" si="34"/>
        <v>15721000000</v>
      </c>
      <c r="O334" s="86">
        <f t="shared" si="35"/>
        <v>7060000000</v>
      </c>
      <c r="P334" s="83">
        <f t="shared" si="31"/>
        <v>0.29578113871548872</v>
      </c>
      <c r="Q334" s="83">
        <f t="shared" si="32"/>
        <v>0.95441786417529018</v>
      </c>
    </row>
    <row r="335" spans="1:17">
      <c r="A335" s="87">
        <v>361</v>
      </c>
      <c r="B335" s="87" t="s">
        <v>167</v>
      </c>
      <c r="C335" s="87" t="s">
        <v>23</v>
      </c>
      <c r="D335" s="84">
        <v>41607</v>
      </c>
      <c r="E335" s="88">
        <f t="shared" si="30"/>
        <v>2013</v>
      </c>
      <c r="F335" s="89">
        <v>25038000000</v>
      </c>
      <c r="G335" s="89">
        <v>1091000000</v>
      </c>
      <c r="H335" s="89">
        <v>12566000000</v>
      </c>
      <c r="I335" s="89">
        <v>0</v>
      </c>
      <c r="J335" s="89">
        <v>4966000000</v>
      </c>
      <c r="K335" s="87" t="s">
        <v>53</v>
      </c>
      <c r="L335" s="87" t="s">
        <v>106</v>
      </c>
      <c r="M335" s="90">
        <f t="shared" si="33"/>
        <v>23947000000</v>
      </c>
      <c r="N335" s="89">
        <f t="shared" si="34"/>
        <v>17532000000</v>
      </c>
      <c r="O335" s="89">
        <f t="shared" si="35"/>
        <v>6415000000</v>
      </c>
      <c r="P335" s="87">
        <f t="shared" si="31"/>
        <v>0.2562105599488777</v>
      </c>
      <c r="Q335" s="87">
        <f t="shared" si="32"/>
        <v>0.95642623212716671</v>
      </c>
    </row>
    <row r="336" spans="1:17">
      <c r="A336" s="83">
        <v>362</v>
      </c>
      <c r="B336" s="83" t="s">
        <v>168</v>
      </c>
      <c r="C336" s="83" t="s">
        <v>18</v>
      </c>
      <c r="D336" s="84">
        <v>41608</v>
      </c>
      <c r="E336" s="85">
        <f t="shared" si="30"/>
        <v>2013</v>
      </c>
      <c r="F336" s="86">
        <v>1204546000</v>
      </c>
      <c r="G336" s="86">
        <v>290054000</v>
      </c>
      <c r="H336" s="86">
        <v>170113000</v>
      </c>
      <c r="I336" s="86">
        <v>0</v>
      </c>
      <c r="J336" s="86">
        <v>451405000</v>
      </c>
      <c r="K336" s="83" t="s">
        <v>89</v>
      </c>
      <c r="L336" s="83" t="s">
        <v>90</v>
      </c>
      <c r="M336" s="91">
        <f t="shared" si="33"/>
        <v>914492000</v>
      </c>
      <c r="N336" s="86">
        <f t="shared" si="34"/>
        <v>621518000</v>
      </c>
      <c r="O336" s="86">
        <f t="shared" si="35"/>
        <v>292974000</v>
      </c>
      <c r="P336" s="83">
        <f t="shared" si="31"/>
        <v>0.2432235879742243</v>
      </c>
      <c r="Q336" s="83">
        <f t="shared" si="32"/>
        <v>0.75920056187144369</v>
      </c>
    </row>
    <row r="337" spans="1:17">
      <c r="A337" s="87">
        <v>363</v>
      </c>
      <c r="B337" s="87" t="s">
        <v>168</v>
      </c>
      <c r="C337" s="87" t="s">
        <v>21</v>
      </c>
      <c r="D337" s="84">
        <v>41609</v>
      </c>
      <c r="E337" s="85">
        <f t="shared" si="30"/>
        <v>2013</v>
      </c>
      <c r="F337" s="89">
        <v>1746278000</v>
      </c>
      <c r="G337" s="89">
        <v>400281000</v>
      </c>
      <c r="H337" s="89">
        <v>147651000</v>
      </c>
      <c r="I337" s="89">
        <v>0</v>
      </c>
      <c r="J337" s="89">
        <v>651052000</v>
      </c>
      <c r="K337" s="87" t="s">
        <v>89</v>
      </c>
      <c r="L337" s="87" t="s">
        <v>90</v>
      </c>
      <c r="M337" s="90">
        <f t="shared" si="33"/>
        <v>1345997000</v>
      </c>
      <c r="N337" s="89">
        <f t="shared" si="34"/>
        <v>798703000</v>
      </c>
      <c r="O337" s="89">
        <f t="shared" si="35"/>
        <v>547294000</v>
      </c>
      <c r="P337" s="87">
        <f t="shared" si="31"/>
        <v>0.31340599835764982</v>
      </c>
      <c r="Q337" s="87">
        <f t="shared" si="32"/>
        <v>0.77078048283263034</v>
      </c>
    </row>
    <row r="338" spans="1:17">
      <c r="A338" s="83">
        <v>364</v>
      </c>
      <c r="B338" s="83" t="s">
        <v>168</v>
      </c>
      <c r="C338" s="83" t="s">
        <v>22</v>
      </c>
      <c r="D338" s="84">
        <v>41610</v>
      </c>
      <c r="E338" s="85">
        <f t="shared" si="30"/>
        <v>2013</v>
      </c>
      <c r="F338" s="86">
        <v>2173011000</v>
      </c>
      <c r="G338" s="86">
        <v>524880000</v>
      </c>
      <c r="H338" s="86">
        <v>129602000</v>
      </c>
      <c r="I338" s="86">
        <v>0</v>
      </c>
      <c r="J338" s="86">
        <v>632760000</v>
      </c>
      <c r="K338" s="83" t="s">
        <v>89</v>
      </c>
      <c r="L338" s="83" t="s">
        <v>90</v>
      </c>
      <c r="M338" s="91">
        <f t="shared" si="33"/>
        <v>1648131000</v>
      </c>
      <c r="N338" s="86">
        <f t="shared" si="34"/>
        <v>762362000</v>
      </c>
      <c r="O338" s="86">
        <f t="shared" si="35"/>
        <v>885769000</v>
      </c>
      <c r="P338" s="83">
        <f t="shared" si="31"/>
        <v>0.40762287903742778</v>
      </c>
      <c r="Q338" s="83">
        <f t="shared" si="32"/>
        <v>0.75845497330662381</v>
      </c>
    </row>
    <row r="339" spans="1:17">
      <c r="A339" s="87">
        <v>365</v>
      </c>
      <c r="B339" s="87" t="s">
        <v>168</v>
      </c>
      <c r="C339" s="87" t="s">
        <v>23</v>
      </c>
      <c r="D339" s="84">
        <v>41611</v>
      </c>
      <c r="E339" s="85">
        <f t="shared" si="30"/>
        <v>2013</v>
      </c>
      <c r="F339" s="89">
        <v>1357150000</v>
      </c>
      <c r="G339" s="89">
        <v>580994000</v>
      </c>
      <c r="H339" s="89">
        <v>112253000</v>
      </c>
      <c r="I339" s="89">
        <v>0</v>
      </c>
      <c r="J339" s="89">
        <v>622211000</v>
      </c>
      <c r="K339" s="87" t="s">
        <v>89</v>
      </c>
      <c r="L339" s="87" t="s">
        <v>90</v>
      </c>
      <c r="M339" s="90">
        <f t="shared" si="33"/>
        <v>776156000</v>
      </c>
      <c r="N339" s="89">
        <f t="shared" si="34"/>
        <v>734464000</v>
      </c>
      <c r="O339" s="89">
        <f t="shared" si="35"/>
        <v>41692000</v>
      </c>
      <c r="P339" s="87">
        <f t="shared" si="31"/>
        <v>3.0720259367055962E-2</v>
      </c>
      <c r="Q339" s="87">
        <f t="shared" si="32"/>
        <v>0.57190141104520498</v>
      </c>
    </row>
    <row r="340" spans="1:17">
      <c r="A340" s="83">
        <v>366</v>
      </c>
      <c r="B340" s="83" t="s">
        <v>169</v>
      </c>
      <c r="C340" s="83" t="s">
        <v>18</v>
      </c>
      <c r="D340" s="84">
        <v>41612</v>
      </c>
      <c r="E340" s="85">
        <f t="shared" si="30"/>
        <v>2013</v>
      </c>
      <c r="F340" s="86">
        <v>4474000000</v>
      </c>
      <c r="G340" s="86">
        <v>3103000000</v>
      </c>
      <c r="H340" s="86">
        <v>495000000</v>
      </c>
      <c r="I340" s="86">
        <v>0</v>
      </c>
      <c r="J340" s="86">
        <v>0</v>
      </c>
      <c r="K340" s="83" t="s">
        <v>19</v>
      </c>
      <c r="L340" s="83" t="s">
        <v>170</v>
      </c>
      <c r="M340" s="91">
        <f t="shared" si="33"/>
        <v>1371000000</v>
      </c>
      <c r="N340" s="86">
        <f t="shared" si="34"/>
        <v>495000000</v>
      </c>
      <c r="O340" s="86">
        <f t="shared" si="35"/>
        <v>876000000</v>
      </c>
      <c r="P340" s="83">
        <f t="shared" si="31"/>
        <v>0.19579794367456416</v>
      </c>
      <c r="Q340" s="83">
        <f t="shared" si="32"/>
        <v>0.3064371926687528</v>
      </c>
    </row>
    <row r="341" spans="1:17">
      <c r="A341" s="87">
        <v>367</v>
      </c>
      <c r="B341" s="87" t="s">
        <v>169</v>
      </c>
      <c r="C341" s="87" t="s">
        <v>21</v>
      </c>
      <c r="D341" s="84">
        <v>41613</v>
      </c>
      <c r="E341" s="88">
        <f t="shared" si="30"/>
        <v>2013</v>
      </c>
      <c r="F341" s="89">
        <v>4979000000</v>
      </c>
      <c r="G341" s="89">
        <v>3469000000</v>
      </c>
      <c r="H341" s="89">
        <v>594000000</v>
      </c>
      <c r="I341" s="89">
        <v>0</v>
      </c>
      <c r="J341" s="89">
        <v>0</v>
      </c>
      <c r="K341" s="87" t="s">
        <v>19</v>
      </c>
      <c r="L341" s="87" t="s">
        <v>170</v>
      </c>
      <c r="M341" s="90">
        <f t="shared" si="33"/>
        <v>1510000000</v>
      </c>
      <c r="N341" s="89">
        <f t="shared" si="34"/>
        <v>594000000</v>
      </c>
      <c r="O341" s="89">
        <f t="shared" si="35"/>
        <v>916000000</v>
      </c>
      <c r="P341" s="87">
        <f t="shared" si="31"/>
        <v>0.18397268527816832</v>
      </c>
      <c r="Q341" s="87">
        <f t="shared" si="32"/>
        <v>0.30327374974894561</v>
      </c>
    </row>
    <row r="342" spans="1:17">
      <c r="A342" s="83">
        <v>368</v>
      </c>
      <c r="B342" s="83" t="s">
        <v>169</v>
      </c>
      <c r="C342" s="83" t="s">
        <v>22</v>
      </c>
      <c r="D342" s="84">
        <v>41614</v>
      </c>
      <c r="E342" s="85">
        <f t="shared" si="30"/>
        <v>2013</v>
      </c>
      <c r="F342" s="86">
        <v>5244000000</v>
      </c>
      <c r="G342" s="86">
        <v>3630000000</v>
      </c>
      <c r="H342" s="86">
        <v>606000000</v>
      </c>
      <c r="I342" s="86">
        <v>0</v>
      </c>
      <c r="J342" s="86">
        <v>0</v>
      </c>
      <c r="K342" s="83" t="s">
        <v>19</v>
      </c>
      <c r="L342" s="83" t="s">
        <v>170</v>
      </c>
      <c r="M342" s="91">
        <f t="shared" si="33"/>
        <v>1614000000</v>
      </c>
      <c r="N342" s="86">
        <f t="shared" si="34"/>
        <v>606000000</v>
      </c>
      <c r="O342" s="86">
        <f t="shared" si="35"/>
        <v>1008000000</v>
      </c>
      <c r="P342" s="83">
        <f t="shared" si="31"/>
        <v>0.19221967963386727</v>
      </c>
      <c r="Q342" s="83">
        <f t="shared" si="32"/>
        <v>0.30778032036613268</v>
      </c>
    </row>
    <row r="343" spans="1:17">
      <c r="A343" s="87">
        <v>369</v>
      </c>
      <c r="B343" s="87" t="s">
        <v>169</v>
      </c>
      <c r="C343" s="87" t="s">
        <v>23</v>
      </c>
      <c r="D343" s="84">
        <v>41615</v>
      </c>
      <c r="E343" s="88">
        <f t="shared" si="30"/>
        <v>2013</v>
      </c>
      <c r="F343" s="89">
        <v>5259000000</v>
      </c>
      <c r="G343" s="89">
        <v>3642000000</v>
      </c>
      <c r="H343" s="89">
        <v>638000000</v>
      </c>
      <c r="I343" s="89">
        <v>0</v>
      </c>
      <c r="J343" s="89">
        <v>0</v>
      </c>
      <c r="K343" s="87" t="s">
        <v>19</v>
      </c>
      <c r="L343" s="87" t="s">
        <v>170</v>
      </c>
      <c r="M343" s="90">
        <f t="shared" si="33"/>
        <v>1617000000</v>
      </c>
      <c r="N343" s="89">
        <f t="shared" si="34"/>
        <v>638000000</v>
      </c>
      <c r="O343" s="89">
        <f t="shared" si="35"/>
        <v>979000000</v>
      </c>
      <c r="P343" s="87">
        <f t="shared" si="31"/>
        <v>0.18615706408062369</v>
      </c>
      <c r="Q343" s="87">
        <f t="shared" si="32"/>
        <v>0.30747290359383916</v>
      </c>
    </row>
    <row r="344" spans="1:17">
      <c r="A344" s="83">
        <v>370</v>
      </c>
      <c r="B344" s="83" t="s">
        <v>171</v>
      </c>
      <c r="C344" s="83" t="s">
        <v>18</v>
      </c>
      <c r="D344" s="84">
        <v>41616</v>
      </c>
      <c r="E344" s="85">
        <f t="shared" si="30"/>
        <v>2013</v>
      </c>
      <c r="F344" s="86">
        <v>1587725000</v>
      </c>
      <c r="G344" s="86">
        <v>560917000</v>
      </c>
      <c r="H344" s="86">
        <v>610735000</v>
      </c>
      <c r="I344" s="86">
        <v>58827000</v>
      </c>
      <c r="J344" s="86">
        <v>30239000</v>
      </c>
      <c r="K344" s="83" t="s">
        <v>31</v>
      </c>
      <c r="L344" s="83" t="s">
        <v>172</v>
      </c>
      <c r="M344" s="91">
        <f t="shared" si="33"/>
        <v>1026808000</v>
      </c>
      <c r="N344" s="86">
        <f t="shared" si="34"/>
        <v>699801000</v>
      </c>
      <c r="O344" s="86">
        <f t="shared" si="35"/>
        <v>327007000</v>
      </c>
      <c r="P344" s="83">
        <f t="shared" si="31"/>
        <v>0.20595947031129447</v>
      </c>
      <c r="Q344" s="83">
        <f t="shared" si="32"/>
        <v>0.64671652836605831</v>
      </c>
    </row>
    <row r="345" spans="1:17">
      <c r="A345" s="87">
        <v>371</v>
      </c>
      <c r="B345" s="87" t="s">
        <v>171</v>
      </c>
      <c r="C345" s="87" t="s">
        <v>21</v>
      </c>
      <c r="D345" s="84">
        <v>41617</v>
      </c>
      <c r="E345" s="88">
        <f t="shared" si="30"/>
        <v>2013</v>
      </c>
      <c r="F345" s="89">
        <v>1717776000</v>
      </c>
      <c r="G345" s="89">
        <v>626206000</v>
      </c>
      <c r="H345" s="89">
        <v>683115000</v>
      </c>
      <c r="I345" s="89">
        <v>66259000</v>
      </c>
      <c r="J345" s="89">
        <v>35710000</v>
      </c>
      <c r="K345" s="87" t="s">
        <v>31</v>
      </c>
      <c r="L345" s="87" t="s">
        <v>172</v>
      </c>
      <c r="M345" s="90">
        <f t="shared" si="33"/>
        <v>1091570000</v>
      </c>
      <c r="N345" s="89">
        <f t="shared" si="34"/>
        <v>785084000</v>
      </c>
      <c r="O345" s="89">
        <f t="shared" si="35"/>
        <v>306486000</v>
      </c>
      <c r="P345" s="87">
        <f t="shared" si="31"/>
        <v>0.17842023639869226</v>
      </c>
      <c r="Q345" s="87">
        <f t="shared" si="32"/>
        <v>0.63545537951397624</v>
      </c>
    </row>
    <row r="346" spans="1:17">
      <c r="A346" s="83">
        <v>372</v>
      </c>
      <c r="B346" s="83" t="s">
        <v>171</v>
      </c>
      <c r="C346" s="83" t="s">
        <v>22</v>
      </c>
      <c r="D346" s="84">
        <v>41618</v>
      </c>
      <c r="E346" s="85">
        <f t="shared" si="30"/>
        <v>2013</v>
      </c>
      <c r="F346" s="86">
        <v>1797060000</v>
      </c>
      <c r="G346" s="86">
        <v>726798000</v>
      </c>
      <c r="H346" s="86">
        <v>712543000</v>
      </c>
      <c r="I346" s="86">
        <v>69589000</v>
      </c>
      <c r="J346" s="86">
        <v>51459000</v>
      </c>
      <c r="K346" s="83" t="s">
        <v>31</v>
      </c>
      <c r="L346" s="83" t="s">
        <v>172</v>
      </c>
      <c r="M346" s="91">
        <f t="shared" si="33"/>
        <v>1070262000</v>
      </c>
      <c r="N346" s="86">
        <f t="shared" si="34"/>
        <v>833591000</v>
      </c>
      <c r="O346" s="86">
        <f t="shared" si="35"/>
        <v>236671000</v>
      </c>
      <c r="P346" s="83">
        <f t="shared" si="31"/>
        <v>0.13169899725106562</v>
      </c>
      <c r="Q346" s="83">
        <f t="shared" si="32"/>
        <v>0.59556275249574298</v>
      </c>
    </row>
    <row r="347" spans="1:17">
      <c r="A347" s="87">
        <v>373</v>
      </c>
      <c r="B347" s="87" t="s">
        <v>171</v>
      </c>
      <c r="C347" s="87" t="s">
        <v>23</v>
      </c>
      <c r="D347" s="84">
        <v>41619</v>
      </c>
      <c r="E347" s="88">
        <f t="shared" si="30"/>
        <v>2013</v>
      </c>
      <c r="F347" s="89">
        <v>1966814000</v>
      </c>
      <c r="G347" s="89">
        <v>793735000</v>
      </c>
      <c r="H347" s="89">
        <v>722798000</v>
      </c>
      <c r="I347" s="89">
        <v>65411000</v>
      </c>
      <c r="J347" s="89">
        <v>60790000</v>
      </c>
      <c r="K347" s="87" t="s">
        <v>31</v>
      </c>
      <c r="L347" s="87" t="s">
        <v>172</v>
      </c>
      <c r="M347" s="90">
        <f t="shared" si="33"/>
        <v>1173079000</v>
      </c>
      <c r="N347" s="89">
        <f t="shared" si="34"/>
        <v>848999000</v>
      </c>
      <c r="O347" s="89">
        <f t="shared" si="35"/>
        <v>324080000</v>
      </c>
      <c r="P347" s="87">
        <f t="shared" si="31"/>
        <v>0.16477409658462874</v>
      </c>
      <c r="Q347" s="87">
        <f t="shared" si="32"/>
        <v>0.59643616529066801</v>
      </c>
    </row>
    <row r="348" spans="1:17">
      <c r="A348" s="83">
        <v>374</v>
      </c>
      <c r="B348" s="83" t="s">
        <v>173</v>
      </c>
      <c r="C348" s="83" t="s">
        <v>18</v>
      </c>
      <c r="D348" s="84">
        <v>41620</v>
      </c>
      <c r="E348" s="85">
        <f t="shared" si="30"/>
        <v>2013</v>
      </c>
      <c r="F348" s="86">
        <v>105156000000</v>
      </c>
      <c r="G348" s="86">
        <v>91948000000</v>
      </c>
      <c r="H348" s="86">
        <v>10104000000</v>
      </c>
      <c r="I348" s="86">
        <v>0</v>
      </c>
      <c r="J348" s="86">
        <v>0</v>
      </c>
      <c r="K348" s="83" t="s">
        <v>42</v>
      </c>
      <c r="L348" s="83" t="s">
        <v>174</v>
      </c>
      <c r="M348" s="91">
        <f t="shared" si="33"/>
        <v>13208000000</v>
      </c>
      <c r="N348" s="86">
        <f t="shared" si="34"/>
        <v>10104000000</v>
      </c>
      <c r="O348" s="86">
        <f t="shared" si="35"/>
        <v>3104000000</v>
      </c>
      <c r="P348" s="83">
        <f t="shared" si="31"/>
        <v>2.9518049374263E-2</v>
      </c>
      <c r="Q348" s="83">
        <f t="shared" si="32"/>
        <v>0.12560386473429952</v>
      </c>
    </row>
    <row r="349" spans="1:17">
      <c r="A349" s="87">
        <v>375</v>
      </c>
      <c r="B349" s="87" t="s">
        <v>173</v>
      </c>
      <c r="C349" s="87" t="s">
        <v>21</v>
      </c>
      <c r="D349" s="84">
        <v>41621</v>
      </c>
      <c r="E349" s="88">
        <f t="shared" si="30"/>
        <v>2013</v>
      </c>
      <c r="F349" s="89">
        <v>112640000000</v>
      </c>
      <c r="G349" s="89">
        <v>98458000000</v>
      </c>
      <c r="H349" s="89">
        <v>10899000000</v>
      </c>
      <c r="I349" s="89">
        <v>0</v>
      </c>
      <c r="J349" s="89">
        <v>0</v>
      </c>
      <c r="K349" s="87" t="s">
        <v>42</v>
      </c>
      <c r="L349" s="87" t="s">
        <v>174</v>
      </c>
      <c r="M349" s="90">
        <f t="shared" si="33"/>
        <v>14182000000</v>
      </c>
      <c r="N349" s="89">
        <f t="shared" si="34"/>
        <v>10899000000</v>
      </c>
      <c r="O349" s="89">
        <f t="shared" si="35"/>
        <v>3283000000</v>
      </c>
      <c r="P349" s="87">
        <f t="shared" si="31"/>
        <v>2.9145951704545453E-2</v>
      </c>
      <c r="Q349" s="87">
        <f t="shared" si="32"/>
        <v>0.12590553977272723</v>
      </c>
    </row>
    <row r="350" spans="1:17">
      <c r="A350" s="83">
        <v>376</v>
      </c>
      <c r="B350" s="83" t="s">
        <v>173</v>
      </c>
      <c r="C350" s="83" t="s">
        <v>22</v>
      </c>
      <c r="D350" s="84">
        <v>41622</v>
      </c>
      <c r="E350" s="85">
        <f t="shared" si="30"/>
        <v>2013</v>
      </c>
      <c r="F350" s="86">
        <v>116199000000</v>
      </c>
      <c r="G350" s="86">
        <v>101065000000</v>
      </c>
      <c r="H350" s="86">
        <v>11445000000</v>
      </c>
      <c r="I350" s="86">
        <v>0</v>
      </c>
      <c r="J350" s="86">
        <v>0</v>
      </c>
      <c r="K350" s="83" t="s">
        <v>42</v>
      </c>
      <c r="L350" s="83" t="s">
        <v>174</v>
      </c>
      <c r="M350" s="91">
        <f t="shared" si="33"/>
        <v>15134000000</v>
      </c>
      <c r="N350" s="86">
        <f t="shared" si="34"/>
        <v>11445000000</v>
      </c>
      <c r="O350" s="86">
        <f t="shared" si="35"/>
        <v>3689000000</v>
      </c>
      <c r="P350" s="83">
        <f t="shared" si="31"/>
        <v>3.1747261164037553E-2</v>
      </c>
      <c r="Q350" s="83">
        <f t="shared" si="32"/>
        <v>0.13024208469952414</v>
      </c>
    </row>
    <row r="351" spans="1:17">
      <c r="A351" s="87">
        <v>377</v>
      </c>
      <c r="B351" s="87" t="s">
        <v>173</v>
      </c>
      <c r="C351" s="87" t="s">
        <v>23</v>
      </c>
      <c r="D351" s="84">
        <v>41623</v>
      </c>
      <c r="E351" s="88">
        <f t="shared" si="30"/>
        <v>2013</v>
      </c>
      <c r="F351" s="89">
        <v>118719000000</v>
      </c>
      <c r="G351" s="89">
        <v>102901000000</v>
      </c>
      <c r="H351" s="89">
        <v>12068000000</v>
      </c>
      <c r="I351" s="89">
        <v>0</v>
      </c>
      <c r="J351" s="89">
        <v>0</v>
      </c>
      <c r="K351" s="87" t="s">
        <v>42</v>
      </c>
      <c r="L351" s="87" t="s">
        <v>174</v>
      </c>
      <c r="M351" s="90">
        <f t="shared" si="33"/>
        <v>15818000000</v>
      </c>
      <c r="N351" s="89">
        <f t="shared" si="34"/>
        <v>12068000000</v>
      </c>
      <c r="O351" s="89">
        <f t="shared" si="35"/>
        <v>3750000000</v>
      </c>
      <c r="P351" s="87">
        <f t="shared" si="31"/>
        <v>3.1587193288353167E-2</v>
      </c>
      <c r="Q351" s="87">
        <f t="shared" si="32"/>
        <v>0.13323899291604546</v>
      </c>
    </row>
    <row r="352" spans="1:17">
      <c r="A352" s="83">
        <v>378</v>
      </c>
      <c r="B352" s="83" t="s">
        <v>175</v>
      </c>
      <c r="C352" s="83" t="s">
        <v>18</v>
      </c>
      <c r="D352" s="84">
        <v>41624</v>
      </c>
      <c r="E352" s="85">
        <f t="shared" si="30"/>
        <v>2013</v>
      </c>
      <c r="F352" s="86">
        <v>1577000</v>
      </c>
      <c r="G352" s="86">
        <v>258000</v>
      </c>
      <c r="H352" s="86">
        <v>2410000</v>
      </c>
      <c r="I352" s="86">
        <v>65000</v>
      </c>
      <c r="J352" s="86">
        <v>0</v>
      </c>
      <c r="K352" s="83" t="s">
        <v>42</v>
      </c>
      <c r="L352" s="83" t="s">
        <v>176</v>
      </c>
      <c r="M352" s="91">
        <f t="shared" si="33"/>
        <v>1319000</v>
      </c>
      <c r="N352" s="86">
        <f t="shared" si="34"/>
        <v>2475000</v>
      </c>
      <c r="O352" s="86">
        <f t="shared" si="35"/>
        <v>-1156000</v>
      </c>
      <c r="P352" s="83">
        <f t="shared" si="31"/>
        <v>-0.73303741280913126</v>
      </c>
      <c r="Q352" s="83">
        <f t="shared" si="32"/>
        <v>0.83639822447685486</v>
      </c>
    </row>
    <row r="353" spans="1:17">
      <c r="A353" s="87">
        <v>379</v>
      </c>
      <c r="B353" s="87" t="s">
        <v>175</v>
      </c>
      <c r="C353" s="87" t="s">
        <v>21</v>
      </c>
      <c r="D353" s="84">
        <v>41625</v>
      </c>
      <c r="E353" s="88">
        <f t="shared" si="30"/>
        <v>2013</v>
      </c>
      <c r="F353" s="89">
        <v>1514000</v>
      </c>
      <c r="G353" s="89">
        <v>142000</v>
      </c>
      <c r="H353" s="89">
        <v>3940000</v>
      </c>
      <c r="I353" s="89">
        <v>30000</v>
      </c>
      <c r="J353" s="89">
        <v>163000</v>
      </c>
      <c r="K353" s="87" t="s">
        <v>42</v>
      </c>
      <c r="L353" s="87" t="s">
        <v>176</v>
      </c>
      <c r="M353" s="90">
        <f t="shared" si="33"/>
        <v>1372000</v>
      </c>
      <c r="N353" s="89">
        <f t="shared" si="34"/>
        <v>4133000</v>
      </c>
      <c r="O353" s="89">
        <f t="shared" si="35"/>
        <v>-2761000</v>
      </c>
      <c r="P353" s="87">
        <f t="shared" si="31"/>
        <v>-1.8236459709379129</v>
      </c>
      <c r="Q353" s="87">
        <f t="shared" si="32"/>
        <v>0.90620871862615582</v>
      </c>
    </row>
    <row r="354" spans="1:17">
      <c r="A354" s="83">
        <v>380</v>
      </c>
      <c r="B354" s="83" t="s">
        <v>175</v>
      </c>
      <c r="C354" s="83" t="s">
        <v>22</v>
      </c>
      <c r="D354" s="84">
        <v>41626</v>
      </c>
      <c r="E354" s="85">
        <f t="shared" si="30"/>
        <v>2013</v>
      </c>
      <c r="F354" s="86">
        <v>79562000</v>
      </c>
      <c r="G354" s="86">
        <v>75508000</v>
      </c>
      <c r="H354" s="86">
        <v>15359000</v>
      </c>
      <c r="I354" s="86">
        <v>0</v>
      </c>
      <c r="J354" s="86">
        <v>0</v>
      </c>
      <c r="K354" s="83" t="s">
        <v>42</v>
      </c>
      <c r="L354" s="83" t="s">
        <v>176</v>
      </c>
      <c r="M354" s="91">
        <f t="shared" si="33"/>
        <v>4054000</v>
      </c>
      <c r="N354" s="86">
        <f t="shared" si="34"/>
        <v>15359000</v>
      </c>
      <c r="O354" s="86">
        <f t="shared" si="35"/>
        <v>-11305000</v>
      </c>
      <c r="P354" s="83">
        <f t="shared" si="31"/>
        <v>-0.14209044518740102</v>
      </c>
      <c r="Q354" s="83">
        <f t="shared" si="32"/>
        <v>5.0953973002186959E-2</v>
      </c>
    </row>
    <row r="355" spans="1:17">
      <c r="A355" s="87">
        <v>381</v>
      </c>
      <c r="B355" s="87" t="s">
        <v>175</v>
      </c>
      <c r="C355" s="87" t="s">
        <v>23</v>
      </c>
      <c r="D355" s="84">
        <v>41627</v>
      </c>
      <c r="E355" s="88">
        <f t="shared" si="30"/>
        <v>2013</v>
      </c>
      <c r="F355" s="89">
        <v>99642000</v>
      </c>
      <c r="G355" s="89">
        <v>84477000</v>
      </c>
      <c r="H355" s="89">
        <v>25853000</v>
      </c>
      <c r="I355" s="89">
        <v>0</v>
      </c>
      <c r="J355" s="89">
        <v>0</v>
      </c>
      <c r="K355" s="87" t="s">
        <v>42</v>
      </c>
      <c r="L355" s="87" t="s">
        <v>176</v>
      </c>
      <c r="M355" s="90">
        <f t="shared" si="33"/>
        <v>15165000</v>
      </c>
      <c r="N355" s="89">
        <f t="shared" si="34"/>
        <v>25853000</v>
      </c>
      <c r="O355" s="89">
        <f t="shared" si="35"/>
        <v>-10688000</v>
      </c>
      <c r="P355" s="87">
        <f t="shared" si="31"/>
        <v>-0.10726400513839546</v>
      </c>
      <c r="Q355" s="87">
        <f t="shared" si="32"/>
        <v>0.15219485759017282</v>
      </c>
    </row>
    <row r="356" spans="1:17">
      <c r="A356" s="83">
        <v>382</v>
      </c>
      <c r="B356" s="83" t="s">
        <v>177</v>
      </c>
      <c r="C356" s="83" t="s">
        <v>18</v>
      </c>
      <c r="D356" s="84">
        <v>41628</v>
      </c>
      <c r="E356" s="85">
        <f t="shared" si="30"/>
        <v>2013</v>
      </c>
      <c r="F356" s="86">
        <v>8052000000</v>
      </c>
      <c r="G356" s="86">
        <v>5140000000</v>
      </c>
      <c r="H356" s="86">
        <v>1653000000</v>
      </c>
      <c r="I356" s="86">
        <v>128000000</v>
      </c>
      <c r="J356" s="86">
        <v>0</v>
      </c>
      <c r="K356" s="83" t="s">
        <v>42</v>
      </c>
      <c r="L356" s="83" t="s">
        <v>130</v>
      </c>
      <c r="M356" s="91">
        <f t="shared" si="33"/>
        <v>2912000000</v>
      </c>
      <c r="N356" s="86">
        <f t="shared" si="34"/>
        <v>1781000000</v>
      </c>
      <c r="O356" s="86">
        <f t="shared" si="35"/>
        <v>1131000000</v>
      </c>
      <c r="P356" s="83">
        <f t="shared" si="31"/>
        <v>0.14046199701937406</v>
      </c>
      <c r="Q356" s="83">
        <f t="shared" si="32"/>
        <v>0.36164927968206662</v>
      </c>
    </row>
    <row r="357" spans="1:17">
      <c r="A357" s="87">
        <v>383</v>
      </c>
      <c r="B357" s="87" t="s">
        <v>177</v>
      </c>
      <c r="C357" s="87" t="s">
        <v>21</v>
      </c>
      <c r="D357" s="84">
        <v>41629</v>
      </c>
      <c r="E357" s="88">
        <f t="shared" si="30"/>
        <v>2013</v>
      </c>
      <c r="F357" s="89">
        <v>8268000000</v>
      </c>
      <c r="G357" s="89">
        <v>5297000000</v>
      </c>
      <c r="H357" s="89">
        <v>1527000000</v>
      </c>
      <c r="I357" s="89">
        <v>122000000</v>
      </c>
      <c r="J357" s="89">
        <v>0</v>
      </c>
      <c r="K357" s="87" t="s">
        <v>42</v>
      </c>
      <c r="L357" s="87" t="s">
        <v>130</v>
      </c>
      <c r="M357" s="90">
        <f t="shared" si="33"/>
        <v>2971000000</v>
      </c>
      <c r="N357" s="89">
        <f t="shared" si="34"/>
        <v>1649000000</v>
      </c>
      <c r="O357" s="89">
        <f t="shared" si="35"/>
        <v>1322000000</v>
      </c>
      <c r="P357" s="87">
        <f t="shared" si="31"/>
        <v>0.15989356555394291</v>
      </c>
      <c r="Q357" s="87">
        <f t="shared" si="32"/>
        <v>0.35933720367682631</v>
      </c>
    </row>
    <row r="358" spans="1:17">
      <c r="A358" s="83">
        <v>384</v>
      </c>
      <c r="B358" s="83" t="s">
        <v>177</v>
      </c>
      <c r="C358" s="83" t="s">
        <v>22</v>
      </c>
      <c r="D358" s="84">
        <v>41630</v>
      </c>
      <c r="E358" s="85">
        <f t="shared" si="30"/>
        <v>2013</v>
      </c>
      <c r="F358" s="86">
        <v>8082000000</v>
      </c>
      <c r="G358" s="86">
        <v>5300000000</v>
      </c>
      <c r="H358" s="86">
        <v>1509000000</v>
      </c>
      <c r="I358" s="86">
        <v>117000000</v>
      </c>
      <c r="J358" s="86">
        <v>0</v>
      </c>
      <c r="K358" s="83" t="s">
        <v>42</v>
      </c>
      <c r="L358" s="83" t="s">
        <v>130</v>
      </c>
      <c r="M358" s="91">
        <f t="shared" si="33"/>
        <v>2782000000</v>
      </c>
      <c r="N358" s="86">
        <f t="shared" si="34"/>
        <v>1626000000</v>
      </c>
      <c r="O358" s="86">
        <f t="shared" si="35"/>
        <v>1156000000</v>
      </c>
      <c r="P358" s="83">
        <f t="shared" si="31"/>
        <v>0.14303390249938133</v>
      </c>
      <c r="Q358" s="83">
        <f t="shared" si="32"/>
        <v>0.34422172729522393</v>
      </c>
    </row>
    <row r="359" spans="1:17">
      <c r="A359" s="87">
        <v>385</v>
      </c>
      <c r="B359" s="87" t="s">
        <v>177</v>
      </c>
      <c r="C359" s="87" t="s">
        <v>23</v>
      </c>
      <c r="D359" s="84">
        <v>41631</v>
      </c>
      <c r="E359" s="88">
        <f t="shared" si="30"/>
        <v>2013</v>
      </c>
      <c r="F359" s="89">
        <v>7961000000</v>
      </c>
      <c r="G359" s="89">
        <v>5181000000</v>
      </c>
      <c r="H359" s="89">
        <v>1665000000</v>
      </c>
      <c r="I359" s="89">
        <v>124000000</v>
      </c>
      <c r="J359" s="89">
        <v>0</v>
      </c>
      <c r="K359" s="87" t="s">
        <v>42</v>
      </c>
      <c r="L359" s="87" t="s">
        <v>130</v>
      </c>
      <c r="M359" s="90">
        <f t="shared" si="33"/>
        <v>2780000000</v>
      </c>
      <c r="N359" s="89">
        <f t="shared" si="34"/>
        <v>1789000000</v>
      </c>
      <c r="O359" s="89">
        <f t="shared" si="35"/>
        <v>991000000</v>
      </c>
      <c r="P359" s="87">
        <f t="shared" si="31"/>
        <v>0.12448184901394298</v>
      </c>
      <c r="Q359" s="87">
        <f t="shared" si="32"/>
        <v>0.34920236151237283</v>
      </c>
    </row>
    <row r="360" spans="1:17">
      <c r="A360" s="83">
        <v>386</v>
      </c>
      <c r="B360" s="83" t="s">
        <v>178</v>
      </c>
      <c r="C360" s="83" t="s">
        <v>18</v>
      </c>
      <c r="D360" s="84">
        <v>41632</v>
      </c>
      <c r="E360" s="85">
        <f t="shared" si="30"/>
        <v>2013</v>
      </c>
      <c r="F360" s="86">
        <v>3050195000</v>
      </c>
      <c r="G360" s="86">
        <v>683579000</v>
      </c>
      <c r="H360" s="86">
        <v>2047847000</v>
      </c>
      <c r="I360" s="86">
        <v>429479000</v>
      </c>
      <c r="J360" s="86">
        <v>0</v>
      </c>
      <c r="K360" s="83" t="s">
        <v>28</v>
      </c>
      <c r="L360" s="83" t="s">
        <v>63</v>
      </c>
      <c r="M360" s="91">
        <f t="shared" si="33"/>
        <v>2366616000</v>
      </c>
      <c r="N360" s="86">
        <f t="shared" si="34"/>
        <v>2477326000</v>
      </c>
      <c r="O360" s="86">
        <f t="shared" si="35"/>
        <v>-110710000</v>
      </c>
      <c r="P360" s="83">
        <f t="shared" si="31"/>
        <v>-3.6296040089240193E-2</v>
      </c>
      <c r="Q360" s="83">
        <f t="shared" si="32"/>
        <v>0.7758900660449578</v>
      </c>
    </row>
    <row r="361" spans="1:17">
      <c r="A361" s="87">
        <v>387</v>
      </c>
      <c r="B361" s="87" t="s">
        <v>178</v>
      </c>
      <c r="C361" s="87" t="s">
        <v>21</v>
      </c>
      <c r="D361" s="84">
        <v>41633</v>
      </c>
      <c r="E361" s="88">
        <f t="shared" si="30"/>
        <v>2013</v>
      </c>
      <c r="F361" s="89">
        <v>4071003000</v>
      </c>
      <c r="G361" s="89">
        <v>968428000</v>
      </c>
      <c r="H361" s="89">
        <v>2764851000</v>
      </c>
      <c r="I361" s="89">
        <v>623798000</v>
      </c>
      <c r="J361" s="89">
        <v>0</v>
      </c>
      <c r="K361" s="87" t="s">
        <v>28</v>
      </c>
      <c r="L361" s="87" t="s">
        <v>63</v>
      </c>
      <c r="M361" s="90">
        <f t="shared" si="33"/>
        <v>3102575000</v>
      </c>
      <c r="N361" s="89">
        <f t="shared" si="34"/>
        <v>3388649000</v>
      </c>
      <c r="O361" s="89">
        <f t="shared" si="35"/>
        <v>-286074000</v>
      </c>
      <c r="P361" s="87">
        <f t="shared" si="31"/>
        <v>-7.0271134656496204E-2</v>
      </c>
      <c r="Q361" s="87">
        <f t="shared" si="32"/>
        <v>0.76211562605087735</v>
      </c>
    </row>
    <row r="362" spans="1:17">
      <c r="A362" s="83">
        <v>388</v>
      </c>
      <c r="B362" s="83" t="s">
        <v>178</v>
      </c>
      <c r="C362" s="83" t="s">
        <v>22</v>
      </c>
      <c r="D362" s="84">
        <v>41634</v>
      </c>
      <c r="E362" s="85">
        <f t="shared" si="30"/>
        <v>2013</v>
      </c>
      <c r="F362" s="86">
        <v>5373586000</v>
      </c>
      <c r="G362" s="86">
        <v>1289270000</v>
      </c>
      <c r="H362" s="86">
        <v>3437032000</v>
      </c>
      <c r="I362" s="86">
        <v>792917000</v>
      </c>
      <c r="J362" s="86">
        <v>0</v>
      </c>
      <c r="K362" s="83" t="s">
        <v>28</v>
      </c>
      <c r="L362" s="83" t="s">
        <v>63</v>
      </c>
      <c r="M362" s="91">
        <f t="shared" si="33"/>
        <v>4084316000</v>
      </c>
      <c r="N362" s="86">
        <f t="shared" si="34"/>
        <v>4229949000</v>
      </c>
      <c r="O362" s="86">
        <f t="shared" si="35"/>
        <v>-145633000</v>
      </c>
      <c r="P362" s="83">
        <f t="shared" si="31"/>
        <v>-2.7101641250368003E-2</v>
      </c>
      <c r="Q362" s="83">
        <f t="shared" si="32"/>
        <v>0.76007269633350982</v>
      </c>
    </row>
    <row r="363" spans="1:17">
      <c r="A363" s="87">
        <v>389</v>
      </c>
      <c r="B363" s="87" t="s">
        <v>178</v>
      </c>
      <c r="C363" s="87" t="s">
        <v>23</v>
      </c>
      <c r="D363" s="84">
        <v>41635</v>
      </c>
      <c r="E363" s="88">
        <f t="shared" si="30"/>
        <v>2013</v>
      </c>
      <c r="F363" s="89">
        <v>6667216000</v>
      </c>
      <c r="G363" s="89">
        <v>1654548000</v>
      </c>
      <c r="H363" s="89">
        <v>3951445000</v>
      </c>
      <c r="I363" s="89">
        <v>946300000</v>
      </c>
      <c r="J363" s="89">
        <v>0</v>
      </c>
      <c r="K363" s="87" t="s">
        <v>28</v>
      </c>
      <c r="L363" s="87" t="s">
        <v>63</v>
      </c>
      <c r="M363" s="90">
        <f t="shared" si="33"/>
        <v>5012668000</v>
      </c>
      <c r="N363" s="89">
        <f t="shared" si="34"/>
        <v>4897745000</v>
      </c>
      <c r="O363" s="89">
        <f t="shared" si="35"/>
        <v>114923000</v>
      </c>
      <c r="P363" s="87">
        <f t="shared" si="31"/>
        <v>1.7237029668755295E-2</v>
      </c>
      <c r="Q363" s="87">
        <f t="shared" si="32"/>
        <v>0.75183824852832126</v>
      </c>
    </row>
    <row r="364" spans="1:17">
      <c r="A364" s="83">
        <v>390</v>
      </c>
      <c r="B364" s="83" t="s">
        <v>179</v>
      </c>
      <c r="C364" s="83" t="s">
        <v>18</v>
      </c>
      <c r="D364" s="84">
        <v>41636</v>
      </c>
      <c r="E364" s="85">
        <f t="shared" si="30"/>
        <v>2013</v>
      </c>
      <c r="F364" s="86">
        <v>48607000000</v>
      </c>
      <c r="G364" s="86">
        <v>19167000000</v>
      </c>
      <c r="H364" s="86">
        <v>11802000000</v>
      </c>
      <c r="I364" s="86">
        <v>5942000000</v>
      </c>
      <c r="J364" s="86">
        <v>395000000</v>
      </c>
      <c r="K364" s="83" t="s">
        <v>28</v>
      </c>
      <c r="L364" s="83" t="s">
        <v>180</v>
      </c>
      <c r="M364" s="91">
        <f t="shared" si="33"/>
        <v>29440000000</v>
      </c>
      <c r="N364" s="86">
        <f t="shared" si="34"/>
        <v>18139000000</v>
      </c>
      <c r="O364" s="86">
        <f t="shared" si="35"/>
        <v>11301000000</v>
      </c>
      <c r="P364" s="83">
        <f t="shared" si="31"/>
        <v>0.2324973769210196</v>
      </c>
      <c r="Q364" s="83">
        <f t="shared" si="32"/>
        <v>0.60567407986503996</v>
      </c>
    </row>
    <row r="365" spans="1:17">
      <c r="A365" s="87">
        <v>391</v>
      </c>
      <c r="B365" s="87" t="s">
        <v>179</v>
      </c>
      <c r="C365" s="87" t="s">
        <v>21</v>
      </c>
      <c r="D365" s="84">
        <v>41637</v>
      </c>
      <c r="E365" s="88">
        <f t="shared" si="30"/>
        <v>2013</v>
      </c>
      <c r="F365" s="89">
        <v>47142000000</v>
      </c>
      <c r="G365" s="89">
        <v>19373000000</v>
      </c>
      <c r="H365" s="89">
        <v>11437000000</v>
      </c>
      <c r="I365" s="89">
        <v>6294000000</v>
      </c>
      <c r="J365" s="89">
        <v>275000000</v>
      </c>
      <c r="K365" s="87" t="s">
        <v>28</v>
      </c>
      <c r="L365" s="87" t="s">
        <v>180</v>
      </c>
      <c r="M365" s="90">
        <f t="shared" si="33"/>
        <v>27769000000</v>
      </c>
      <c r="N365" s="89">
        <f t="shared" si="34"/>
        <v>18006000000</v>
      </c>
      <c r="O365" s="89">
        <f t="shared" si="35"/>
        <v>9763000000</v>
      </c>
      <c r="P365" s="87">
        <f t="shared" si="31"/>
        <v>0.20709770480675407</v>
      </c>
      <c r="Q365" s="87">
        <f t="shared" si="32"/>
        <v>0.58905010394128376</v>
      </c>
    </row>
    <row r="366" spans="1:17">
      <c r="A366" s="83">
        <v>392</v>
      </c>
      <c r="B366" s="83" t="s">
        <v>179</v>
      </c>
      <c r="C366" s="83" t="s">
        <v>22</v>
      </c>
      <c r="D366" s="84">
        <v>41638</v>
      </c>
      <c r="E366" s="85">
        <f t="shared" si="30"/>
        <v>2013</v>
      </c>
      <c r="F366" s="86">
        <v>49161000000</v>
      </c>
      <c r="G366" s="86">
        <v>19480000000</v>
      </c>
      <c r="H366" s="86">
        <v>11861000000</v>
      </c>
      <c r="I366" s="86">
        <v>6207000000</v>
      </c>
      <c r="J366" s="86">
        <v>359000000</v>
      </c>
      <c r="K366" s="83" t="s">
        <v>28</v>
      </c>
      <c r="L366" s="83" t="s">
        <v>180</v>
      </c>
      <c r="M366" s="91">
        <f t="shared" si="33"/>
        <v>29681000000</v>
      </c>
      <c r="N366" s="86">
        <f t="shared" si="34"/>
        <v>18427000000</v>
      </c>
      <c r="O366" s="86">
        <f t="shared" si="35"/>
        <v>11254000000</v>
      </c>
      <c r="P366" s="83">
        <f t="shared" si="31"/>
        <v>0.22892129940399911</v>
      </c>
      <c r="Q366" s="83">
        <f t="shared" si="32"/>
        <v>0.60375094078639568</v>
      </c>
    </row>
    <row r="367" spans="1:17">
      <c r="A367" s="87">
        <v>393</v>
      </c>
      <c r="B367" s="87" t="s">
        <v>179</v>
      </c>
      <c r="C367" s="87" t="s">
        <v>23</v>
      </c>
      <c r="D367" s="84">
        <v>41639</v>
      </c>
      <c r="E367" s="88">
        <f t="shared" si="30"/>
        <v>2013</v>
      </c>
      <c r="F367" s="89">
        <v>49247000000</v>
      </c>
      <c r="G367" s="89">
        <v>18287000000</v>
      </c>
      <c r="H367" s="89">
        <v>11433000000</v>
      </c>
      <c r="I367" s="89">
        <v>6296000000</v>
      </c>
      <c r="J367" s="89">
        <v>303000000</v>
      </c>
      <c r="K367" s="87" t="s">
        <v>28</v>
      </c>
      <c r="L367" s="87" t="s">
        <v>180</v>
      </c>
      <c r="M367" s="90">
        <f t="shared" si="33"/>
        <v>30960000000</v>
      </c>
      <c r="N367" s="89">
        <f t="shared" si="34"/>
        <v>18032000000</v>
      </c>
      <c r="O367" s="89">
        <f t="shared" si="35"/>
        <v>12928000000</v>
      </c>
      <c r="P367" s="87">
        <f t="shared" si="31"/>
        <v>0.26251345259609721</v>
      </c>
      <c r="Q367" s="87">
        <f t="shared" si="32"/>
        <v>0.62866773610575266</v>
      </c>
    </row>
    <row r="368" spans="1:17">
      <c r="A368" s="83">
        <v>394</v>
      </c>
      <c r="B368" s="83" t="s">
        <v>181</v>
      </c>
      <c r="C368" s="83" t="s">
        <v>18</v>
      </c>
      <c r="D368" s="84">
        <v>41640</v>
      </c>
      <c r="E368" s="85">
        <f t="shared" si="30"/>
        <v>2014</v>
      </c>
      <c r="F368" s="86">
        <v>4069746000</v>
      </c>
      <c r="G368" s="86">
        <v>3282301000</v>
      </c>
      <c r="H368" s="86">
        <v>194207000</v>
      </c>
      <c r="I368" s="86">
        <v>0</v>
      </c>
      <c r="J368" s="86">
        <v>137058000</v>
      </c>
      <c r="K368" s="83" t="s">
        <v>28</v>
      </c>
      <c r="L368" s="83" t="s">
        <v>182</v>
      </c>
      <c r="M368" s="91">
        <f t="shared" si="33"/>
        <v>787445000</v>
      </c>
      <c r="N368" s="86">
        <f t="shared" si="34"/>
        <v>331265000</v>
      </c>
      <c r="O368" s="86">
        <f t="shared" si="35"/>
        <v>456180000</v>
      </c>
      <c r="P368" s="83">
        <f t="shared" si="31"/>
        <v>0.11209053341412462</v>
      </c>
      <c r="Q368" s="83">
        <f t="shared" si="32"/>
        <v>0.19348750511702695</v>
      </c>
    </row>
    <row r="369" spans="1:17">
      <c r="A369" s="87">
        <v>395</v>
      </c>
      <c r="B369" s="87" t="s">
        <v>181</v>
      </c>
      <c r="C369" s="87" t="s">
        <v>21</v>
      </c>
      <c r="D369" s="84">
        <v>41641</v>
      </c>
      <c r="E369" s="88">
        <f t="shared" si="30"/>
        <v>2014</v>
      </c>
      <c r="F369" s="89">
        <v>4250447000</v>
      </c>
      <c r="G369" s="89">
        <v>3575631000</v>
      </c>
      <c r="H369" s="89">
        <v>187244000</v>
      </c>
      <c r="I369" s="89">
        <v>0</v>
      </c>
      <c r="J369" s="89">
        <v>182242000</v>
      </c>
      <c r="K369" s="87" t="s">
        <v>28</v>
      </c>
      <c r="L369" s="87" t="s">
        <v>182</v>
      </c>
      <c r="M369" s="90">
        <f t="shared" si="33"/>
        <v>674816000</v>
      </c>
      <c r="N369" s="89">
        <f t="shared" si="34"/>
        <v>369486000</v>
      </c>
      <c r="O369" s="89">
        <f t="shared" si="35"/>
        <v>305330000</v>
      </c>
      <c r="P369" s="87">
        <f t="shared" si="31"/>
        <v>7.1834797610698359E-2</v>
      </c>
      <c r="Q369" s="87">
        <f t="shared" si="32"/>
        <v>0.15876353710562674</v>
      </c>
    </row>
    <row r="370" spans="1:17">
      <c r="A370" s="83">
        <v>396</v>
      </c>
      <c r="B370" s="83" t="s">
        <v>183</v>
      </c>
      <c r="C370" s="83" t="s">
        <v>18</v>
      </c>
      <c r="D370" s="84">
        <v>41642</v>
      </c>
      <c r="E370" s="85">
        <f t="shared" si="30"/>
        <v>2014</v>
      </c>
      <c r="F370" s="86">
        <v>12026000000</v>
      </c>
      <c r="G370" s="86">
        <v>3931000000</v>
      </c>
      <c r="H370" s="86">
        <v>3518000000</v>
      </c>
      <c r="I370" s="86">
        <v>0</v>
      </c>
      <c r="J370" s="86">
        <v>1104000000</v>
      </c>
      <c r="K370" s="83" t="s">
        <v>19</v>
      </c>
      <c r="L370" s="83" t="s">
        <v>184</v>
      </c>
      <c r="M370" s="91">
        <f t="shared" si="33"/>
        <v>8095000000</v>
      </c>
      <c r="N370" s="86">
        <f t="shared" si="34"/>
        <v>4622000000</v>
      </c>
      <c r="O370" s="86">
        <f t="shared" si="35"/>
        <v>3473000000</v>
      </c>
      <c r="P370" s="83">
        <f t="shared" si="31"/>
        <v>0.28879095293530682</v>
      </c>
      <c r="Q370" s="83">
        <f t="shared" si="32"/>
        <v>0.67312489605853987</v>
      </c>
    </row>
    <row r="371" spans="1:17">
      <c r="A371" s="87">
        <v>397</v>
      </c>
      <c r="B371" s="87" t="s">
        <v>183</v>
      </c>
      <c r="C371" s="87" t="s">
        <v>21</v>
      </c>
      <c r="D371" s="84">
        <v>41643</v>
      </c>
      <c r="E371" s="88">
        <f t="shared" si="30"/>
        <v>2014</v>
      </c>
      <c r="F371" s="89">
        <v>12669000000</v>
      </c>
      <c r="G371" s="89">
        <v>4100000000</v>
      </c>
      <c r="H371" s="89">
        <v>3805000000</v>
      </c>
      <c r="I371" s="89">
        <v>0</v>
      </c>
      <c r="J371" s="89">
        <v>1151000000</v>
      </c>
      <c r="K371" s="87" t="s">
        <v>19</v>
      </c>
      <c r="L371" s="87" t="s">
        <v>184</v>
      </c>
      <c r="M371" s="90">
        <f t="shared" si="33"/>
        <v>8569000000</v>
      </c>
      <c r="N371" s="89">
        <f t="shared" si="34"/>
        <v>4956000000</v>
      </c>
      <c r="O371" s="89">
        <f t="shared" si="35"/>
        <v>3613000000</v>
      </c>
      <c r="P371" s="87">
        <f t="shared" si="31"/>
        <v>0.28518430815376117</v>
      </c>
      <c r="Q371" s="87">
        <f t="shared" si="32"/>
        <v>0.67637540453074441</v>
      </c>
    </row>
    <row r="372" spans="1:17">
      <c r="A372" s="83">
        <v>398</v>
      </c>
      <c r="B372" s="83" t="s">
        <v>183</v>
      </c>
      <c r="C372" s="83" t="s">
        <v>22</v>
      </c>
      <c r="D372" s="84">
        <v>41644</v>
      </c>
      <c r="E372" s="85">
        <f t="shared" si="30"/>
        <v>2014</v>
      </c>
      <c r="F372" s="86">
        <v>11811000000</v>
      </c>
      <c r="G372" s="86">
        <v>3293000000</v>
      </c>
      <c r="H372" s="86">
        <v>3726000000</v>
      </c>
      <c r="I372" s="86">
        <v>0</v>
      </c>
      <c r="J372" s="86">
        <v>1208000000</v>
      </c>
      <c r="K372" s="83" t="s">
        <v>19</v>
      </c>
      <c r="L372" s="83" t="s">
        <v>184</v>
      </c>
      <c r="M372" s="91">
        <f t="shared" si="33"/>
        <v>8518000000</v>
      </c>
      <c r="N372" s="86">
        <f t="shared" si="34"/>
        <v>4934000000</v>
      </c>
      <c r="O372" s="86">
        <f t="shared" si="35"/>
        <v>3584000000</v>
      </c>
      <c r="P372" s="83">
        <f t="shared" si="31"/>
        <v>0.30344594022521376</v>
      </c>
      <c r="Q372" s="83">
        <f t="shared" si="32"/>
        <v>0.72119210905088482</v>
      </c>
    </row>
    <row r="373" spans="1:17">
      <c r="A373" s="87">
        <v>399</v>
      </c>
      <c r="B373" s="87" t="s">
        <v>183</v>
      </c>
      <c r="C373" s="87" t="s">
        <v>23</v>
      </c>
      <c r="D373" s="84">
        <v>41645</v>
      </c>
      <c r="E373" s="88">
        <f t="shared" si="30"/>
        <v>2014</v>
      </c>
      <c r="F373" s="89">
        <v>11069000000</v>
      </c>
      <c r="G373" s="89">
        <v>2782000000</v>
      </c>
      <c r="H373" s="89">
        <v>3597000000</v>
      </c>
      <c r="I373" s="89">
        <v>0</v>
      </c>
      <c r="J373" s="89">
        <v>1301000000</v>
      </c>
      <c r="K373" s="87" t="s">
        <v>19</v>
      </c>
      <c r="L373" s="87" t="s">
        <v>184</v>
      </c>
      <c r="M373" s="90">
        <f t="shared" si="33"/>
        <v>8287000000</v>
      </c>
      <c r="N373" s="89">
        <f t="shared" si="34"/>
        <v>4898000000</v>
      </c>
      <c r="O373" s="89">
        <f t="shared" si="35"/>
        <v>3389000000</v>
      </c>
      <c r="P373" s="87">
        <f t="shared" si="31"/>
        <v>0.30617038576203814</v>
      </c>
      <c r="Q373" s="87">
        <f t="shared" si="32"/>
        <v>0.74866744963411325</v>
      </c>
    </row>
    <row r="374" spans="1:17">
      <c r="A374" s="83">
        <v>400</v>
      </c>
      <c r="B374" s="83" t="s">
        <v>185</v>
      </c>
      <c r="C374" s="83" t="s">
        <v>18</v>
      </c>
      <c r="D374" s="84">
        <v>41646</v>
      </c>
      <c r="E374" s="85">
        <f t="shared" si="30"/>
        <v>2014</v>
      </c>
      <c r="F374" s="86">
        <v>4245964000</v>
      </c>
      <c r="G374" s="86">
        <v>2492655000</v>
      </c>
      <c r="H374" s="86">
        <v>1187331000</v>
      </c>
      <c r="I374" s="86">
        <v>0</v>
      </c>
      <c r="J374" s="86">
        <v>0</v>
      </c>
      <c r="K374" s="83" t="s">
        <v>19</v>
      </c>
      <c r="L374" s="83" t="s">
        <v>186</v>
      </c>
      <c r="M374" s="91">
        <f t="shared" si="33"/>
        <v>1753309000</v>
      </c>
      <c r="N374" s="86">
        <f t="shared" si="34"/>
        <v>1187331000</v>
      </c>
      <c r="O374" s="86">
        <f t="shared" si="35"/>
        <v>565978000</v>
      </c>
      <c r="P374" s="83">
        <f t="shared" si="31"/>
        <v>0.13329788005739096</v>
      </c>
      <c r="Q374" s="83">
        <f t="shared" si="32"/>
        <v>0.41293543704091695</v>
      </c>
    </row>
    <row r="375" spans="1:17">
      <c r="A375" s="87">
        <v>401</v>
      </c>
      <c r="B375" s="87" t="s">
        <v>185</v>
      </c>
      <c r="C375" s="87" t="s">
        <v>21</v>
      </c>
      <c r="D375" s="84">
        <v>41647</v>
      </c>
      <c r="E375" s="88">
        <f t="shared" si="30"/>
        <v>2014</v>
      </c>
      <c r="F375" s="89">
        <v>4193844000</v>
      </c>
      <c r="G375" s="89">
        <v>2444085000</v>
      </c>
      <c r="H375" s="89">
        <v>1147039000</v>
      </c>
      <c r="I375" s="89">
        <v>0</v>
      </c>
      <c r="J375" s="89">
        <v>0</v>
      </c>
      <c r="K375" s="87" t="s">
        <v>19</v>
      </c>
      <c r="L375" s="87" t="s">
        <v>186</v>
      </c>
      <c r="M375" s="90">
        <f t="shared" si="33"/>
        <v>1749759000</v>
      </c>
      <c r="N375" s="89">
        <f t="shared" si="34"/>
        <v>1147039000</v>
      </c>
      <c r="O375" s="89">
        <f t="shared" si="35"/>
        <v>602720000</v>
      </c>
      <c r="P375" s="87">
        <f t="shared" si="31"/>
        <v>0.14371540763080362</v>
      </c>
      <c r="Q375" s="87">
        <f t="shared" si="32"/>
        <v>0.41722081221905249</v>
      </c>
    </row>
    <row r="376" spans="1:17">
      <c r="A376" s="83">
        <v>402</v>
      </c>
      <c r="B376" s="83" t="s">
        <v>185</v>
      </c>
      <c r="C376" s="83" t="s">
        <v>22</v>
      </c>
      <c r="D376" s="84">
        <v>41648</v>
      </c>
      <c r="E376" s="85">
        <f t="shared" si="30"/>
        <v>2014</v>
      </c>
      <c r="F376" s="86">
        <v>4476886000</v>
      </c>
      <c r="G376" s="86">
        <v>2555549000</v>
      </c>
      <c r="H376" s="86">
        <v>1224930000</v>
      </c>
      <c r="I376" s="86">
        <v>0</v>
      </c>
      <c r="J376" s="86">
        <v>0</v>
      </c>
      <c r="K376" s="83" t="s">
        <v>19</v>
      </c>
      <c r="L376" s="83" t="s">
        <v>186</v>
      </c>
      <c r="M376" s="91">
        <f t="shared" si="33"/>
        <v>1921337000</v>
      </c>
      <c r="N376" s="86">
        <f t="shared" si="34"/>
        <v>1224930000</v>
      </c>
      <c r="O376" s="86">
        <f t="shared" si="35"/>
        <v>696407000</v>
      </c>
      <c r="P376" s="83">
        <f t="shared" si="31"/>
        <v>0.15555611646130815</v>
      </c>
      <c r="Q376" s="83">
        <f t="shared" si="32"/>
        <v>0.42916817627252513</v>
      </c>
    </row>
    <row r="377" spans="1:17">
      <c r="A377" s="87">
        <v>403</v>
      </c>
      <c r="B377" s="87" t="s">
        <v>185</v>
      </c>
      <c r="C377" s="87" t="s">
        <v>23</v>
      </c>
      <c r="D377" s="84">
        <v>41649</v>
      </c>
      <c r="E377" s="88">
        <f t="shared" si="30"/>
        <v>2014</v>
      </c>
      <c r="F377" s="89">
        <v>4905458000</v>
      </c>
      <c r="G377" s="89">
        <v>2775588000</v>
      </c>
      <c r="H377" s="89">
        <v>1348122000</v>
      </c>
      <c r="I377" s="89">
        <v>0</v>
      </c>
      <c r="J377" s="89">
        <v>0</v>
      </c>
      <c r="K377" s="87" t="s">
        <v>19</v>
      </c>
      <c r="L377" s="87" t="s">
        <v>186</v>
      </c>
      <c r="M377" s="90">
        <f t="shared" si="33"/>
        <v>2129870000</v>
      </c>
      <c r="N377" s="89">
        <f t="shared" si="34"/>
        <v>1348122000</v>
      </c>
      <c r="O377" s="89">
        <f t="shared" si="35"/>
        <v>781748000</v>
      </c>
      <c r="P377" s="87">
        <f t="shared" si="31"/>
        <v>0.15936289740937543</v>
      </c>
      <c r="Q377" s="87">
        <f t="shared" si="32"/>
        <v>0.43418371944067202</v>
      </c>
    </row>
    <row r="378" spans="1:17">
      <c r="A378" s="83">
        <v>404</v>
      </c>
      <c r="B378" s="83" t="s">
        <v>187</v>
      </c>
      <c r="C378" s="83" t="s">
        <v>18</v>
      </c>
      <c r="D378" s="84">
        <v>41650</v>
      </c>
      <c r="E378" s="85">
        <f t="shared" si="30"/>
        <v>2014</v>
      </c>
      <c r="F378" s="86">
        <v>18376000000</v>
      </c>
      <c r="G378" s="86">
        <v>7639000000</v>
      </c>
      <c r="H378" s="86">
        <v>3244000000</v>
      </c>
      <c r="I378" s="86">
        <v>0</v>
      </c>
      <c r="J378" s="86">
        <v>4780000000</v>
      </c>
      <c r="K378" s="83" t="s">
        <v>188</v>
      </c>
      <c r="L378" s="83" t="s">
        <v>189</v>
      </c>
      <c r="M378" s="91">
        <f t="shared" si="33"/>
        <v>10737000000</v>
      </c>
      <c r="N378" s="86">
        <f t="shared" si="34"/>
        <v>8024000000</v>
      </c>
      <c r="O378" s="86">
        <f t="shared" si="35"/>
        <v>2713000000</v>
      </c>
      <c r="P378" s="83">
        <f t="shared" si="31"/>
        <v>0.14763822377013497</v>
      </c>
      <c r="Q378" s="83">
        <f t="shared" si="32"/>
        <v>0.58429473225946893</v>
      </c>
    </row>
    <row r="379" spans="1:17">
      <c r="A379" s="87">
        <v>405</v>
      </c>
      <c r="B379" s="87" t="s">
        <v>187</v>
      </c>
      <c r="C379" s="87" t="s">
        <v>21</v>
      </c>
      <c r="D379" s="84">
        <v>41651</v>
      </c>
      <c r="E379" s="88">
        <f t="shared" si="30"/>
        <v>2014</v>
      </c>
      <c r="F379" s="89">
        <v>18095000000</v>
      </c>
      <c r="G379" s="89">
        <v>7507000000</v>
      </c>
      <c r="H379" s="89">
        <v>3502000000</v>
      </c>
      <c r="I379" s="89">
        <v>0</v>
      </c>
      <c r="J379" s="89">
        <v>4541000000</v>
      </c>
      <c r="K379" s="87" t="s">
        <v>188</v>
      </c>
      <c r="L379" s="87" t="s">
        <v>189</v>
      </c>
      <c r="M379" s="90">
        <f t="shared" si="33"/>
        <v>10588000000</v>
      </c>
      <c r="N379" s="89">
        <f t="shared" si="34"/>
        <v>8043000000</v>
      </c>
      <c r="O379" s="89">
        <f t="shared" si="35"/>
        <v>2545000000</v>
      </c>
      <c r="P379" s="87">
        <f t="shared" si="31"/>
        <v>0.14064658745509809</v>
      </c>
      <c r="Q379" s="87">
        <f t="shared" si="32"/>
        <v>0.58513401492124895</v>
      </c>
    </row>
    <row r="380" spans="1:17">
      <c r="A380" s="83">
        <v>406</v>
      </c>
      <c r="B380" s="83" t="s">
        <v>187</v>
      </c>
      <c r="C380" s="83" t="s">
        <v>22</v>
      </c>
      <c r="D380" s="84">
        <v>41652</v>
      </c>
      <c r="E380" s="85">
        <f t="shared" si="30"/>
        <v>2014</v>
      </c>
      <c r="F380" s="86">
        <v>18031000000</v>
      </c>
      <c r="G380" s="86">
        <v>7846000000</v>
      </c>
      <c r="H380" s="86">
        <v>3347000000</v>
      </c>
      <c r="I380" s="86">
        <v>0</v>
      </c>
      <c r="J380" s="86">
        <v>4428000000</v>
      </c>
      <c r="K380" s="83" t="s">
        <v>188</v>
      </c>
      <c r="L380" s="83" t="s">
        <v>189</v>
      </c>
      <c r="M380" s="91">
        <f t="shared" si="33"/>
        <v>10185000000</v>
      </c>
      <c r="N380" s="86">
        <f t="shared" si="34"/>
        <v>7775000000</v>
      </c>
      <c r="O380" s="86">
        <f t="shared" si="35"/>
        <v>2410000000</v>
      </c>
      <c r="P380" s="83">
        <f t="shared" si="31"/>
        <v>0.1336586989074372</v>
      </c>
      <c r="Q380" s="83">
        <f t="shared" si="32"/>
        <v>0.56486051799678338</v>
      </c>
    </row>
    <row r="381" spans="1:17">
      <c r="A381" s="87">
        <v>407</v>
      </c>
      <c r="B381" s="87" t="s">
        <v>187</v>
      </c>
      <c r="C381" s="87" t="s">
        <v>23</v>
      </c>
      <c r="D381" s="84">
        <v>41653</v>
      </c>
      <c r="E381" s="88">
        <f t="shared" si="30"/>
        <v>2014</v>
      </c>
      <c r="F381" s="89">
        <v>17900000000</v>
      </c>
      <c r="G381" s="89">
        <v>7778000000</v>
      </c>
      <c r="H381" s="89">
        <v>3328000000</v>
      </c>
      <c r="I381" s="89">
        <v>0</v>
      </c>
      <c r="J381" s="89">
        <v>4189000000</v>
      </c>
      <c r="K381" s="87" t="s">
        <v>188</v>
      </c>
      <c r="L381" s="87" t="s">
        <v>189</v>
      </c>
      <c r="M381" s="90">
        <f t="shared" si="33"/>
        <v>10122000000</v>
      </c>
      <c r="N381" s="89">
        <f t="shared" si="34"/>
        <v>7517000000</v>
      </c>
      <c r="O381" s="89">
        <f t="shared" si="35"/>
        <v>2605000000</v>
      </c>
      <c r="P381" s="87">
        <f t="shared" si="31"/>
        <v>0.14553072625698324</v>
      </c>
      <c r="Q381" s="87">
        <f t="shared" si="32"/>
        <v>0.56547486033519556</v>
      </c>
    </row>
    <row r="382" spans="1:17">
      <c r="A382" s="83">
        <v>408</v>
      </c>
      <c r="B382" s="83" t="s">
        <v>190</v>
      </c>
      <c r="C382" s="83" t="s">
        <v>18</v>
      </c>
      <c r="D382" s="84">
        <v>41654</v>
      </c>
      <c r="E382" s="85">
        <f t="shared" si="30"/>
        <v>2014</v>
      </c>
      <c r="F382" s="86">
        <v>7346472000</v>
      </c>
      <c r="G382" s="86">
        <v>4278241000</v>
      </c>
      <c r="H382" s="86">
        <v>1557646000</v>
      </c>
      <c r="I382" s="86">
        <v>0</v>
      </c>
      <c r="J382" s="86">
        <v>149089000</v>
      </c>
      <c r="K382" s="83" t="s">
        <v>28</v>
      </c>
      <c r="L382" s="83" t="s">
        <v>182</v>
      </c>
      <c r="M382" s="91">
        <f t="shared" si="33"/>
        <v>3068231000</v>
      </c>
      <c r="N382" s="86">
        <f t="shared" si="34"/>
        <v>1706735000</v>
      </c>
      <c r="O382" s="86">
        <f t="shared" si="35"/>
        <v>1361496000</v>
      </c>
      <c r="P382" s="83">
        <f t="shared" si="31"/>
        <v>0.18532650774412535</v>
      </c>
      <c r="Q382" s="83">
        <f t="shared" si="32"/>
        <v>0.4176468650530486</v>
      </c>
    </row>
    <row r="383" spans="1:17">
      <c r="A383" s="87">
        <v>409</v>
      </c>
      <c r="B383" s="87" t="s">
        <v>190</v>
      </c>
      <c r="C383" s="87" t="s">
        <v>21</v>
      </c>
      <c r="D383" s="84">
        <v>41655</v>
      </c>
      <c r="E383" s="88">
        <f t="shared" ref="E383:E446" si="36">YEAR(D383)</f>
        <v>2014</v>
      </c>
      <c r="F383" s="89">
        <v>8843200000</v>
      </c>
      <c r="G383" s="89">
        <v>5265500000</v>
      </c>
      <c r="H383" s="89">
        <v>1727600000</v>
      </c>
      <c r="I383" s="89">
        <v>0</v>
      </c>
      <c r="J383" s="89">
        <v>172200000</v>
      </c>
      <c r="K383" s="87" t="s">
        <v>28</v>
      </c>
      <c r="L383" s="87" t="s">
        <v>182</v>
      </c>
      <c r="M383" s="90">
        <f t="shared" si="33"/>
        <v>3577700000</v>
      </c>
      <c r="N383" s="89">
        <f t="shared" si="34"/>
        <v>1899800000</v>
      </c>
      <c r="O383" s="89">
        <f t="shared" si="35"/>
        <v>1677900000</v>
      </c>
      <c r="P383" s="87">
        <f t="shared" si="31"/>
        <v>0.18973900850370906</v>
      </c>
      <c r="Q383" s="87">
        <f t="shared" si="32"/>
        <v>0.40457074362221823</v>
      </c>
    </row>
    <row r="384" spans="1:17">
      <c r="A384" s="83">
        <v>410</v>
      </c>
      <c r="B384" s="83" t="s">
        <v>190</v>
      </c>
      <c r="C384" s="83" t="s">
        <v>22</v>
      </c>
      <c r="D384" s="84">
        <v>41656</v>
      </c>
      <c r="E384" s="85">
        <f t="shared" si="36"/>
        <v>2014</v>
      </c>
      <c r="F384" s="86">
        <v>10262700000</v>
      </c>
      <c r="G384" s="86">
        <v>6141100000</v>
      </c>
      <c r="H384" s="86">
        <v>2037000000</v>
      </c>
      <c r="I384" s="86">
        <v>0</v>
      </c>
      <c r="J384" s="86">
        <v>199700000</v>
      </c>
      <c r="K384" s="83" t="s">
        <v>28</v>
      </c>
      <c r="L384" s="83" t="s">
        <v>182</v>
      </c>
      <c r="M384" s="91">
        <f t="shared" si="33"/>
        <v>4121600000</v>
      </c>
      <c r="N384" s="86">
        <f t="shared" si="34"/>
        <v>2236700000</v>
      </c>
      <c r="O384" s="86">
        <f t="shared" si="35"/>
        <v>1884900000</v>
      </c>
      <c r="P384" s="83">
        <f t="shared" si="31"/>
        <v>0.18366511736677482</v>
      </c>
      <c r="Q384" s="83">
        <f t="shared" si="32"/>
        <v>0.4016097128435987</v>
      </c>
    </row>
    <row r="385" spans="1:17">
      <c r="A385" s="87">
        <v>411</v>
      </c>
      <c r="B385" s="87" t="s">
        <v>190</v>
      </c>
      <c r="C385" s="87" t="s">
        <v>23</v>
      </c>
      <c r="D385" s="84">
        <v>41657</v>
      </c>
      <c r="E385" s="88">
        <f t="shared" si="36"/>
        <v>2014</v>
      </c>
      <c r="F385" s="89">
        <v>12416000000</v>
      </c>
      <c r="G385" s="89">
        <v>7440200000</v>
      </c>
      <c r="H385" s="89">
        <v>2508600000</v>
      </c>
      <c r="I385" s="89">
        <v>0</v>
      </c>
      <c r="J385" s="89">
        <v>325200000</v>
      </c>
      <c r="K385" s="87" t="s">
        <v>28</v>
      </c>
      <c r="L385" s="87" t="s">
        <v>182</v>
      </c>
      <c r="M385" s="90">
        <f t="shared" si="33"/>
        <v>4975800000</v>
      </c>
      <c r="N385" s="89">
        <f t="shared" si="34"/>
        <v>2833800000</v>
      </c>
      <c r="O385" s="89">
        <f t="shared" si="35"/>
        <v>2142000000</v>
      </c>
      <c r="P385" s="87">
        <f t="shared" si="31"/>
        <v>0.17251932989690721</v>
      </c>
      <c r="Q385" s="87">
        <f t="shared" si="32"/>
        <v>0.40075708762886597</v>
      </c>
    </row>
    <row r="386" spans="1:17">
      <c r="A386" s="83">
        <v>412</v>
      </c>
      <c r="B386" s="83" t="s">
        <v>191</v>
      </c>
      <c r="C386" s="83" t="s">
        <v>18</v>
      </c>
      <c r="D386" s="84">
        <v>41658</v>
      </c>
      <c r="E386" s="85">
        <f t="shared" si="36"/>
        <v>2014</v>
      </c>
      <c r="F386" s="86">
        <v>2918434000</v>
      </c>
      <c r="G386" s="86">
        <v>502795000</v>
      </c>
      <c r="H386" s="86">
        <v>1476916000</v>
      </c>
      <c r="I386" s="86">
        <v>516338000</v>
      </c>
      <c r="J386" s="86">
        <v>41668000</v>
      </c>
      <c r="K386" s="83" t="s">
        <v>28</v>
      </c>
      <c r="L386" s="83" t="s">
        <v>63</v>
      </c>
      <c r="M386" s="91">
        <f t="shared" si="33"/>
        <v>2415639000</v>
      </c>
      <c r="N386" s="86">
        <f t="shared" si="34"/>
        <v>2034922000</v>
      </c>
      <c r="O386" s="86">
        <f t="shared" si="35"/>
        <v>380717000</v>
      </c>
      <c r="P386" s="83">
        <f t="shared" ref="P386:P449" si="37">O386/F386</f>
        <v>0.13045249609893525</v>
      </c>
      <c r="Q386" s="83">
        <f t="shared" ref="Q386:Q449" si="38">1-G386/F386</f>
        <v>0.82771753618550226</v>
      </c>
    </row>
    <row r="387" spans="1:17">
      <c r="A387" s="87">
        <v>413</v>
      </c>
      <c r="B387" s="87" t="s">
        <v>191</v>
      </c>
      <c r="C387" s="87" t="s">
        <v>21</v>
      </c>
      <c r="D387" s="84">
        <v>41659</v>
      </c>
      <c r="E387" s="88">
        <f t="shared" si="36"/>
        <v>2014</v>
      </c>
      <c r="F387" s="89">
        <v>3142856000</v>
      </c>
      <c r="G387" s="89">
        <v>620219000</v>
      </c>
      <c r="H387" s="89">
        <v>1600187000</v>
      </c>
      <c r="I387" s="89">
        <v>553817000</v>
      </c>
      <c r="J387" s="89">
        <v>39577000</v>
      </c>
      <c r="K387" s="87" t="s">
        <v>28</v>
      </c>
      <c r="L387" s="87" t="s">
        <v>63</v>
      </c>
      <c r="M387" s="90">
        <f t="shared" ref="M387:M450" si="39">F387-G387</f>
        <v>2522637000</v>
      </c>
      <c r="N387" s="89">
        <f t="shared" ref="N387:N450" si="40">H387+I387+J387</f>
        <v>2193581000</v>
      </c>
      <c r="O387" s="89">
        <f t="shared" ref="O387:O450" si="41">M387-N387</f>
        <v>329056000</v>
      </c>
      <c r="P387" s="87">
        <f t="shared" si="37"/>
        <v>0.10469967443624525</v>
      </c>
      <c r="Q387" s="87">
        <f t="shared" si="38"/>
        <v>0.80265751914818884</v>
      </c>
    </row>
    <row r="388" spans="1:17">
      <c r="A388" s="83">
        <v>414</v>
      </c>
      <c r="B388" s="83" t="s">
        <v>191</v>
      </c>
      <c r="C388" s="83" t="s">
        <v>22</v>
      </c>
      <c r="D388" s="84">
        <v>41660</v>
      </c>
      <c r="E388" s="85">
        <f t="shared" si="36"/>
        <v>2014</v>
      </c>
      <c r="F388" s="86">
        <v>3275594000</v>
      </c>
      <c r="G388" s="86">
        <v>614364000</v>
      </c>
      <c r="H388" s="86">
        <v>1538027000</v>
      </c>
      <c r="I388" s="86">
        <v>563975000</v>
      </c>
      <c r="J388" s="86">
        <v>41595000</v>
      </c>
      <c r="K388" s="83" t="s">
        <v>28</v>
      </c>
      <c r="L388" s="83" t="s">
        <v>63</v>
      </c>
      <c r="M388" s="91">
        <f t="shared" si="39"/>
        <v>2661230000</v>
      </c>
      <c r="N388" s="86">
        <f t="shared" si="40"/>
        <v>2143597000</v>
      </c>
      <c r="O388" s="86">
        <f t="shared" si="41"/>
        <v>517633000</v>
      </c>
      <c r="P388" s="83">
        <f t="shared" si="37"/>
        <v>0.1580272158271141</v>
      </c>
      <c r="Q388" s="83">
        <f t="shared" si="38"/>
        <v>0.81244195709236244</v>
      </c>
    </row>
    <row r="389" spans="1:17">
      <c r="A389" s="87">
        <v>415</v>
      </c>
      <c r="B389" s="87" t="s">
        <v>191</v>
      </c>
      <c r="C389" s="87" t="s">
        <v>23</v>
      </c>
      <c r="D389" s="84">
        <v>41661</v>
      </c>
      <c r="E389" s="88">
        <f t="shared" si="36"/>
        <v>2014</v>
      </c>
      <c r="F389" s="89">
        <v>3418265000</v>
      </c>
      <c r="G389" s="89">
        <v>559541000</v>
      </c>
      <c r="H389" s="89">
        <v>1620006000</v>
      </c>
      <c r="I389" s="89">
        <v>489265000</v>
      </c>
      <c r="J389" s="89">
        <v>29173000</v>
      </c>
      <c r="K389" s="87" t="s">
        <v>28</v>
      </c>
      <c r="L389" s="87" t="s">
        <v>63</v>
      </c>
      <c r="M389" s="90">
        <f t="shared" si="39"/>
        <v>2858724000</v>
      </c>
      <c r="N389" s="89">
        <f t="shared" si="40"/>
        <v>2138444000</v>
      </c>
      <c r="O389" s="89">
        <f t="shared" si="41"/>
        <v>720280000</v>
      </c>
      <c r="P389" s="87">
        <f t="shared" si="37"/>
        <v>0.21071508499194766</v>
      </c>
      <c r="Q389" s="87">
        <f t="shared" si="38"/>
        <v>0.83630847813144971</v>
      </c>
    </row>
    <row r="390" spans="1:17">
      <c r="A390" s="83">
        <v>416</v>
      </c>
      <c r="B390" s="83" t="s">
        <v>192</v>
      </c>
      <c r="C390" s="83" t="s">
        <v>18</v>
      </c>
      <c r="D390" s="84">
        <v>41662</v>
      </c>
      <c r="E390" s="85">
        <f t="shared" si="36"/>
        <v>2014</v>
      </c>
      <c r="F390" s="86">
        <v>126761000000</v>
      </c>
      <c r="G390" s="86">
        <v>102978000000</v>
      </c>
      <c r="H390" s="86">
        <v>0</v>
      </c>
      <c r="I390" s="86">
        <v>0</v>
      </c>
      <c r="J390" s="86">
        <v>0</v>
      </c>
      <c r="K390" s="83" t="s">
        <v>42</v>
      </c>
      <c r="L390" s="83" t="s">
        <v>193</v>
      </c>
      <c r="M390" s="91">
        <f t="shared" si="39"/>
        <v>23783000000</v>
      </c>
      <c r="N390" s="86">
        <f t="shared" si="40"/>
        <v>0</v>
      </c>
      <c r="O390" s="86">
        <f t="shared" si="41"/>
        <v>23783000000</v>
      </c>
      <c r="P390" s="83">
        <f t="shared" si="37"/>
        <v>0.18762079819502844</v>
      </c>
      <c r="Q390" s="83">
        <f t="shared" si="38"/>
        <v>0.18762079819502842</v>
      </c>
    </row>
    <row r="391" spans="1:17">
      <c r="A391" s="87">
        <v>417</v>
      </c>
      <c r="B391" s="87" t="s">
        <v>192</v>
      </c>
      <c r="C391" s="87" t="s">
        <v>21</v>
      </c>
      <c r="D391" s="84">
        <v>41663</v>
      </c>
      <c r="E391" s="88">
        <f t="shared" si="36"/>
        <v>2014</v>
      </c>
      <c r="F391" s="89">
        <v>139367000000</v>
      </c>
      <c r="G391" s="89">
        <v>114000000000</v>
      </c>
      <c r="H391" s="89">
        <v>0</v>
      </c>
      <c r="I391" s="89">
        <v>0</v>
      </c>
      <c r="J391" s="89">
        <v>0</v>
      </c>
      <c r="K391" s="87" t="s">
        <v>42</v>
      </c>
      <c r="L391" s="87" t="s">
        <v>193</v>
      </c>
      <c r="M391" s="90">
        <f t="shared" si="39"/>
        <v>25367000000</v>
      </c>
      <c r="N391" s="89">
        <f t="shared" si="40"/>
        <v>0</v>
      </c>
      <c r="O391" s="89">
        <f t="shared" si="41"/>
        <v>25367000000</v>
      </c>
      <c r="P391" s="87">
        <f t="shared" si="37"/>
        <v>0.18201582871124442</v>
      </c>
      <c r="Q391" s="87">
        <f t="shared" si="38"/>
        <v>0.18201582871124444</v>
      </c>
    </row>
    <row r="392" spans="1:17">
      <c r="A392" s="83">
        <v>418</v>
      </c>
      <c r="B392" s="83" t="s">
        <v>192</v>
      </c>
      <c r="C392" s="83" t="s">
        <v>22</v>
      </c>
      <c r="D392" s="84">
        <v>41664</v>
      </c>
      <c r="E392" s="85">
        <f t="shared" si="36"/>
        <v>2014</v>
      </c>
      <c r="F392" s="86">
        <v>153290000000</v>
      </c>
      <c r="G392" s="86">
        <v>126762000000</v>
      </c>
      <c r="H392" s="86">
        <v>0</v>
      </c>
      <c r="I392" s="86">
        <v>0</v>
      </c>
      <c r="J392" s="86">
        <v>0</v>
      </c>
      <c r="K392" s="83" t="s">
        <v>42</v>
      </c>
      <c r="L392" s="83" t="s">
        <v>193</v>
      </c>
      <c r="M392" s="91">
        <f t="shared" si="39"/>
        <v>26528000000</v>
      </c>
      <c r="N392" s="86">
        <f t="shared" si="40"/>
        <v>0</v>
      </c>
      <c r="O392" s="86">
        <f t="shared" si="41"/>
        <v>26528000000</v>
      </c>
      <c r="P392" s="83">
        <f t="shared" si="37"/>
        <v>0.17305760323569705</v>
      </c>
      <c r="Q392" s="83">
        <f t="shared" si="38"/>
        <v>0.17305760323569708</v>
      </c>
    </row>
    <row r="393" spans="1:17">
      <c r="A393" s="87">
        <v>419</v>
      </c>
      <c r="B393" s="87" t="s">
        <v>192</v>
      </c>
      <c r="C393" s="87" t="s">
        <v>23</v>
      </c>
      <c r="D393" s="84">
        <v>41665</v>
      </c>
      <c r="E393" s="88">
        <f t="shared" si="36"/>
        <v>2014</v>
      </c>
      <c r="F393" s="89">
        <v>177526000000</v>
      </c>
      <c r="G393" s="89">
        <v>148669000000</v>
      </c>
      <c r="H393" s="89">
        <v>0</v>
      </c>
      <c r="I393" s="89">
        <v>0</v>
      </c>
      <c r="J393" s="89">
        <v>0</v>
      </c>
      <c r="K393" s="87" t="s">
        <v>42</v>
      </c>
      <c r="L393" s="87" t="s">
        <v>193</v>
      </c>
      <c r="M393" s="90">
        <f t="shared" si="39"/>
        <v>28857000000</v>
      </c>
      <c r="N393" s="89">
        <f t="shared" si="40"/>
        <v>0</v>
      </c>
      <c r="O393" s="89">
        <f t="shared" si="41"/>
        <v>28857000000</v>
      </c>
      <c r="P393" s="87">
        <f t="shared" si="37"/>
        <v>0.16255083762378469</v>
      </c>
      <c r="Q393" s="87">
        <f t="shared" si="38"/>
        <v>0.16255083762378464</v>
      </c>
    </row>
    <row r="394" spans="1:17">
      <c r="A394" s="83">
        <v>420</v>
      </c>
      <c r="B394" s="83" t="s">
        <v>194</v>
      </c>
      <c r="C394" s="83" t="s">
        <v>18</v>
      </c>
      <c r="D394" s="84">
        <v>41666</v>
      </c>
      <c r="E394" s="85">
        <f t="shared" si="36"/>
        <v>2014</v>
      </c>
      <c r="F394" s="86">
        <v>230590000000</v>
      </c>
      <c r="G394" s="86">
        <v>163336000000</v>
      </c>
      <c r="H394" s="86">
        <v>17100000000</v>
      </c>
      <c r="I394" s="86">
        <v>0</v>
      </c>
      <c r="J394" s="86">
        <v>13413000000</v>
      </c>
      <c r="K394" s="83" t="s">
        <v>89</v>
      </c>
      <c r="L394" s="83" t="s">
        <v>150</v>
      </c>
      <c r="M394" s="91">
        <f t="shared" si="39"/>
        <v>67254000000</v>
      </c>
      <c r="N394" s="86">
        <f t="shared" si="40"/>
        <v>30513000000</v>
      </c>
      <c r="O394" s="86">
        <f t="shared" si="41"/>
        <v>36741000000</v>
      </c>
      <c r="P394" s="83">
        <f t="shared" si="37"/>
        <v>0.15933474998915825</v>
      </c>
      <c r="Q394" s="83">
        <f t="shared" si="38"/>
        <v>0.29166052300620149</v>
      </c>
    </row>
    <row r="395" spans="1:17">
      <c r="A395" s="87">
        <v>421</v>
      </c>
      <c r="B395" s="87" t="s">
        <v>194</v>
      </c>
      <c r="C395" s="87" t="s">
        <v>21</v>
      </c>
      <c r="D395" s="84">
        <v>41667</v>
      </c>
      <c r="E395" s="88">
        <f t="shared" si="36"/>
        <v>2014</v>
      </c>
      <c r="F395" s="89">
        <v>220156000000</v>
      </c>
      <c r="G395" s="89">
        <v>159323000000</v>
      </c>
      <c r="H395" s="89">
        <v>17573000000</v>
      </c>
      <c r="I395" s="89">
        <v>0</v>
      </c>
      <c r="J395" s="89">
        <v>14186000000</v>
      </c>
      <c r="K395" s="87" t="s">
        <v>89</v>
      </c>
      <c r="L395" s="87" t="s">
        <v>150</v>
      </c>
      <c r="M395" s="90">
        <f t="shared" si="39"/>
        <v>60833000000</v>
      </c>
      <c r="N395" s="89">
        <f t="shared" si="40"/>
        <v>31759000000</v>
      </c>
      <c r="O395" s="89">
        <f t="shared" si="41"/>
        <v>29074000000</v>
      </c>
      <c r="P395" s="87">
        <f t="shared" si="37"/>
        <v>0.13206090226929995</v>
      </c>
      <c r="Q395" s="87">
        <f t="shared" si="38"/>
        <v>0.2763177019931321</v>
      </c>
    </row>
    <row r="396" spans="1:17">
      <c r="A396" s="83">
        <v>422</v>
      </c>
      <c r="B396" s="83" t="s">
        <v>194</v>
      </c>
      <c r="C396" s="83" t="s">
        <v>22</v>
      </c>
      <c r="D396" s="84">
        <v>41668</v>
      </c>
      <c r="E396" s="85">
        <f t="shared" si="36"/>
        <v>2014</v>
      </c>
      <c r="F396" s="86">
        <v>200494000000</v>
      </c>
      <c r="G396" s="86">
        <v>144956000000</v>
      </c>
      <c r="H396" s="86">
        <v>17034000000</v>
      </c>
      <c r="I396" s="86">
        <v>0</v>
      </c>
      <c r="J396" s="86">
        <v>16793000000</v>
      </c>
      <c r="K396" s="83" t="s">
        <v>89</v>
      </c>
      <c r="L396" s="83" t="s">
        <v>150</v>
      </c>
      <c r="M396" s="91">
        <f t="shared" si="39"/>
        <v>55538000000</v>
      </c>
      <c r="N396" s="86">
        <f t="shared" si="40"/>
        <v>33827000000</v>
      </c>
      <c r="O396" s="86">
        <f t="shared" si="41"/>
        <v>21711000000</v>
      </c>
      <c r="P396" s="83">
        <f t="shared" si="37"/>
        <v>0.10828752980139056</v>
      </c>
      <c r="Q396" s="83">
        <f t="shared" si="38"/>
        <v>0.27700579568465888</v>
      </c>
    </row>
    <row r="397" spans="1:17">
      <c r="A397" s="87">
        <v>423</v>
      </c>
      <c r="B397" s="87" t="s">
        <v>194</v>
      </c>
      <c r="C397" s="87" t="s">
        <v>23</v>
      </c>
      <c r="D397" s="84">
        <v>41669</v>
      </c>
      <c r="E397" s="88">
        <f t="shared" si="36"/>
        <v>2014</v>
      </c>
      <c r="F397" s="89">
        <v>129925000000</v>
      </c>
      <c r="G397" s="89">
        <v>92785000000</v>
      </c>
      <c r="H397" s="89">
        <v>16473000000</v>
      </c>
      <c r="I397" s="89">
        <v>0</v>
      </c>
      <c r="J397" s="89">
        <v>21037000000</v>
      </c>
      <c r="K397" s="87" t="s">
        <v>89</v>
      </c>
      <c r="L397" s="87" t="s">
        <v>150</v>
      </c>
      <c r="M397" s="90">
        <f t="shared" si="39"/>
        <v>37140000000</v>
      </c>
      <c r="N397" s="89">
        <f t="shared" si="40"/>
        <v>37510000000</v>
      </c>
      <c r="O397" s="89">
        <f t="shared" si="41"/>
        <v>-370000000</v>
      </c>
      <c r="P397" s="87">
        <f t="shared" si="37"/>
        <v>-2.8477968058495287E-3</v>
      </c>
      <c r="Q397" s="87">
        <f t="shared" si="38"/>
        <v>0.28585722532230129</v>
      </c>
    </row>
    <row r="398" spans="1:17">
      <c r="A398" s="83">
        <v>424</v>
      </c>
      <c r="B398" s="83" t="s">
        <v>195</v>
      </c>
      <c r="C398" s="83" t="s">
        <v>18</v>
      </c>
      <c r="D398" s="84">
        <v>41670</v>
      </c>
      <c r="E398" s="85">
        <f t="shared" si="36"/>
        <v>2014</v>
      </c>
      <c r="F398" s="86">
        <v>1819814000</v>
      </c>
      <c r="G398" s="86">
        <v>343743000</v>
      </c>
      <c r="H398" s="86">
        <v>133796000</v>
      </c>
      <c r="I398" s="86">
        <v>0</v>
      </c>
      <c r="J398" s="86">
        <v>579315000</v>
      </c>
      <c r="K398" s="83" t="s">
        <v>89</v>
      </c>
      <c r="L398" s="83" t="s">
        <v>90</v>
      </c>
      <c r="M398" s="91">
        <f t="shared" si="39"/>
        <v>1476071000</v>
      </c>
      <c r="N398" s="86">
        <f t="shared" si="40"/>
        <v>713111000</v>
      </c>
      <c r="O398" s="86">
        <f t="shared" si="41"/>
        <v>762960000</v>
      </c>
      <c r="P398" s="83">
        <f t="shared" si="37"/>
        <v>0.41925163780474267</v>
      </c>
      <c r="Q398" s="83">
        <f t="shared" si="38"/>
        <v>0.81111091573094829</v>
      </c>
    </row>
    <row r="399" spans="1:17">
      <c r="A399" s="87">
        <v>425</v>
      </c>
      <c r="B399" s="87" t="s">
        <v>195</v>
      </c>
      <c r="C399" s="87" t="s">
        <v>21</v>
      </c>
      <c r="D399" s="84">
        <v>41671</v>
      </c>
      <c r="E399" s="85">
        <f t="shared" si="36"/>
        <v>2014</v>
      </c>
      <c r="F399" s="89">
        <v>2319919000</v>
      </c>
      <c r="G399" s="89">
        <v>455436000</v>
      </c>
      <c r="H399" s="89">
        <v>169815000</v>
      </c>
      <c r="I399" s="89">
        <v>0</v>
      </c>
      <c r="J399" s="89">
        <v>778655000</v>
      </c>
      <c r="K399" s="87" t="s">
        <v>89</v>
      </c>
      <c r="L399" s="87" t="s">
        <v>90</v>
      </c>
      <c r="M399" s="90">
        <f t="shared" si="39"/>
        <v>1864483000</v>
      </c>
      <c r="N399" s="89">
        <f t="shared" si="40"/>
        <v>948470000</v>
      </c>
      <c r="O399" s="89">
        <f t="shared" si="41"/>
        <v>916013000</v>
      </c>
      <c r="P399" s="87">
        <f t="shared" si="37"/>
        <v>0.39484697526077417</v>
      </c>
      <c r="Q399" s="87">
        <f t="shared" si="38"/>
        <v>0.80368452519247435</v>
      </c>
    </row>
    <row r="400" spans="1:17">
      <c r="A400" s="83">
        <v>426</v>
      </c>
      <c r="B400" s="83" t="s">
        <v>195</v>
      </c>
      <c r="C400" s="83" t="s">
        <v>22</v>
      </c>
      <c r="D400" s="84">
        <v>41672</v>
      </c>
      <c r="E400" s="85">
        <f t="shared" si="36"/>
        <v>2014</v>
      </c>
      <c r="F400" s="86">
        <v>2660147000</v>
      </c>
      <c r="G400" s="86">
        <v>538374000</v>
      </c>
      <c r="H400" s="86">
        <v>204161000</v>
      </c>
      <c r="I400" s="86">
        <v>0</v>
      </c>
      <c r="J400" s="86">
        <v>986812000</v>
      </c>
      <c r="K400" s="83" t="s">
        <v>89</v>
      </c>
      <c r="L400" s="83" t="s">
        <v>90</v>
      </c>
      <c r="M400" s="91">
        <f t="shared" si="39"/>
        <v>2121773000</v>
      </c>
      <c r="N400" s="86">
        <f t="shared" si="40"/>
        <v>1190973000</v>
      </c>
      <c r="O400" s="86">
        <f t="shared" si="41"/>
        <v>930800000</v>
      </c>
      <c r="P400" s="83">
        <f t="shared" si="37"/>
        <v>0.3499054751485538</v>
      </c>
      <c r="Q400" s="83">
        <f t="shared" si="38"/>
        <v>0.79761494383581055</v>
      </c>
    </row>
    <row r="401" spans="1:17">
      <c r="A401" s="87">
        <v>427</v>
      </c>
      <c r="B401" s="87" t="s">
        <v>195</v>
      </c>
      <c r="C401" s="87" t="s">
        <v>23</v>
      </c>
      <c r="D401" s="84">
        <v>41673</v>
      </c>
      <c r="E401" s="85">
        <f t="shared" si="36"/>
        <v>2014</v>
      </c>
      <c r="F401" s="89">
        <v>1803573000</v>
      </c>
      <c r="G401" s="89">
        <v>541359000</v>
      </c>
      <c r="H401" s="89">
        <v>230734000</v>
      </c>
      <c r="I401" s="89">
        <v>0</v>
      </c>
      <c r="J401" s="89">
        <v>1230853000</v>
      </c>
      <c r="K401" s="87" t="s">
        <v>89</v>
      </c>
      <c r="L401" s="87" t="s">
        <v>90</v>
      </c>
      <c r="M401" s="90">
        <f t="shared" si="39"/>
        <v>1262214000</v>
      </c>
      <c r="N401" s="89">
        <f t="shared" si="40"/>
        <v>1461587000</v>
      </c>
      <c r="O401" s="89">
        <f t="shared" si="41"/>
        <v>-199373000</v>
      </c>
      <c r="P401" s="87">
        <f t="shared" si="37"/>
        <v>-0.11054334922955711</v>
      </c>
      <c r="Q401" s="87">
        <f t="shared" si="38"/>
        <v>0.69984081598027914</v>
      </c>
    </row>
    <row r="402" spans="1:17">
      <c r="A402" s="83">
        <v>428</v>
      </c>
      <c r="B402" s="83" t="s">
        <v>196</v>
      </c>
      <c r="C402" s="83" t="s">
        <v>18</v>
      </c>
      <c r="D402" s="84">
        <v>41674</v>
      </c>
      <c r="E402" s="85">
        <f t="shared" si="36"/>
        <v>2014</v>
      </c>
      <c r="F402" s="86">
        <v>12835000000</v>
      </c>
      <c r="G402" s="86">
        <v>8300000000</v>
      </c>
      <c r="H402" s="86">
        <v>550000000</v>
      </c>
      <c r="I402" s="86">
        <v>0</v>
      </c>
      <c r="J402" s="86">
        <v>1127000000</v>
      </c>
      <c r="K402" s="83" t="s">
        <v>48</v>
      </c>
      <c r="L402" s="83" t="s">
        <v>51</v>
      </c>
      <c r="M402" s="91">
        <f t="shared" si="39"/>
        <v>4535000000</v>
      </c>
      <c r="N402" s="86">
        <f t="shared" si="40"/>
        <v>1677000000</v>
      </c>
      <c r="O402" s="86">
        <f t="shared" si="41"/>
        <v>2858000000</v>
      </c>
      <c r="P402" s="83">
        <f t="shared" si="37"/>
        <v>0.22267238021036229</v>
      </c>
      <c r="Q402" s="83">
        <f t="shared" si="38"/>
        <v>0.35333073626801714</v>
      </c>
    </row>
    <row r="403" spans="1:17">
      <c r="A403" s="87">
        <v>429</v>
      </c>
      <c r="B403" s="87" t="s">
        <v>196</v>
      </c>
      <c r="C403" s="87" t="s">
        <v>21</v>
      </c>
      <c r="D403" s="84">
        <v>41675</v>
      </c>
      <c r="E403" s="88">
        <f t="shared" si="36"/>
        <v>2014</v>
      </c>
      <c r="F403" s="89">
        <v>13120000000</v>
      </c>
      <c r="G403" s="89">
        <v>8033000000</v>
      </c>
      <c r="H403" s="89">
        <v>563000000</v>
      </c>
      <c r="I403" s="89">
        <v>0</v>
      </c>
      <c r="J403" s="89">
        <v>1208000000</v>
      </c>
      <c r="K403" s="87" t="s">
        <v>48</v>
      </c>
      <c r="L403" s="87" t="s">
        <v>51</v>
      </c>
      <c r="M403" s="90">
        <f t="shared" si="39"/>
        <v>5087000000</v>
      </c>
      <c r="N403" s="89">
        <f t="shared" si="40"/>
        <v>1771000000</v>
      </c>
      <c r="O403" s="89">
        <f t="shared" si="41"/>
        <v>3316000000</v>
      </c>
      <c r="P403" s="87">
        <f t="shared" si="37"/>
        <v>0.25274390243902439</v>
      </c>
      <c r="Q403" s="87">
        <f t="shared" si="38"/>
        <v>0.38772865853658534</v>
      </c>
    </row>
    <row r="404" spans="1:17">
      <c r="A404" s="83">
        <v>430</v>
      </c>
      <c r="B404" s="83" t="s">
        <v>196</v>
      </c>
      <c r="C404" s="83" t="s">
        <v>22</v>
      </c>
      <c r="D404" s="84">
        <v>41676</v>
      </c>
      <c r="E404" s="85">
        <f t="shared" si="36"/>
        <v>2014</v>
      </c>
      <c r="F404" s="86">
        <v>12436000000</v>
      </c>
      <c r="G404" s="86">
        <v>7881000000</v>
      </c>
      <c r="H404" s="86">
        <v>542000000</v>
      </c>
      <c r="I404" s="86">
        <v>0</v>
      </c>
      <c r="J404" s="86">
        <v>1292000000</v>
      </c>
      <c r="K404" s="83" t="s">
        <v>48</v>
      </c>
      <c r="L404" s="83" t="s">
        <v>51</v>
      </c>
      <c r="M404" s="91">
        <f t="shared" si="39"/>
        <v>4555000000</v>
      </c>
      <c r="N404" s="86">
        <f t="shared" si="40"/>
        <v>1834000000</v>
      </c>
      <c r="O404" s="86">
        <f t="shared" si="41"/>
        <v>2721000000</v>
      </c>
      <c r="P404" s="83">
        <f t="shared" si="37"/>
        <v>0.21880025731746541</v>
      </c>
      <c r="Q404" s="83">
        <f t="shared" si="38"/>
        <v>0.36627532968800258</v>
      </c>
    </row>
    <row r="405" spans="1:17">
      <c r="A405" s="87">
        <v>431</v>
      </c>
      <c r="B405" s="87" t="s">
        <v>196</v>
      </c>
      <c r="C405" s="87" t="s">
        <v>23</v>
      </c>
      <c r="D405" s="84">
        <v>41677</v>
      </c>
      <c r="E405" s="88">
        <f t="shared" si="36"/>
        <v>2014</v>
      </c>
      <c r="F405" s="89">
        <v>11683000000</v>
      </c>
      <c r="G405" s="89">
        <v>6201000000</v>
      </c>
      <c r="H405" s="89">
        <v>551000000</v>
      </c>
      <c r="I405" s="89">
        <v>0</v>
      </c>
      <c r="J405" s="89">
        <v>1395000000</v>
      </c>
      <c r="K405" s="87" t="s">
        <v>48</v>
      </c>
      <c r="L405" s="87" t="s">
        <v>51</v>
      </c>
      <c r="M405" s="90">
        <f t="shared" si="39"/>
        <v>5482000000</v>
      </c>
      <c r="N405" s="89">
        <f t="shared" si="40"/>
        <v>1946000000</v>
      </c>
      <c r="O405" s="89">
        <f t="shared" si="41"/>
        <v>3536000000</v>
      </c>
      <c r="P405" s="87">
        <f t="shared" si="37"/>
        <v>0.30266198750320977</v>
      </c>
      <c r="Q405" s="87">
        <f t="shared" si="38"/>
        <v>0.46922879397415052</v>
      </c>
    </row>
    <row r="406" spans="1:17">
      <c r="A406" s="83">
        <v>432</v>
      </c>
      <c r="B406" s="83" t="s">
        <v>197</v>
      </c>
      <c r="C406" s="83" t="s">
        <v>18</v>
      </c>
      <c r="D406" s="84">
        <v>41678</v>
      </c>
      <c r="E406" s="85">
        <f t="shared" si="36"/>
        <v>2014</v>
      </c>
      <c r="F406" s="86">
        <v>37773000000</v>
      </c>
      <c r="G406" s="86">
        <v>20964000000</v>
      </c>
      <c r="H406" s="86">
        <v>11349000000</v>
      </c>
      <c r="I406" s="86">
        <v>0</v>
      </c>
      <c r="J406" s="86">
        <v>1658000000</v>
      </c>
      <c r="K406" s="83" t="s">
        <v>19</v>
      </c>
      <c r="L406" s="83" t="s">
        <v>20</v>
      </c>
      <c r="M406" s="91">
        <f t="shared" si="39"/>
        <v>16809000000</v>
      </c>
      <c r="N406" s="86">
        <f t="shared" si="40"/>
        <v>13007000000</v>
      </c>
      <c r="O406" s="86">
        <f t="shared" si="41"/>
        <v>3802000000</v>
      </c>
      <c r="P406" s="83">
        <f t="shared" si="37"/>
        <v>0.10065390622931723</v>
      </c>
      <c r="Q406" s="83">
        <f t="shared" si="38"/>
        <v>0.44500039710904615</v>
      </c>
    </row>
    <row r="407" spans="1:17">
      <c r="A407" s="87">
        <v>433</v>
      </c>
      <c r="B407" s="87" t="s">
        <v>197</v>
      </c>
      <c r="C407" s="87" t="s">
        <v>21</v>
      </c>
      <c r="D407" s="84">
        <v>41679</v>
      </c>
      <c r="E407" s="88">
        <f t="shared" si="36"/>
        <v>2014</v>
      </c>
      <c r="F407" s="89">
        <v>40362000000</v>
      </c>
      <c r="G407" s="89">
        <v>22967000000</v>
      </c>
      <c r="H407" s="89">
        <v>12702000000</v>
      </c>
      <c r="I407" s="89">
        <v>0</v>
      </c>
      <c r="J407" s="89">
        <v>1771000000</v>
      </c>
      <c r="K407" s="87" t="s">
        <v>19</v>
      </c>
      <c r="L407" s="87" t="s">
        <v>20</v>
      </c>
      <c r="M407" s="90">
        <f t="shared" si="39"/>
        <v>17395000000</v>
      </c>
      <c r="N407" s="89">
        <f t="shared" si="40"/>
        <v>14473000000</v>
      </c>
      <c r="O407" s="89">
        <f t="shared" si="41"/>
        <v>2922000000</v>
      </c>
      <c r="P407" s="87">
        <f t="shared" si="37"/>
        <v>7.2394826817303401E-2</v>
      </c>
      <c r="Q407" s="87">
        <f t="shared" si="38"/>
        <v>0.43097467915365939</v>
      </c>
    </row>
    <row r="408" spans="1:17">
      <c r="A408" s="83">
        <v>434</v>
      </c>
      <c r="B408" s="83" t="s">
        <v>197</v>
      </c>
      <c r="C408" s="83" t="s">
        <v>22</v>
      </c>
      <c r="D408" s="84">
        <v>41680</v>
      </c>
      <c r="E408" s="85">
        <f t="shared" si="36"/>
        <v>2014</v>
      </c>
      <c r="F408" s="86">
        <v>40704000000</v>
      </c>
      <c r="G408" s="86">
        <v>17096000000</v>
      </c>
      <c r="H408" s="86">
        <v>13936000000</v>
      </c>
      <c r="I408" s="86">
        <v>0</v>
      </c>
      <c r="J408" s="86">
        <v>1835000000</v>
      </c>
      <c r="K408" s="83" t="s">
        <v>19</v>
      </c>
      <c r="L408" s="83" t="s">
        <v>20</v>
      </c>
      <c r="M408" s="91">
        <f t="shared" si="39"/>
        <v>23608000000</v>
      </c>
      <c r="N408" s="86">
        <f t="shared" si="40"/>
        <v>15771000000</v>
      </c>
      <c r="O408" s="86">
        <f t="shared" si="41"/>
        <v>7837000000</v>
      </c>
      <c r="P408" s="83">
        <f t="shared" si="37"/>
        <v>0.19253636006289307</v>
      </c>
      <c r="Q408" s="83">
        <f t="shared" si="38"/>
        <v>0.57999213836477992</v>
      </c>
    </row>
    <row r="409" spans="1:17">
      <c r="A409" s="87">
        <v>435</v>
      </c>
      <c r="B409" s="87" t="s">
        <v>197</v>
      </c>
      <c r="C409" s="87" t="s">
        <v>23</v>
      </c>
      <c r="D409" s="84">
        <v>41681</v>
      </c>
      <c r="E409" s="88">
        <f t="shared" si="36"/>
        <v>2014</v>
      </c>
      <c r="F409" s="89">
        <v>39639000000</v>
      </c>
      <c r="G409" s="89">
        <v>15940000000</v>
      </c>
      <c r="H409" s="89">
        <v>14845000000</v>
      </c>
      <c r="I409" s="89">
        <v>0</v>
      </c>
      <c r="J409" s="89">
        <v>1902000000</v>
      </c>
      <c r="K409" s="87" t="s">
        <v>19</v>
      </c>
      <c r="L409" s="87" t="s">
        <v>20</v>
      </c>
      <c r="M409" s="90">
        <f t="shared" si="39"/>
        <v>23699000000</v>
      </c>
      <c r="N409" s="89">
        <f t="shared" si="40"/>
        <v>16747000000</v>
      </c>
      <c r="O409" s="89">
        <f t="shared" si="41"/>
        <v>6952000000</v>
      </c>
      <c r="P409" s="87">
        <f t="shared" si="37"/>
        <v>0.17538283004112112</v>
      </c>
      <c r="Q409" s="87">
        <f t="shared" si="38"/>
        <v>0.59787078382401171</v>
      </c>
    </row>
    <row r="410" spans="1:17">
      <c r="A410" s="83">
        <v>436</v>
      </c>
      <c r="B410" s="83" t="s">
        <v>198</v>
      </c>
      <c r="C410" s="83" t="s">
        <v>18</v>
      </c>
      <c r="D410" s="84">
        <v>41682</v>
      </c>
      <c r="E410" s="85">
        <f t="shared" si="36"/>
        <v>2014</v>
      </c>
      <c r="F410" s="86">
        <v>28998000000</v>
      </c>
      <c r="G410" s="86">
        <v>17642000000</v>
      </c>
      <c r="H410" s="86">
        <v>6564000000</v>
      </c>
      <c r="I410" s="86">
        <v>2037000000</v>
      </c>
      <c r="J410" s="86">
        <v>0</v>
      </c>
      <c r="K410" s="83" t="s">
        <v>65</v>
      </c>
      <c r="L410" s="83" t="s">
        <v>199</v>
      </c>
      <c r="M410" s="91">
        <f t="shared" si="39"/>
        <v>11356000000</v>
      </c>
      <c r="N410" s="86">
        <f t="shared" si="40"/>
        <v>8601000000</v>
      </c>
      <c r="O410" s="86">
        <f t="shared" si="41"/>
        <v>2755000000</v>
      </c>
      <c r="P410" s="83">
        <f t="shared" si="37"/>
        <v>9.5006552176012143E-2</v>
      </c>
      <c r="Q410" s="83">
        <f t="shared" si="38"/>
        <v>0.39161321470446242</v>
      </c>
    </row>
    <row r="411" spans="1:17">
      <c r="A411" s="87">
        <v>437</v>
      </c>
      <c r="B411" s="87" t="s">
        <v>198</v>
      </c>
      <c r="C411" s="87" t="s">
        <v>21</v>
      </c>
      <c r="D411" s="84">
        <v>41683</v>
      </c>
      <c r="E411" s="88">
        <f t="shared" si="36"/>
        <v>2014</v>
      </c>
      <c r="F411" s="89">
        <v>28406000000</v>
      </c>
      <c r="G411" s="89">
        <v>17023000000</v>
      </c>
      <c r="H411" s="89">
        <v>5536000000</v>
      </c>
      <c r="I411" s="89">
        <v>1958000000</v>
      </c>
      <c r="J411" s="89">
        <v>0</v>
      </c>
      <c r="K411" s="87" t="s">
        <v>65</v>
      </c>
      <c r="L411" s="87" t="s">
        <v>199</v>
      </c>
      <c r="M411" s="90">
        <f t="shared" si="39"/>
        <v>11383000000</v>
      </c>
      <c r="N411" s="89">
        <f t="shared" si="40"/>
        <v>7494000000</v>
      </c>
      <c r="O411" s="89">
        <f t="shared" si="41"/>
        <v>3889000000</v>
      </c>
      <c r="P411" s="87">
        <f t="shared" si="37"/>
        <v>0.13690769555727664</v>
      </c>
      <c r="Q411" s="87">
        <f t="shared" si="38"/>
        <v>0.40072519890164049</v>
      </c>
    </row>
    <row r="412" spans="1:17">
      <c r="A412" s="83">
        <v>438</v>
      </c>
      <c r="B412" s="83" t="s">
        <v>198</v>
      </c>
      <c r="C412" s="83" t="s">
        <v>22</v>
      </c>
      <c r="D412" s="84">
        <v>41684</v>
      </c>
      <c r="E412" s="85">
        <f t="shared" si="36"/>
        <v>2014</v>
      </c>
      <c r="F412" s="86">
        <v>25130000000</v>
      </c>
      <c r="G412" s="86">
        <v>15112000000</v>
      </c>
      <c r="H412" s="86">
        <v>5074000000</v>
      </c>
      <c r="I412" s="86">
        <v>1898000000</v>
      </c>
      <c r="J412" s="86">
        <v>0</v>
      </c>
      <c r="K412" s="83" t="s">
        <v>65</v>
      </c>
      <c r="L412" s="83" t="s">
        <v>199</v>
      </c>
      <c r="M412" s="91">
        <f t="shared" si="39"/>
        <v>10018000000</v>
      </c>
      <c r="N412" s="86">
        <f t="shared" si="40"/>
        <v>6972000000</v>
      </c>
      <c r="O412" s="86">
        <f t="shared" si="41"/>
        <v>3046000000</v>
      </c>
      <c r="P412" s="83">
        <f t="shared" si="37"/>
        <v>0.12120970951054516</v>
      </c>
      <c r="Q412" s="83">
        <f t="shared" si="38"/>
        <v>0.39864703541583768</v>
      </c>
    </row>
    <row r="413" spans="1:17">
      <c r="A413" s="87">
        <v>439</v>
      </c>
      <c r="B413" s="87" t="s">
        <v>198</v>
      </c>
      <c r="C413" s="87" t="s">
        <v>23</v>
      </c>
      <c r="D413" s="84">
        <v>41685</v>
      </c>
      <c r="E413" s="88">
        <f t="shared" si="36"/>
        <v>2014</v>
      </c>
      <c r="F413" s="89">
        <v>24594000000</v>
      </c>
      <c r="G413" s="89">
        <v>14469000000</v>
      </c>
      <c r="H413" s="89">
        <v>5005000000</v>
      </c>
      <c r="I413" s="89">
        <v>1641000000</v>
      </c>
      <c r="J413" s="89">
        <v>0</v>
      </c>
      <c r="K413" s="87" t="s">
        <v>65</v>
      </c>
      <c r="L413" s="87" t="s">
        <v>199</v>
      </c>
      <c r="M413" s="90">
        <f t="shared" si="39"/>
        <v>10125000000</v>
      </c>
      <c r="N413" s="89">
        <f t="shared" si="40"/>
        <v>6646000000</v>
      </c>
      <c r="O413" s="89">
        <f t="shared" si="41"/>
        <v>3479000000</v>
      </c>
      <c r="P413" s="87">
        <f t="shared" si="37"/>
        <v>0.14145726599983735</v>
      </c>
      <c r="Q413" s="87">
        <f t="shared" si="38"/>
        <v>0.41168577701878506</v>
      </c>
    </row>
    <row r="414" spans="1:17">
      <c r="A414" s="83">
        <v>440</v>
      </c>
      <c r="B414" s="83" t="s">
        <v>200</v>
      </c>
      <c r="C414" s="83" t="s">
        <v>18</v>
      </c>
      <c r="D414" s="84">
        <v>41686</v>
      </c>
      <c r="E414" s="85">
        <f t="shared" si="36"/>
        <v>2014</v>
      </c>
      <c r="F414" s="86">
        <v>37795400000</v>
      </c>
      <c r="G414" s="86">
        <v>25667300000</v>
      </c>
      <c r="H414" s="86">
        <v>4426100000</v>
      </c>
      <c r="I414" s="86">
        <v>1477300000</v>
      </c>
      <c r="J414" s="86">
        <v>0</v>
      </c>
      <c r="K414" s="83" t="s">
        <v>19</v>
      </c>
      <c r="L414" s="83" t="s">
        <v>133</v>
      </c>
      <c r="M414" s="91">
        <f t="shared" si="39"/>
        <v>12128100000</v>
      </c>
      <c r="N414" s="86">
        <f t="shared" si="40"/>
        <v>5903400000</v>
      </c>
      <c r="O414" s="86">
        <f t="shared" si="41"/>
        <v>6224700000</v>
      </c>
      <c r="P414" s="83">
        <f t="shared" si="37"/>
        <v>0.16469464538012563</v>
      </c>
      <c r="Q414" s="83">
        <f t="shared" si="38"/>
        <v>0.32088825624282324</v>
      </c>
    </row>
    <row r="415" spans="1:17">
      <c r="A415" s="87">
        <v>441</v>
      </c>
      <c r="B415" s="87" t="s">
        <v>200</v>
      </c>
      <c r="C415" s="87" t="s">
        <v>21</v>
      </c>
      <c r="D415" s="84">
        <v>41687</v>
      </c>
      <c r="E415" s="88">
        <f t="shared" si="36"/>
        <v>2014</v>
      </c>
      <c r="F415" s="89">
        <v>36066900000</v>
      </c>
      <c r="G415" s="89">
        <v>24775800000</v>
      </c>
      <c r="H415" s="89">
        <v>4377700000</v>
      </c>
      <c r="I415" s="89">
        <v>1452000000</v>
      </c>
      <c r="J415" s="89">
        <v>0</v>
      </c>
      <c r="K415" s="87" t="s">
        <v>19</v>
      </c>
      <c r="L415" s="87" t="s">
        <v>133</v>
      </c>
      <c r="M415" s="90">
        <f t="shared" si="39"/>
        <v>11291100000</v>
      </c>
      <c r="N415" s="89">
        <f t="shared" si="40"/>
        <v>5829700000</v>
      </c>
      <c r="O415" s="89">
        <f t="shared" si="41"/>
        <v>5461400000</v>
      </c>
      <c r="P415" s="87">
        <f t="shared" si="37"/>
        <v>0.15142415899342609</v>
      </c>
      <c r="Q415" s="87">
        <f t="shared" si="38"/>
        <v>0.31305989702469572</v>
      </c>
    </row>
    <row r="416" spans="1:17">
      <c r="A416" s="83">
        <v>442</v>
      </c>
      <c r="B416" s="83" t="s">
        <v>200</v>
      </c>
      <c r="C416" s="83" t="s">
        <v>22</v>
      </c>
      <c r="D416" s="84">
        <v>41688</v>
      </c>
      <c r="E416" s="85">
        <f t="shared" si="36"/>
        <v>2014</v>
      </c>
      <c r="F416" s="86">
        <v>28862800000</v>
      </c>
      <c r="G416" s="86">
        <v>20143200000</v>
      </c>
      <c r="H416" s="86">
        <v>3834400000</v>
      </c>
      <c r="I416" s="86">
        <v>1425100000</v>
      </c>
      <c r="J416" s="86">
        <v>0</v>
      </c>
      <c r="K416" s="83" t="s">
        <v>19</v>
      </c>
      <c r="L416" s="83" t="s">
        <v>133</v>
      </c>
      <c r="M416" s="91">
        <f t="shared" si="39"/>
        <v>8719600000</v>
      </c>
      <c r="N416" s="86">
        <f t="shared" si="40"/>
        <v>5259500000</v>
      </c>
      <c r="O416" s="86">
        <f t="shared" si="41"/>
        <v>3460100000</v>
      </c>
      <c r="P416" s="83">
        <f t="shared" si="37"/>
        <v>0.11988095403079396</v>
      </c>
      <c r="Q416" s="83">
        <f t="shared" si="38"/>
        <v>0.30210513186523835</v>
      </c>
    </row>
    <row r="417" spans="1:17">
      <c r="A417" s="87">
        <v>443</v>
      </c>
      <c r="B417" s="87" t="s">
        <v>200</v>
      </c>
      <c r="C417" s="87" t="s">
        <v>23</v>
      </c>
      <c r="D417" s="84">
        <v>41689</v>
      </c>
      <c r="E417" s="88">
        <f t="shared" si="36"/>
        <v>2014</v>
      </c>
      <c r="F417" s="89">
        <v>26644000000</v>
      </c>
      <c r="G417" s="89">
        <v>18248900000</v>
      </c>
      <c r="H417" s="89">
        <v>4018300000</v>
      </c>
      <c r="I417" s="89">
        <v>1389100000</v>
      </c>
      <c r="J417" s="89">
        <v>0</v>
      </c>
      <c r="K417" s="87" t="s">
        <v>19</v>
      </c>
      <c r="L417" s="87" t="s">
        <v>133</v>
      </c>
      <c r="M417" s="90">
        <f t="shared" si="39"/>
        <v>8395100000</v>
      </c>
      <c r="N417" s="89">
        <f t="shared" si="40"/>
        <v>5407400000</v>
      </c>
      <c r="O417" s="89">
        <f t="shared" si="41"/>
        <v>2987700000</v>
      </c>
      <c r="P417" s="87">
        <f t="shared" si="37"/>
        <v>0.11213406395436121</v>
      </c>
      <c r="Q417" s="87">
        <f t="shared" si="38"/>
        <v>0.31508407146074158</v>
      </c>
    </row>
    <row r="418" spans="1:17">
      <c r="A418" s="83">
        <v>444</v>
      </c>
      <c r="B418" s="83" t="s">
        <v>201</v>
      </c>
      <c r="C418" s="83" t="s">
        <v>18</v>
      </c>
      <c r="D418" s="84">
        <v>41690</v>
      </c>
      <c r="E418" s="85">
        <f t="shared" si="36"/>
        <v>2014</v>
      </c>
      <c r="F418" s="86">
        <v>8984000000</v>
      </c>
      <c r="G418" s="86">
        <v>845000000</v>
      </c>
      <c r="H418" s="86">
        <v>3052000000</v>
      </c>
      <c r="I418" s="86">
        <v>0</v>
      </c>
      <c r="J418" s="86">
        <v>848000000</v>
      </c>
      <c r="K418" s="83" t="s">
        <v>53</v>
      </c>
      <c r="L418" s="83" t="s">
        <v>106</v>
      </c>
      <c r="M418" s="91">
        <f t="shared" si="39"/>
        <v>8139000000</v>
      </c>
      <c r="N418" s="86">
        <f t="shared" si="40"/>
        <v>3900000000</v>
      </c>
      <c r="O418" s="86">
        <f t="shared" si="41"/>
        <v>4239000000</v>
      </c>
      <c r="P418" s="83">
        <f t="shared" si="37"/>
        <v>0.47183882457702581</v>
      </c>
      <c r="Q418" s="83">
        <f t="shared" si="38"/>
        <v>0.90594390026714156</v>
      </c>
    </row>
    <row r="419" spans="1:17">
      <c r="A419" s="87">
        <v>445</v>
      </c>
      <c r="B419" s="87" t="s">
        <v>201</v>
      </c>
      <c r="C419" s="87" t="s">
        <v>21</v>
      </c>
      <c r="D419" s="84">
        <v>41691</v>
      </c>
      <c r="E419" s="88">
        <f t="shared" si="36"/>
        <v>2014</v>
      </c>
      <c r="F419" s="89">
        <v>9370000000</v>
      </c>
      <c r="G419" s="89">
        <v>698000000</v>
      </c>
      <c r="H419" s="89">
        <v>3194000000</v>
      </c>
      <c r="I419" s="89">
        <v>0</v>
      </c>
      <c r="J419" s="89">
        <v>1086000000</v>
      </c>
      <c r="K419" s="87" t="s">
        <v>53</v>
      </c>
      <c r="L419" s="87" t="s">
        <v>106</v>
      </c>
      <c r="M419" s="90">
        <f t="shared" si="39"/>
        <v>8672000000</v>
      </c>
      <c r="N419" s="89">
        <f t="shared" si="40"/>
        <v>4280000000</v>
      </c>
      <c r="O419" s="89">
        <f t="shared" si="41"/>
        <v>4392000000</v>
      </c>
      <c r="P419" s="87">
        <f t="shared" si="37"/>
        <v>0.46872998932764143</v>
      </c>
      <c r="Q419" s="87">
        <f t="shared" si="38"/>
        <v>0.92550693703308429</v>
      </c>
    </row>
    <row r="420" spans="1:17">
      <c r="A420" s="83">
        <v>446</v>
      </c>
      <c r="B420" s="83" t="s">
        <v>201</v>
      </c>
      <c r="C420" s="83" t="s">
        <v>22</v>
      </c>
      <c r="D420" s="84">
        <v>41692</v>
      </c>
      <c r="E420" s="85">
        <f t="shared" si="36"/>
        <v>2014</v>
      </c>
      <c r="F420" s="86">
        <v>9611000000</v>
      </c>
      <c r="G420" s="86">
        <v>614000000</v>
      </c>
      <c r="H420" s="86">
        <v>3340000000</v>
      </c>
      <c r="I420" s="86">
        <v>0</v>
      </c>
      <c r="J420" s="86">
        <v>1443000000</v>
      </c>
      <c r="K420" s="83" t="s">
        <v>53</v>
      </c>
      <c r="L420" s="83" t="s">
        <v>106</v>
      </c>
      <c r="M420" s="91">
        <f t="shared" si="39"/>
        <v>8997000000</v>
      </c>
      <c r="N420" s="86">
        <f t="shared" si="40"/>
        <v>4783000000</v>
      </c>
      <c r="O420" s="86">
        <f t="shared" si="41"/>
        <v>4214000000</v>
      </c>
      <c r="P420" s="83">
        <f t="shared" si="37"/>
        <v>0.43845593590677351</v>
      </c>
      <c r="Q420" s="83">
        <f t="shared" si="38"/>
        <v>0.93611486837998126</v>
      </c>
    </row>
    <row r="421" spans="1:17">
      <c r="A421" s="87">
        <v>447</v>
      </c>
      <c r="B421" s="87" t="s">
        <v>201</v>
      </c>
      <c r="C421" s="87" t="s">
        <v>23</v>
      </c>
      <c r="D421" s="84">
        <v>41693</v>
      </c>
      <c r="E421" s="88">
        <f t="shared" si="36"/>
        <v>2014</v>
      </c>
      <c r="F421" s="89">
        <v>10002000000</v>
      </c>
      <c r="G421" s="89">
        <v>623000000</v>
      </c>
      <c r="H421" s="89">
        <v>3615000000</v>
      </c>
      <c r="I421" s="89">
        <v>0</v>
      </c>
      <c r="J421" s="89">
        <v>1512000000</v>
      </c>
      <c r="K421" s="87" t="s">
        <v>53</v>
      </c>
      <c r="L421" s="87" t="s">
        <v>106</v>
      </c>
      <c r="M421" s="90">
        <f t="shared" si="39"/>
        <v>9379000000</v>
      </c>
      <c r="N421" s="89">
        <f t="shared" si="40"/>
        <v>5127000000</v>
      </c>
      <c r="O421" s="89">
        <f t="shared" si="41"/>
        <v>4252000000</v>
      </c>
      <c r="P421" s="87">
        <f t="shared" si="37"/>
        <v>0.4251149770045991</v>
      </c>
      <c r="Q421" s="87">
        <f t="shared" si="38"/>
        <v>0.9377124575084983</v>
      </c>
    </row>
    <row r="422" spans="1:17">
      <c r="A422" s="83">
        <v>448</v>
      </c>
      <c r="B422" s="83" t="s">
        <v>202</v>
      </c>
      <c r="C422" s="83" t="s">
        <v>18</v>
      </c>
      <c r="D422" s="84">
        <v>41694</v>
      </c>
      <c r="E422" s="85">
        <f t="shared" si="36"/>
        <v>2014</v>
      </c>
      <c r="F422" s="86">
        <v>16022128000</v>
      </c>
      <c r="G422" s="86">
        <v>10936727000</v>
      </c>
      <c r="H422" s="86">
        <v>3430125000</v>
      </c>
      <c r="I422" s="86">
        <v>0</v>
      </c>
      <c r="J422" s="86">
        <v>0</v>
      </c>
      <c r="K422" s="83" t="s">
        <v>25</v>
      </c>
      <c r="L422" s="83" t="s">
        <v>203</v>
      </c>
      <c r="M422" s="91">
        <f t="shared" si="39"/>
        <v>5085401000</v>
      </c>
      <c r="N422" s="86">
        <f t="shared" si="40"/>
        <v>3430125000</v>
      </c>
      <c r="O422" s="86">
        <f t="shared" si="41"/>
        <v>1655276000</v>
      </c>
      <c r="P422" s="83">
        <f t="shared" si="37"/>
        <v>0.10331186968422672</v>
      </c>
      <c r="Q422" s="83">
        <f t="shared" si="38"/>
        <v>0.31739860023587374</v>
      </c>
    </row>
    <row r="423" spans="1:17">
      <c r="A423" s="87">
        <v>449</v>
      </c>
      <c r="B423" s="87" t="s">
        <v>202</v>
      </c>
      <c r="C423" s="87" t="s">
        <v>21</v>
      </c>
      <c r="D423" s="84">
        <v>41695</v>
      </c>
      <c r="E423" s="88">
        <f t="shared" si="36"/>
        <v>2014</v>
      </c>
      <c r="F423" s="89">
        <v>17504167000</v>
      </c>
      <c r="G423" s="89">
        <v>12068425000</v>
      </c>
      <c r="H423" s="89">
        <v>3699557000</v>
      </c>
      <c r="I423" s="89">
        <v>0</v>
      </c>
      <c r="J423" s="89">
        <v>0</v>
      </c>
      <c r="K423" s="87" t="s">
        <v>25</v>
      </c>
      <c r="L423" s="87" t="s">
        <v>203</v>
      </c>
      <c r="M423" s="90">
        <f t="shared" si="39"/>
        <v>5435742000</v>
      </c>
      <c r="N423" s="89">
        <f t="shared" si="40"/>
        <v>3699557000</v>
      </c>
      <c r="O423" s="89">
        <f t="shared" si="41"/>
        <v>1736185000</v>
      </c>
      <c r="P423" s="87">
        <f t="shared" si="37"/>
        <v>9.918695359796327E-2</v>
      </c>
      <c r="Q423" s="87">
        <f t="shared" si="38"/>
        <v>0.31053988458862392</v>
      </c>
    </row>
    <row r="424" spans="1:17">
      <c r="A424" s="83">
        <v>450</v>
      </c>
      <c r="B424" s="83" t="s">
        <v>202</v>
      </c>
      <c r="C424" s="83" t="s">
        <v>22</v>
      </c>
      <c r="D424" s="84">
        <v>41696</v>
      </c>
      <c r="E424" s="85">
        <f t="shared" si="36"/>
        <v>2014</v>
      </c>
      <c r="F424" s="86">
        <v>18909588000</v>
      </c>
      <c r="G424" s="86">
        <v>13107081000</v>
      </c>
      <c r="H424" s="86">
        <v>4033414000</v>
      </c>
      <c r="I424" s="86">
        <v>0</v>
      </c>
      <c r="J424" s="86">
        <v>0</v>
      </c>
      <c r="K424" s="83" t="s">
        <v>25</v>
      </c>
      <c r="L424" s="83" t="s">
        <v>203</v>
      </c>
      <c r="M424" s="91">
        <f t="shared" si="39"/>
        <v>5802507000</v>
      </c>
      <c r="N424" s="86">
        <f t="shared" si="40"/>
        <v>4033414000</v>
      </c>
      <c r="O424" s="86">
        <f t="shared" si="41"/>
        <v>1769093000</v>
      </c>
      <c r="P424" s="83">
        <f t="shared" si="37"/>
        <v>9.3555343458567156E-2</v>
      </c>
      <c r="Q424" s="83">
        <f t="shared" si="38"/>
        <v>0.30685528420820163</v>
      </c>
    </row>
    <row r="425" spans="1:17">
      <c r="A425" s="87">
        <v>451</v>
      </c>
      <c r="B425" s="87" t="s">
        <v>202</v>
      </c>
      <c r="C425" s="87" t="s">
        <v>23</v>
      </c>
      <c r="D425" s="84">
        <v>41697</v>
      </c>
      <c r="E425" s="88">
        <f t="shared" si="36"/>
        <v>2014</v>
      </c>
      <c r="F425" s="89">
        <v>20368562000</v>
      </c>
      <c r="G425" s="89">
        <v>14062471000</v>
      </c>
      <c r="H425" s="89">
        <v>4365797000</v>
      </c>
      <c r="I425" s="89">
        <v>0</v>
      </c>
      <c r="J425" s="89">
        <v>0</v>
      </c>
      <c r="K425" s="87" t="s">
        <v>25</v>
      </c>
      <c r="L425" s="87" t="s">
        <v>203</v>
      </c>
      <c r="M425" s="90">
        <f t="shared" si="39"/>
        <v>6306091000</v>
      </c>
      <c r="N425" s="89">
        <f t="shared" si="40"/>
        <v>4365797000</v>
      </c>
      <c r="O425" s="89">
        <f t="shared" si="41"/>
        <v>1940294000</v>
      </c>
      <c r="P425" s="87">
        <f t="shared" si="37"/>
        <v>9.5259252960518279E-2</v>
      </c>
      <c r="Q425" s="87">
        <f t="shared" si="38"/>
        <v>0.30959922453043076</v>
      </c>
    </row>
    <row r="426" spans="1:17">
      <c r="A426" s="83">
        <v>452</v>
      </c>
      <c r="B426" s="83" t="s">
        <v>204</v>
      </c>
      <c r="C426" s="83" t="s">
        <v>18</v>
      </c>
      <c r="D426" s="84">
        <v>41698</v>
      </c>
      <c r="E426" s="85">
        <f t="shared" si="36"/>
        <v>2014</v>
      </c>
      <c r="F426" s="86">
        <v>7383000000</v>
      </c>
      <c r="G426" s="86">
        <v>4365000000</v>
      </c>
      <c r="H426" s="86">
        <v>1742000000</v>
      </c>
      <c r="I426" s="86">
        <v>0</v>
      </c>
      <c r="J426" s="86">
        <v>75000000</v>
      </c>
      <c r="K426" s="83" t="s">
        <v>31</v>
      </c>
      <c r="L426" s="83" t="s">
        <v>205</v>
      </c>
      <c r="M426" s="91">
        <f t="shared" si="39"/>
        <v>3018000000</v>
      </c>
      <c r="N426" s="86">
        <f t="shared" si="40"/>
        <v>1817000000</v>
      </c>
      <c r="O426" s="86">
        <f t="shared" si="41"/>
        <v>1201000000</v>
      </c>
      <c r="P426" s="83">
        <f t="shared" si="37"/>
        <v>0.16267100094812406</v>
      </c>
      <c r="Q426" s="83">
        <f t="shared" si="38"/>
        <v>0.40877691995123933</v>
      </c>
    </row>
    <row r="427" spans="1:17">
      <c r="A427" s="87">
        <v>453</v>
      </c>
      <c r="B427" s="87" t="s">
        <v>204</v>
      </c>
      <c r="C427" s="87" t="s">
        <v>21</v>
      </c>
      <c r="D427" s="84">
        <v>41699</v>
      </c>
      <c r="E427" s="88">
        <f t="shared" si="36"/>
        <v>2014</v>
      </c>
      <c r="F427" s="89">
        <v>7146000000</v>
      </c>
      <c r="G427" s="89">
        <v>4326000000</v>
      </c>
      <c r="H427" s="89">
        <v>1740000000</v>
      </c>
      <c r="I427" s="89">
        <v>0</v>
      </c>
      <c r="J427" s="89">
        <v>79000000</v>
      </c>
      <c r="K427" s="87" t="s">
        <v>31</v>
      </c>
      <c r="L427" s="87" t="s">
        <v>205</v>
      </c>
      <c r="M427" s="90">
        <f t="shared" si="39"/>
        <v>2820000000</v>
      </c>
      <c r="N427" s="89">
        <f t="shared" si="40"/>
        <v>1819000000</v>
      </c>
      <c r="O427" s="89">
        <f t="shared" si="41"/>
        <v>1001000000</v>
      </c>
      <c r="P427" s="87">
        <f t="shared" si="37"/>
        <v>0.14007836551917158</v>
      </c>
      <c r="Q427" s="87">
        <f t="shared" si="38"/>
        <v>0.39462636439966414</v>
      </c>
    </row>
    <row r="428" spans="1:17">
      <c r="A428" s="83">
        <v>454</v>
      </c>
      <c r="B428" s="83" t="s">
        <v>204</v>
      </c>
      <c r="C428" s="83" t="s">
        <v>22</v>
      </c>
      <c r="D428" s="84">
        <v>41700</v>
      </c>
      <c r="E428" s="85">
        <f t="shared" si="36"/>
        <v>2014</v>
      </c>
      <c r="F428" s="86">
        <v>7435000000</v>
      </c>
      <c r="G428" s="86">
        <v>4637000000</v>
      </c>
      <c r="H428" s="86">
        <v>1721000000</v>
      </c>
      <c r="I428" s="86">
        <v>0</v>
      </c>
      <c r="J428" s="86">
        <v>94000000</v>
      </c>
      <c r="K428" s="83" t="s">
        <v>31</v>
      </c>
      <c r="L428" s="83" t="s">
        <v>205</v>
      </c>
      <c r="M428" s="91">
        <f t="shared" si="39"/>
        <v>2798000000</v>
      </c>
      <c r="N428" s="86">
        <f t="shared" si="40"/>
        <v>1815000000</v>
      </c>
      <c r="O428" s="86">
        <f t="shared" si="41"/>
        <v>983000000</v>
      </c>
      <c r="P428" s="83">
        <f t="shared" si="37"/>
        <v>0.13221250840618695</v>
      </c>
      <c r="Q428" s="83">
        <f t="shared" si="38"/>
        <v>0.37632817753866843</v>
      </c>
    </row>
    <row r="429" spans="1:17">
      <c r="A429" s="87">
        <v>455</v>
      </c>
      <c r="B429" s="87" t="s">
        <v>204</v>
      </c>
      <c r="C429" s="87" t="s">
        <v>23</v>
      </c>
      <c r="D429" s="84">
        <v>41701</v>
      </c>
      <c r="E429" s="88">
        <f t="shared" si="36"/>
        <v>2014</v>
      </c>
      <c r="F429" s="89">
        <v>7493000000</v>
      </c>
      <c r="G429" s="89">
        <v>4657000000</v>
      </c>
      <c r="H429" s="89">
        <v>1356000000</v>
      </c>
      <c r="I429" s="89">
        <v>0</v>
      </c>
      <c r="J429" s="89">
        <v>81000000</v>
      </c>
      <c r="K429" s="87" t="s">
        <v>31</v>
      </c>
      <c r="L429" s="87" t="s">
        <v>205</v>
      </c>
      <c r="M429" s="90">
        <f t="shared" si="39"/>
        <v>2836000000</v>
      </c>
      <c r="N429" s="89">
        <f t="shared" si="40"/>
        <v>1437000000</v>
      </c>
      <c r="O429" s="89">
        <f t="shared" si="41"/>
        <v>1399000000</v>
      </c>
      <c r="P429" s="87">
        <f t="shared" si="37"/>
        <v>0.18670759375417056</v>
      </c>
      <c r="Q429" s="87">
        <f t="shared" si="38"/>
        <v>0.37848658748164954</v>
      </c>
    </row>
    <row r="430" spans="1:17">
      <c r="A430" s="83">
        <v>456</v>
      </c>
      <c r="B430" s="83" t="s">
        <v>206</v>
      </c>
      <c r="C430" s="83" t="s">
        <v>18</v>
      </c>
      <c r="D430" s="84">
        <v>41702</v>
      </c>
      <c r="E430" s="85">
        <f t="shared" si="36"/>
        <v>2014</v>
      </c>
      <c r="F430" s="86">
        <v>6259300000</v>
      </c>
      <c r="G430" s="86">
        <v>4853500000</v>
      </c>
      <c r="H430" s="86">
        <v>649900000</v>
      </c>
      <c r="I430" s="86">
        <v>0</v>
      </c>
      <c r="J430" s="86">
        <v>0</v>
      </c>
      <c r="K430" s="83" t="s">
        <v>25</v>
      </c>
      <c r="L430" s="83" t="s">
        <v>207</v>
      </c>
      <c r="M430" s="91">
        <f t="shared" si="39"/>
        <v>1405800000</v>
      </c>
      <c r="N430" s="86">
        <f t="shared" si="40"/>
        <v>649900000</v>
      </c>
      <c r="O430" s="86">
        <f t="shared" si="41"/>
        <v>755900000</v>
      </c>
      <c r="P430" s="83">
        <f t="shared" si="37"/>
        <v>0.12076430271755628</v>
      </c>
      <c r="Q430" s="83">
        <f t="shared" si="38"/>
        <v>0.22459380441902455</v>
      </c>
    </row>
    <row r="431" spans="1:17">
      <c r="A431" s="87">
        <v>457</v>
      </c>
      <c r="B431" s="87" t="s">
        <v>206</v>
      </c>
      <c r="C431" s="87" t="s">
        <v>21</v>
      </c>
      <c r="D431" s="84">
        <v>41703</v>
      </c>
      <c r="E431" s="88">
        <f t="shared" si="36"/>
        <v>2014</v>
      </c>
      <c r="F431" s="89">
        <v>8024900000</v>
      </c>
      <c r="G431" s="89">
        <v>6268600000</v>
      </c>
      <c r="H431" s="89">
        <v>826900000</v>
      </c>
      <c r="I431" s="89">
        <v>0</v>
      </c>
      <c r="J431" s="89">
        <v>0</v>
      </c>
      <c r="K431" s="87" t="s">
        <v>25</v>
      </c>
      <c r="L431" s="87" t="s">
        <v>207</v>
      </c>
      <c r="M431" s="90">
        <f t="shared" si="39"/>
        <v>1756300000</v>
      </c>
      <c r="N431" s="89">
        <f t="shared" si="40"/>
        <v>826900000</v>
      </c>
      <c r="O431" s="89">
        <f t="shared" si="41"/>
        <v>929400000</v>
      </c>
      <c r="P431" s="87">
        <f t="shared" si="37"/>
        <v>0.11581452728382909</v>
      </c>
      <c r="Q431" s="87">
        <f t="shared" si="38"/>
        <v>0.21885630973594683</v>
      </c>
    </row>
    <row r="432" spans="1:17">
      <c r="A432" s="83">
        <v>458</v>
      </c>
      <c r="B432" s="83" t="s">
        <v>206</v>
      </c>
      <c r="C432" s="83" t="s">
        <v>22</v>
      </c>
      <c r="D432" s="84">
        <v>41704</v>
      </c>
      <c r="E432" s="85">
        <f t="shared" si="36"/>
        <v>2014</v>
      </c>
      <c r="F432" s="86">
        <v>10824000000</v>
      </c>
      <c r="G432" s="86">
        <v>8535700000</v>
      </c>
      <c r="H432" s="86">
        <v>1003000000</v>
      </c>
      <c r="I432" s="86">
        <v>0</v>
      </c>
      <c r="J432" s="86">
        <v>0</v>
      </c>
      <c r="K432" s="83" t="s">
        <v>25</v>
      </c>
      <c r="L432" s="83" t="s">
        <v>207</v>
      </c>
      <c r="M432" s="91">
        <f t="shared" si="39"/>
        <v>2288300000</v>
      </c>
      <c r="N432" s="86">
        <f t="shared" si="40"/>
        <v>1003000000</v>
      </c>
      <c r="O432" s="86">
        <f t="shared" si="41"/>
        <v>1285300000</v>
      </c>
      <c r="P432" s="83">
        <f t="shared" si="37"/>
        <v>0.11874538063562454</v>
      </c>
      <c r="Q432" s="83">
        <f t="shared" si="38"/>
        <v>0.211409830007391</v>
      </c>
    </row>
    <row r="433" spans="1:17">
      <c r="A433" s="87">
        <v>459</v>
      </c>
      <c r="B433" s="87" t="s">
        <v>206</v>
      </c>
      <c r="C433" s="87" t="s">
        <v>23</v>
      </c>
      <c r="D433" s="84">
        <v>41705</v>
      </c>
      <c r="E433" s="88">
        <f t="shared" si="36"/>
        <v>2014</v>
      </c>
      <c r="F433" s="89">
        <v>12157400000</v>
      </c>
      <c r="G433" s="89">
        <v>9502600000</v>
      </c>
      <c r="H433" s="89">
        <v>1100300000</v>
      </c>
      <c r="I433" s="89">
        <v>0</v>
      </c>
      <c r="J433" s="89">
        <v>0</v>
      </c>
      <c r="K433" s="87" t="s">
        <v>25</v>
      </c>
      <c r="L433" s="87" t="s">
        <v>207</v>
      </c>
      <c r="M433" s="90">
        <f t="shared" si="39"/>
        <v>2654800000</v>
      </c>
      <c r="N433" s="89">
        <f t="shared" si="40"/>
        <v>1100300000</v>
      </c>
      <c r="O433" s="89">
        <f t="shared" si="41"/>
        <v>1554500000</v>
      </c>
      <c r="P433" s="87">
        <f t="shared" si="37"/>
        <v>0.12786451050389064</v>
      </c>
      <c r="Q433" s="87">
        <f t="shared" si="38"/>
        <v>0.21836905917383653</v>
      </c>
    </row>
    <row r="434" spans="1:17">
      <c r="A434" s="83">
        <v>460</v>
      </c>
      <c r="B434" s="83" t="s">
        <v>208</v>
      </c>
      <c r="C434" s="83" t="s">
        <v>18</v>
      </c>
      <c r="D434" s="84">
        <v>41706</v>
      </c>
      <c r="E434" s="85">
        <f t="shared" si="36"/>
        <v>2014</v>
      </c>
      <c r="F434" s="86">
        <v>18260400000</v>
      </c>
      <c r="G434" s="86">
        <v>8846100000</v>
      </c>
      <c r="H434" s="86">
        <v>5181200000</v>
      </c>
      <c r="I434" s="86">
        <v>1137900000</v>
      </c>
      <c r="J434" s="86">
        <v>0</v>
      </c>
      <c r="K434" s="83" t="s">
        <v>19</v>
      </c>
      <c r="L434" s="83" t="s">
        <v>170</v>
      </c>
      <c r="M434" s="91">
        <f t="shared" si="39"/>
        <v>9414300000</v>
      </c>
      <c r="N434" s="86">
        <f t="shared" si="40"/>
        <v>6319100000</v>
      </c>
      <c r="O434" s="86">
        <f t="shared" si="41"/>
        <v>3095200000</v>
      </c>
      <c r="P434" s="83">
        <f t="shared" si="37"/>
        <v>0.1695034062780662</v>
      </c>
      <c r="Q434" s="83">
        <f t="shared" si="38"/>
        <v>0.51555825721232829</v>
      </c>
    </row>
    <row r="435" spans="1:17">
      <c r="A435" s="87">
        <v>461</v>
      </c>
      <c r="B435" s="87" t="s">
        <v>208</v>
      </c>
      <c r="C435" s="87" t="s">
        <v>21</v>
      </c>
      <c r="D435" s="84">
        <v>41707</v>
      </c>
      <c r="E435" s="88">
        <f t="shared" si="36"/>
        <v>2014</v>
      </c>
      <c r="F435" s="89">
        <v>18283100000</v>
      </c>
      <c r="G435" s="89">
        <v>8941100000</v>
      </c>
      <c r="H435" s="89">
        <v>5117100000</v>
      </c>
      <c r="I435" s="89">
        <v>1104400000</v>
      </c>
      <c r="J435" s="89">
        <v>0</v>
      </c>
      <c r="K435" s="87" t="s">
        <v>19</v>
      </c>
      <c r="L435" s="87" t="s">
        <v>170</v>
      </c>
      <c r="M435" s="90">
        <f t="shared" si="39"/>
        <v>9342000000</v>
      </c>
      <c r="N435" s="89">
        <f t="shared" si="40"/>
        <v>6221500000</v>
      </c>
      <c r="O435" s="89">
        <f t="shared" si="41"/>
        <v>3120500000</v>
      </c>
      <c r="P435" s="87">
        <f t="shared" si="37"/>
        <v>0.17067674519091403</v>
      </c>
      <c r="Q435" s="87">
        <f t="shared" si="38"/>
        <v>0.5109636768381729</v>
      </c>
    </row>
    <row r="436" spans="1:17">
      <c r="A436" s="83">
        <v>462</v>
      </c>
      <c r="B436" s="83" t="s">
        <v>208</v>
      </c>
      <c r="C436" s="83" t="s">
        <v>22</v>
      </c>
      <c r="D436" s="84">
        <v>41708</v>
      </c>
      <c r="E436" s="85">
        <f t="shared" si="36"/>
        <v>2014</v>
      </c>
      <c r="F436" s="86">
        <v>19154000000</v>
      </c>
      <c r="G436" s="86">
        <v>9261400000</v>
      </c>
      <c r="H436" s="86">
        <v>5389000000</v>
      </c>
      <c r="I436" s="86">
        <v>1157000000</v>
      </c>
      <c r="J436" s="86">
        <v>0</v>
      </c>
      <c r="K436" s="83" t="s">
        <v>19</v>
      </c>
      <c r="L436" s="83" t="s">
        <v>170</v>
      </c>
      <c r="M436" s="91">
        <f t="shared" si="39"/>
        <v>9892600000</v>
      </c>
      <c r="N436" s="86">
        <f t="shared" si="40"/>
        <v>6546000000</v>
      </c>
      <c r="O436" s="86">
        <f t="shared" si="41"/>
        <v>3346600000</v>
      </c>
      <c r="P436" s="83">
        <f t="shared" si="37"/>
        <v>0.17472068497441787</v>
      </c>
      <c r="Q436" s="83">
        <f t="shared" si="38"/>
        <v>0.51647697608854548</v>
      </c>
    </row>
    <row r="437" spans="1:17">
      <c r="A437" s="87">
        <v>463</v>
      </c>
      <c r="B437" s="87" t="s">
        <v>208</v>
      </c>
      <c r="C437" s="87" t="s">
        <v>23</v>
      </c>
      <c r="D437" s="84">
        <v>41709</v>
      </c>
      <c r="E437" s="88">
        <f t="shared" si="36"/>
        <v>2014</v>
      </c>
      <c r="F437" s="89">
        <v>20563100000</v>
      </c>
      <c r="G437" s="89">
        <v>9800600000</v>
      </c>
      <c r="H437" s="89">
        <v>6054300000</v>
      </c>
      <c r="I437" s="89">
        <v>1239100000</v>
      </c>
      <c r="J437" s="89">
        <v>0</v>
      </c>
      <c r="K437" s="87" t="s">
        <v>19</v>
      </c>
      <c r="L437" s="87" t="s">
        <v>170</v>
      </c>
      <c r="M437" s="90">
        <f t="shared" si="39"/>
        <v>10762500000</v>
      </c>
      <c r="N437" s="89">
        <f t="shared" si="40"/>
        <v>7293400000</v>
      </c>
      <c r="O437" s="89">
        <f t="shared" si="41"/>
        <v>3469100000</v>
      </c>
      <c r="P437" s="87">
        <f t="shared" si="37"/>
        <v>0.16870510769290623</v>
      </c>
      <c r="Q437" s="87">
        <f t="shared" si="38"/>
        <v>0.52338898317860627</v>
      </c>
    </row>
    <row r="438" spans="1:17">
      <c r="A438" s="83">
        <v>464</v>
      </c>
      <c r="B438" s="83" t="s">
        <v>209</v>
      </c>
      <c r="C438" s="83" t="s">
        <v>18</v>
      </c>
      <c r="D438" s="84">
        <v>41710</v>
      </c>
      <c r="E438" s="85">
        <f t="shared" si="36"/>
        <v>2014</v>
      </c>
      <c r="F438" s="86">
        <v>45041000000</v>
      </c>
      <c r="G438" s="86">
        <v>25034000000</v>
      </c>
      <c r="H438" s="86">
        <v>8365000000</v>
      </c>
      <c r="I438" s="86">
        <v>0</v>
      </c>
      <c r="J438" s="86">
        <v>2192000000</v>
      </c>
      <c r="K438" s="83" t="s">
        <v>25</v>
      </c>
      <c r="L438" s="83" t="s">
        <v>210</v>
      </c>
      <c r="M438" s="91">
        <f t="shared" si="39"/>
        <v>20007000000</v>
      </c>
      <c r="N438" s="86">
        <f t="shared" si="40"/>
        <v>10557000000</v>
      </c>
      <c r="O438" s="86">
        <f t="shared" si="41"/>
        <v>9450000000</v>
      </c>
      <c r="P438" s="83">
        <f t="shared" si="37"/>
        <v>0.20980884083390688</v>
      </c>
      <c r="Q438" s="83">
        <f t="shared" si="38"/>
        <v>0.4441952887369286</v>
      </c>
    </row>
    <row r="439" spans="1:17">
      <c r="A439" s="87">
        <v>465</v>
      </c>
      <c r="B439" s="87" t="s">
        <v>209</v>
      </c>
      <c r="C439" s="87" t="s">
        <v>21</v>
      </c>
      <c r="D439" s="84">
        <v>41711</v>
      </c>
      <c r="E439" s="88">
        <f t="shared" si="36"/>
        <v>2014</v>
      </c>
      <c r="F439" s="89">
        <v>48813000000</v>
      </c>
      <c r="G439" s="89">
        <v>26420000000</v>
      </c>
      <c r="H439" s="89">
        <v>8565000000</v>
      </c>
      <c r="I439" s="89">
        <v>0</v>
      </c>
      <c r="J439" s="89">
        <v>2288000000</v>
      </c>
      <c r="K439" s="87" t="s">
        <v>25</v>
      </c>
      <c r="L439" s="87" t="s">
        <v>210</v>
      </c>
      <c r="M439" s="90">
        <f t="shared" si="39"/>
        <v>22393000000</v>
      </c>
      <c r="N439" s="89">
        <f t="shared" si="40"/>
        <v>10853000000</v>
      </c>
      <c r="O439" s="89">
        <f t="shared" si="41"/>
        <v>11540000000</v>
      </c>
      <c r="P439" s="87">
        <f t="shared" si="37"/>
        <v>0.23641243111466209</v>
      </c>
      <c r="Q439" s="87">
        <f t="shared" si="38"/>
        <v>0.45875074263003712</v>
      </c>
    </row>
    <row r="440" spans="1:17">
      <c r="A440" s="83">
        <v>466</v>
      </c>
      <c r="B440" s="83" t="s">
        <v>209</v>
      </c>
      <c r="C440" s="83" t="s">
        <v>22</v>
      </c>
      <c r="D440" s="84">
        <v>41712</v>
      </c>
      <c r="E440" s="85">
        <f t="shared" si="36"/>
        <v>2014</v>
      </c>
      <c r="F440" s="86">
        <v>52465000000</v>
      </c>
      <c r="G440" s="86">
        <v>28364000000</v>
      </c>
      <c r="H440" s="86">
        <v>8523000000</v>
      </c>
      <c r="I440" s="86">
        <v>0</v>
      </c>
      <c r="J440" s="86">
        <v>2354000000</v>
      </c>
      <c r="K440" s="83" t="s">
        <v>25</v>
      </c>
      <c r="L440" s="83" t="s">
        <v>210</v>
      </c>
      <c r="M440" s="91">
        <f t="shared" si="39"/>
        <v>24101000000</v>
      </c>
      <c r="N440" s="86">
        <f t="shared" si="40"/>
        <v>10877000000</v>
      </c>
      <c r="O440" s="86">
        <f t="shared" si="41"/>
        <v>13224000000</v>
      </c>
      <c r="P440" s="83">
        <f t="shared" si="37"/>
        <v>0.25205375011912706</v>
      </c>
      <c r="Q440" s="83">
        <f t="shared" si="38"/>
        <v>0.4593729152768512</v>
      </c>
    </row>
    <row r="441" spans="1:17">
      <c r="A441" s="87">
        <v>467</v>
      </c>
      <c r="B441" s="87" t="s">
        <v>209</v>
      </c>
      <c r="C441" s="87" t="s">
        <v>23</v>
      </c>
      <c r="D441" s="84">
        <v>41713</v>
      </c>
      <c r="E441" s="88">
        <f t="shared" si="36"/>
        <v>2014</v>
      </c>
      <c r="F441" s="89">
        <v>55632000000</v>
      </c>
      <c r="G441" s="89">
        <v>29993000000</v>
      </c>
      <c r="H441" s="89">
        <v>8754000000</v>
      </c>
      <c r="I441" s="89">
        <v>0</v>
      </c>
      <c r="J441" s="89">
        <v>2527000000</v>
      </c>
      <c r="K441" s="87" t="s">
        <v>25</v>
      </c>
      <c r="L441" s="87" t="s">
        <v>210</v>
      </c>
      <c r="M441" s="90">
        <f t="shared" si="39"/>
        <v>25639000000</v>
      </c>
      <c r="N441" s="89">
        <f t="shared" si="40"/>
        <v>11281000000</v>
      </c>
      <c r="O441" s="89">
        <f t="shared" si="41"/>
        <v>14358000000</v>
      </c>
      <c r="P441" s="87">
        <f t="shared" si="37"/>
        <v>0.25808886971527178</v>
      </c>
      <c r="Q441" s="87">
        <f t="shared" si="38"/>
        <v>0.46086784584411844</v>
      </c>
    </row>
    <row r="442" spans="1:17">
      <c r="A442" s="83">
        <v>468</v>
      </c>
      <c r="B442" s="83" t="s">
        <v>211</v>
      </c>
      <c r="C442" s="83" t="s">
        <v>18</v>
      </c>
      <c r="D442" s="84">
        <v>41714</v>
      </c>
      <c r="E442" s="85">
        <f t="shared" si="36"/>
        <v>2014</v>
      </c>
      <c r="F442" s="86">
        <v>5535000000</v>
      </c>
      <c r="G442" s="86">
        <v>1689000000</v>
      </c>
      <c r="H442" s="86">
        <v>1598000000</v>
      </c>
      <c r="I442" s="86">
        <v>0</v>
      </c>
      <c r="J442" s="86">
        <v>276000000</v>
      </c>
      <c r="K442" s="83" t="s">
        <v>25</v>
      </c>
      <c r="L442" s="83" t="s">
        <v>154</v>
      </c>
      <c r="M442" s="91">
        <f t="shared" si="39"/>
        <v>3846000000</v>
      </c>
      <c r="N442" s="86">
        <f t="shared" si="40"/>
        <v>1874000000</v>
      </c>
      <c r="O442" s="86">
        <f t="shared" si="41"/>
        <v>1972000000</v>
      </c>
      <c r="P442" s="83">
        <f t="shared" si="37"/>
        <v>0.35627822944896115</v>
      </c>
      <c r="Q442" s="83">
        <f t="shared" si="38"/>
        <v>0.69485094850948514</v>
      </c>
    </row>
    <row r="443" spans="1:17">
      <c r="A443" s="87">
        <v>469</v>
      </c>
      <c r="B443" s="87" t="s">
        <v>211</v>
      </c>
      <c r="C443" s="87" t="s">
        <v>21</v>
      </c>
      <c r="D443" s="84">
        <v>41715</v>
      </c>
      <c r="E443" s="88">
        <f t="shared" si="36"/>
        <v>2014</v>
      </c>
      <c r="F443" s="89">
        <v>6265000000</v>
      </c>
      <c r="G443" s="89">
        <v>2124000000</v>
      </c>
      <c r="H443" s="89">
        <v>1692000000</v>
      </c>
      <c r="I443" s="89">
        <v>0</v>
      </c>
      <c r="J443" s="89">
        <v>329000000</v>
      </c>
      <c r="K443" s="87" t="s">
        <v>25</v>
      </c>
      <c r="L443" s="87" t="s">
        <v>154</v>
      </c>
      <c r="M443" s="90">
        <f t="shared" si="39"/>
        <v>4141000000</v>
      </c>
      <c r="N443" s="89">
        <f t="shared" si="40"/>
        <v>2021000000</v>
      </c>
      <c r="O443" s="89">
        <f t="shared" si="41"/>
        <v>2120000000</v>
      </c>
      <c r="P443" s="87">
        <f t="shared" si="37"/>
        <v>0.33838786911412611</v>
      </c>
      <c r="Q443" s="87">
        <f t="shared" si="38"/>
        <v>0.66097366320830009</v>
      </c>
    </row>
    <row r="444" spans="1:17">
      <c r="A444" s="83">
        <v>470</v>
      </c>
      <c r="B444" s="83" t="s">
        <v>211</v>
      </c>
      <c r="C444" s="83" t="s">
        <v>22</v>
      </c>
      <c r="D444" s="84">
        <v>41716</v>
      </c>
      <c r="E444" s="85">
        <f t="shared" si="36"/>
        <v>2014</v>
      </c>
      <c r="F444" s="86">
        <v>6394000000</v>
      </c>
      <c r="G444" s="86">
        <v>2343000000</v>
      </c>
      <c r="H444" s="86">
        <v>1669000000</v>
      </c>
      <c r="I444" s="86">
        <v>0</v>
      </c>
      <c r="J444" s="86">
        <v>330000000</v>
      </c>
      <c r="K444" s="83" t="s">
        <v>25</v>
      </c>
      <c r="L444" s="83" t="s">
        <v>154</v>
      </c>
      <c r="M444" s="91">
        <f t="shared" si="39"/>
        <v>4051000000</v>
      </c>
      <c r="N444" s="86">
        <f t="shared" si="40"/>
        <v>1999000000</v>
      </c>
      <c r="O444" s="86">
        <f t="shared" si="41"/>
        <v>2052000000</v>
      </c>
      <c r="P444" s="83">
        <f t="shared" si="37"/>
        <v>0.32092586800125117</v>
      </c>
      <c r="Q444" s="83">
        <f t="shared" si="38"/>
        <v>0.633562715045355</v>
      </c>
    </row>
    <row r="445" spans="1:17">
      <c r="A445" s="87">
        <v>471</v>
      </c>
      <c r="B445" s="87" t="s">
        <v>211</v>
      </c>
      <c r="C445" s="87" t="s">
        <v>23</v>
      </c>
      <c r="D445" s="84">
        <v>41717</v>
      </c>
      <c r="E445" s="88">
        <f t="shared" si="36"/>
        <v>2014</v>
      </c>
      <c r="F445" s="89">
        <v>6497000000</v>
      </c>
      <c r="G445" s="89">
        <v>2432000000</v>
      </c>
      <c r="H445" s="89">
        <v>1690000000</v>
      </c>
      <c r="I445" s="89">
        <v>0</v>
      </c>
      <c r="J445" s="89">
        <v>322000000</v>
      </c>
      <c r="K445" s="87" t="s">
        <v>25</v>
      </c>
      <c r="L445" s="87" t="s">
        <v>154</v>
      </c>
      <c r="M445" s="90">
        <f t="shared" si="39"/>
        <v>4065000000</v>
      </c>
      <c r="N445" s="89">
        <f t="shared" si="40"/>
        <v>2012000000</v>
      </c>
      <c r="O445" s="89">
        <f t="shared" si="41"/>
        <v>2053000000</v>
      </c>
      <c r="P445" s="87">
        <f t="shared" si="37"/>
        <v>0.3159919963059874</v>
      </c>
      <c r="Q445" s="87">
        <f t="shared" si="38"/>
        <v>0.6256733877174081</v>
      </c>
    </row>
    <row r="446" spans="1:17">
      <c r="A446" s="83">
        <v>472</v>
      </c>
      <c r="B446" s="83" t="s">
        <v>212</v>
      </c>
      <c r="C446" s="83" t="s">
        <v>18</v>
      </c>
      <c r="D446" s="84">
        <v>41718</v>
      </c>
      <c r="E446" s="85">
        <f t="shared" si="36"/>
        <v>2014</v>
      </c>
      <c r="F446" s="86">
        <v>5535000000</v>
      </c>
      <c r="G446" s="86">
        <v>1689000000</v>
      </c>
      <c r="H446" s="86">
        <v>1598000000</v>
      </c>
      <c r="I446" s="86">
        <v>0</v>
      </c>
      <c r="J446" s="86">
        <v>276000000</v>
      </c>
      <c r="K446" s="83" t="s">
        <v>25</v>
      </c>
      <c r="L446" s="83" t="s">
        <v>154</v>
      </c>
      <c r="M446" s="91">
        <f t="shared" si="39"/>
        <v>3846000000</v>
      </c>
      <c r="N446" s="86">
        <f t="shared" si="40"/>
        <v>1874000000</v>
      </c>
      <c r="O446" s="86">
        <f t="shared" si="41"/>
        <v>1972000000</v>
      </c>
      <c r="P446" s="83">
        <f t="shared" si="37"/>
        <v>0.35627822944896115</v>
      </c>
      <c r="Q446" s="83">
        <f t="shared" si="38"/>
        <v>0.69485094850948514</v>
      </c>
    </row>
    <row r="447" spans="1:17">
      <c r="A447" s="87">
        <v>473</v>
      </c>
      <c r="B447" s="87" t="s">
        <v>212</v>
      </c>
      <c r="C447" s="87" t="s">
        <v>21</v>
      </c>
      <c r="D447" s="84">
        <v>41719</v>
      </c>
      <c r="E447" s="88">
        <f t="shared" ref="E447:E510" si="42">YEAR(D447)</f>
        <v>2014</v>
      </c>
      <c r="F447" s="89">
        <v>6265000000</v>
      </c>
      <c r="G447" s="89">
        <v>2124000000</v>
      </c>
      <c r="H447" s="89">
        <v>1692000000</v>
      </c>
      <c r="I447" s="89">
        <v>0</v>
      </c>
      <c r="J447" s="89">
        <v>329000000</v>
      </c>
      <c r="K447" s="87" t="s">
        <v>25</v>
      </c>
      <c r="L447" s="87" t="s">
        <v>154</v>
      </c>
      <c r="M447" s="90">
        <f t="shared" si="39"/>
        <v>4141000000</v>
      </c>
      <c r="N447" s="89">
        <f t="shared" si="40"/>
        <v>2021000000</v>
      </c>
      <c r="O447" s="89">
        <f t="shared" si="41"/>
        <v>2120000000</v>
      </c>
      <c r="P447" s="87">
        <f t="shared" si="37"/>
        <v>0.33838786911412611</v>
      </c>
      <c r="Q447" s="87">
        <f t="shared" si="38"/>
        <v>0.66097366320830009</v>
      </c>
    </row>
    <row r="448" spans="1:17">
      <c r="A448" s="83">
        <v>474</v>
      </c>
      <c r="B448" s="83" t="s">
        <v>212</v>
      </c>
      <c r="C448" s="83" t="s">
        <v>22</v>
      </c>
      <c r="D448" s="84">
        <v>41720</v>
      </c>
      <c r="E448" s="85">
        <f t="shared" si="42"/>
        <v>2014</v>
      </c>
      <c r="F448" s="86">
        <v>6394000000</v>
      </c>
      <c r="G448" s="86">
        <v>2343000000</v>
      </c>
      <c r="H448" s="86">
        <v>1669000000</v>
      </c>
      <c r="I448" s="86">
        <v>0</v>
      </c>
      <c r="J448" s="86">
        <v>330000000</v>
      </c>
      <c r="K448" s="83" t="s">
        <v>25</v>
      </c>
      <c r="L448" s="83" t="s">
        <v>154</v>
      </c>
      <c r="M448" s="91">
        <f t="shared" si="39"/>
        <v>4051000000</v>
      </c>
      <c r="N448" s="86">
        <f t="shared" si="40"/>
        <v>1999000000</v>
      </c>
      <c r="O448" s="86">
        <f t="shared" si="41"/>
        <v>2052000000</v>
      </c>
      <c r="P448" s="83">
        <f t="shared" si="37"/>
        <v>0.32092586800125117</v>
      </c>
      <c r="Q448" s="83">
        <f t="shared" si="38"/>
        <v>0.633562715045355</v>
      </c>
    </row>
    <row r="449" spans="1:17">
      <c r="A449" s="87">
        <v>475</v>
      </c>
      <c r="B449" s="87" t="s">
        <v>212</v>
      </c>
      <c r="C449" s="87" t="s">
        <v>23</v>
      </c>
      <c r="D449" s="84">
        <v>41721</v>
      </c>
      <c r="E449" s="88">
        <f t="shared" si="42"/>
        <v>2014</v>
      </c>
      <c r="F449" s="89">
        <v>6497000000</v>
      </c>
      <c r="G449" s="89">
        <v>2432000000</v>
      </c>
      <c r="H449" s="89">
        <v>1690000000</v>
      </c>
      <c r="I449" s="89">
        <v>0</v>
      </c>
      <c r="J449" s="89">
        <v>322000000</v>
      </c>
      <c r="K449" s="87" t="s">
        <v>25</v>
      </c>
      <c r="L449" s="87" t="s">
        <v>154</v>
      </c>
      <c r="M449" s="90">
        <f t="shared" si="39"/>
        <v>4065000000</v>
      </c>
      <c r="N449" s="89">
        <f t="shared" si="40"/>
        <v>2012000000</v>
      </c>
      <c r="O449" s="89">
        <f t="shared" si="41"/>
        <v>2053000000</v>
      </c>
      <c r="P449" s="87">
        <f t="shared" si="37"/>
        <v>0.3159919963059874</v>
      </c>
      <c r="Q449" s="87">
        <f t="shared" si="38"/>
        <v>0.6256733877174081</v>
      </c>
    </row>
    <row r="450" spans="1:17">
      <c r="A450" s="83">
        <v>476</v>
      </c>
      <c r="B450" s="83" t="s">
        <v>213</v>
      </c>
      <c r="C450" s="83" t="s">
        <v>18</v>
      </c>
      <c r="D450" s="84">
        <v>41722</v>
      </c>
      <c r="E450" s="85">
        <f t="shared" si="42"/>
        <v>2014</v>
      </c>
      <c r="F450" s="86">
        <v>15051000000</v>
      </c>
      <c r="G450" s="86">
        <v>12274000000</v>
      </c>
      <c r="H450" s="86">
        <v>916000000</v>
      </c>
      <c r="I450" s="86">
        <v>0</v>
      </c>
      <c r="J450" s="86">
        <v>97000000</v>
      </c>
      <c r="K450" s="83" t="s">
        <v>25</v>
      </c>
      <c r="L450" s="83" t="s">
        <v>127</v>
      </c>
      <c r="M450" s="91">
        <f t="shared" si="39"/>
        <v>2777000000</v>
      </c>
      <c r="N450" s="86">
        <f t="shared" si="40"/>
        <v>1013000000</v>
      </c>
      <c r="O450" s="86">
        <f t="shared" si="41"/>
        <v>1764000000</v>
      </c>
      <c r="P450" s="83">
        <f t="shared" ref="P450:P513" si="43">O450/F450</f>
        <v>0.11720151484951166</v>
      </c>
      <c r="Q450" s="83">
        <f t="shared" ref="Q450:Q513" si="44">1-G450/F450</f>
        <v>0.18450601288950896</v>
      </c>
    </row>
    <row r="451" spans="1:17">
      <c r="A451" s="87">
        <v>477</v>
      </c>
      <c r="B451" s="87" t="s">
        <v>213</v>
      </c>
      <c r="C451" s="87" t="s">
        <v>21</v>
      </c>
      <c r="D451" s="84">
        <v>41723</v>
      </c>
      <c r="E451" s="88">
        <f t="shared" si="42"/>
        <v>2014</v>
      </c>
      <c r="F451" s="89">
        <v>15499000000</v>
      </c>
      <c r="G451" s="89">
        <v>12471000000</v>
      </c>
      <c r="H451" s="89">
        <v>1036000000</v>
      </c>
      <c r="I451" s="89">
        <v>0</v>
      </c>
      <c r="J451" s="89">
        <v>94000000</v>
      </c>
      <c r="K451" s="87" t="s">
        <v>25</v>
      </c>
      <c r="L451" s="87" t="s">
        <v>127</v>
      </c>
      <c r="M451" s="90">
        <f t="shared" ref="M451:M514" si="45">F451-G451</f>
        <v>3028000000</v>
      </c>
      <c r="N451" s="89">
        <f t="shared" ref="N451:N514" si="46">H451+I451+J451</f>
        <v>1130000000</v>
      </c>
      <c r="O451" s="89">
        <f t="shared" ref="O451:O514" si="47">M451-N451</f>
        <v>1898000000</v>
      </c>
      <c r="P451" s="87">
        <f t="shared" si="43"/>
        <v>0.1224595135170011</v>
      </c>
      <c r="Q451" s="87">
        <f t="shared" si="44"/>
        <v>0.19536744306084264</v>
      </c>
    </row>
    <row r="452" spans="1:17">
      <c r="A452" s="83">
        <v>478</v>
      </c>
      <c r="B452" s="83" t="s">
        <v>213</v>
      </c>
      <c r="C452" s="83" t="s">
        <v>22</v>
      </c>
      <c r="D452" s="84">
        <v>41724</v>
      </c>
      <c r="E452" s="85">
        <f t="shared" si="42"/>
        <v>2014</v>
      </c>
      <c r="F452" s="86">
        <v>15165000000</v>
      </c>
      <c r="G452" s="86">
        <v>12155000000</v>
      </c>
      <c r="H452" s="86">
        <v>1017000000</v>
      </c>
      <c r="I452" s="86">
        <v>0</v>
      </c>
      <c r="J452" s="86">
        <v>93000000</v>
      </c>
      <c r="K452" s="83" t="s">
        <v>25</v>
      </c>
      <c r="L452" s="83" t="s">
        <v>127</v>
      </c>
      <c r="M452" s="91">
        <f t="shared" si="45"/>
        <v>3010000000</v>
      </c>
      <c r="N452" s="86">
        <f t="shared" si="46"/>
        <v>1110000000</v>
      </c>
      <c r="O452" s="86">
        <f t="shared" si="47"/>
        <v>1900000000</v>
      </c>
      <c r="P452" s="83">
        <f t="shared" si="43"/>
        <v>0.12528849324101549</v>
      </c>
      <c r="Q452" s="83">
        <f t="shared" si="44"/>
        <v>0.19848334981866134</v>
      </c>
    </row>
    <row r="453" spans="1:17">
      <c r="A453" s="87">
        <v>479</v>
      </c>
      <c r="B453" s="87" t="s">
        <v>213</v>
      </c>
      <c r="C453" s="87" t="s">
        <v>23</v>
      </c>
      <c r="D453" s="84">
        <v>41725</v>
      </c>
      <c r="E453" s="88">
        <f t="shared" si="42"/>
        <v>2014</v>
      </c>
      <c r="F453" s="89">
        <v>16661000000</v>
      </c>
      <c r="G453" s="89">
        <v>13107000000</v>
      </c>
      <c r="H453" s="89">
        <v>1145000000</v>
      </c>
      <c r="I453" s="89">
        <v>0</v>
      </c>
      <c r="J453" s="89">
        <v>134000000</v>
      </c>
      <c r="K453" s="87" t="s">
        <v>25</v>
      </c>
      <c r="L453" s="87" t="s">
        <v>127</v>
      </c>
      <c r="M453" s="90">
        <f t="shared" si="45"/>
        <v>3554000000</v>
      </c>
      <c r="N453" s="89">
        <f t="shared" si="46"/>
        <v>1279000000</v>
      </c>
      <c r="O453" s="89">
        <f t="shared" si="47"/>
        <v>2275000000</v>
      </c>
      <c r="P453" s="87">
        <f t="shared" si="43"/>
        <v>0.13654642578476683</v>
      </c>
      <c r="Q453" s="87">
        <f t="shared" si="44"/>
        <v>0.21331252625892805</v>
      </c>
    </row>
    <row r="454" spans="1:17">
      <c r="A454" s="83">
        <v>480</v>
      </c>
      <c r="B454" s="83" t="s">
        <v>214</v>
      </c>
      <c r="C454" s="83" t="s">
        <v>18</v>
      </c>
      <c r="D454" s="84">
        <v>41726</v>
      </c>
      <c r="E454" s="85">
        <f t="shared" si="42"/>
        <v>2014</v>
      </c>
      <c r="F454" s="86">
        <v>1279067000</v>
      </c>
      <c r="G454" s="86">
        <v>461898000</v>
      </c>
      <c r="H454" s="86">
        <v>68538000</v>
      </c>
      <c r="I454" s="86">
        <v>0</v>
      </c>
      <c r="J454" s="86">
        <v>382553000</v>
      </c>
      <c r="K454" s="83" t="s">
        <v>58</v>
      </c>
      <c r="L454" s="83" t="s">
        <v>81</v>
      </c>
      <c r="M454" s="91">
        <f t="shared" si="45"/>
        <v>817169000</v>
      </c>
      <c r="N454" s="86">
        <f t="shared" si="46"/>
        <v>451091000</v>
      </c>
      <c r="O454" s="86">
        <f t="shared" si="47"/>
        <v>366078000</v>
      </c>
      <c r="P454" s="83">
        <f t="shared" si="43"/>
        <v>0.2862070556116294</v>
      </c>
      <c r="Q454" s="83">
        <f t="shared" si="44"/>
        <v>0.63887896411994061</v>
      </c>
    </row>
    <row r="455" spans="1:17">
      <c r="A455" s="87">
        <v>481</v>
      </c>
      <c r="B455" s="87" t="s">
        <v>214</v>
      </c>
      <c r="C455" s="87" t="s">
        <v>21</v>
      </c>
      <c r="D455" s="84">
        <v>41727</v>
      </c>
      <c r="E455" s="88">
        <f t="shared" si="42"/>
        <v>2014</v>
      </c>
      <c r="F455" s="89">
        <v>1482259000</v>
      </c>
      <c r="G455" s="89">
        <v>555660000</v>
      </c>
      <c r="H455" s="89">
        <v>69323000</v>
      </c>
      <c r="I455" s="89">
        <v>0</v>
      </c>
      <c r="J455" s="89">
        <v>475464000</v>
      </c>
      <c r="K455" s="87" t="s">
        <v>58</v>
      </c>
      <c r="L455" s="87" t="s">
        <v>81</v>
      </c>
      <c r="M455" s="90">
        <f t="shared" si="45"/>
        <v>926599000</v>
      </c>
      <c r="N455" s="89">
        <f t="shared" si="46"/>
        <v>544787000</v>
      </c>
      <c r="O455" s="89">
        <f t="shared" si="47"/>
        <v>381812000</v>
      </c>
      <c r="P455" s="87">
        <f t="shared" si="43"/>
        <v>0.2575879114243867</v>
      </c>
      <c r="Q455" s="87">
        <f t="shared" si="44"/>
        <v>0.62512624311945486</v>
      </c>
    </row>
    <row r="456" spans="1:17">
      <c r="A456" s="83">
        <v>482</v>
      </c>
      <c r="B456" s="83" t="s">
        <v>214</v>
      </c>
      <c r="C456" s="83" t="s">
        <v>22</v>
      </c>
      <c r="D456" s="84">
        <v>41728</v>
      </c>
      <c r="E456" s="85">
        <f t="shared" si="42"/>
        <v>2014</v>
      </c>
      <c r="F456" s="86">
        <v>1616438000</v>
      </c>
      <c r="G456" s="86">
        <v>603321000</v>
      </c>
      <c r="H456" s="86">
        <v>89468000</v>
      </c>
      <c r="I456" s="86">
        <v>0</v>
      </c>
      <c r="J456" s="86">
        <v>538513000</v>
      </c>
      <c r="K456" s="83" t="s">
        <v>58</v>
      </c>
      <c r="L456" s="83" t="s">
        <v>81</v>
      </c>
      <c r="M456" s="91">
        <f t="shared" si="45"/>
        <v>1013117000</v>
      </c>
      <c r="N456" s="86">
        <f t="shared" si="46"/>
        <v>627981000</v>
      </c>
      <c r="O456" s="86">
        <f t="shared" si="47"/>
        <v>385136000</v>
      </c>
      <c r="P456" s="83">
        <f t="shared" si="43"/>
        <v>0.238262154193356</v>
      </c>
      <c r="Q456" s="83">
        <f t="shared" si="44"/>
        <v>0.62675896013333021</v>
      </c>
    </row>
    <row r="457" spans="1:17">
      <c r="A457" s="87">
        <v>483</v>
      </c>
      <c r="B457" s="87" t="s">
        <v>214</v>
      </c>
      <c r="C457" s="87" t="s">
        <v>23</v>
      </c>
      <c r="D457" s="84">
        <v>41729</v>
      </c>
      <c r="E457" s="88">
        <f t="shared" si="42"/>
        <v>2014</v>
      </c>
      <c r="F457" s="89">
        <v>1763336000</v>
      </c>
      <c r="G457" s="89">
        <v>651282000</v>
      </c>
      <c r="H457" s="89">
        <v>139616000</v>
      </c>
      <c r="I457" s="89">
        <v>0</v>
      </c>
      <c r="J457" s="89">
        <v>570527000</v>
      </c>
      <c r="K457" s="87" t="s">
        <v>58</v>
      </c>
      <c r="L457" s="87" t="s">
        <v>81</v>
      </c>
      <c r="M457" s="90">
        <f t="shared" si="45"/>
        <v>1112054000</v>
      </c>
      <c r="N457" s="89">
        <f t="shared" si="46"/>
        <v>710143000</v>
      </c>
      <c r="O457" s="89">
        <f t="shared" si="47"/>
        <v>401911000</v>
      </c>
      <c r="P457" s="87">
        <f t="shared" si="43"/>
        <v>0.22792649840983228</v>
      </c>
      <c r="Q457" s="87">
        <f t="shared" si="44"/>
        <v>0.630653488614762</v>
      </c>
    </row>
    <row r="458" spans="1:17">
      <c r="A458" s="83">
        <v>484</v>
      </c>
      <c r="B458" s="83" t="s">
        <v>215</v>
      </c>
      <c r="C458" s="83" t="s">
        <v>18</v>
      </c>
      <c r="D458" s="84">
        <v>41730</v>
      </c>
      <c r="E458" s="85">
        <f t="shared" si="42"/>
        <v>2014</v>
      </c>
      <c r="F458" s="86">
        <v>7394500000</v>
      </c>
      <c r="G458" s="86">
        <v>4741800000</v>
      </c>
      <c r="H458" s="86">
        <v>1732600000</v>
      </c>
      <c r="I458" s="86">
        <v>0</v>
      </c>
      <c r="J458" s="86">
        <v>0</v>
      </c>
      <c r="K458" s="83" t="s">
        <v>25</v>
      </c>
      <c r="L458" s="83" t="s">
        <v>203</v>
      </c>
      <c r="M458" s="91">
        <f t="shared" si="45"/>
        <v>2652700000</v>
      </c>
      <c r="N458" s="86">
        <f t="shared" si="46"/>
        <v>1732600000</v>
      </c>
      <c r="O458" s="86">
        <f t="shared" si="47"/>
        <v>920100000</v>
      </c>
      <c r="P458" s="83">
        <f t="shared" si="43"/>
        <v>0.12443031983230779</v>
      </c>
      <c r="Q458" s="83">
        <f t="shared" si="44"/>
        <v>0.35873960375955105</v>
      </c>
    </row>
    <row r="459" spans="1:17">
      <c r="A459" s="87">
        <v>485</v>
      </c>
      <c r="B459" s="87" t="s">
        <v>215</v>
      </c>
      <c r="C459" s="87" t="s">
        <v>21</v>
      </c>
      <c r="D459" s="84">
        <v>41731</v>
      </c>
      <c r="E459" s="88">
        <f t="shared" si="42"/>
        <v>2014</v>
      </c>
      <c r="F459" s="89">
        <v>7840300000</v>
      </c>
      <c r="G459" s="89">
        <v>5050500000</v>
      </c>
      <c r="H459" s="89">
        <v>1819500000</v>
      </c>
      <c r="I459" s="89">
        <v>0</v>
      </c>
      <c r="J459" s="89">
        <v>0</v>
      </c>
      <c r="K459" s="87" t="s">
        <v>25</v>
      </c>
      <c r="L459" s="87" t="s">
        <v>203</v>
      </c>
      <c r="M459" s="90">
        <f t="shared" si="45"/>
        <v>2789800000</v>
      </c>
      <c r="N459" s="89">
        <f t="shared" si="46"/>
        <v>1819500000</v>
      </c>
      <c r="O459" s="89">
        <f t="shared" si="47"/>
        <v>970300000</v>
      </c>
      <c r="P459" s="87">
        <f t="shared" si="43"/>
        <v>0.12375801946354094</v>
      </c>
      <c r="Q459" s="87">
        <f t="shared" si="44"/>
        <v>0.35582822085889576</v>
      </c>
    </row>
    <row r="460" spans="1:17">
      <c r="A460" s="83">
        <v>486</v>
      </c>
      <c r="B460" s="83" t="s">
        <v>215</v>
      </c>
      <c r="C460" s="83" t="s">
        <v>22</v>
      </c>
      <c r="D460" s="84">
        <v>41732</v>
      </c>
      <c r="E460" s="85">
        <f t="shared" si="42"/>
        <v>2014</v>
      </c>
      <c r="F460" s="86">
        <v>8602200000</v>
      </c>
      <c r="G460" s="86">
        <v>5568200000</v>
      </c>
      <c r="H460" s="86">
        <v>1993800000</v>
      </c>
      <c r="I460" s="86">
        <v>0</v>
      </c>
      <c r="J460" s="86">
        <v>0</v>
      </c>
      <c r="K460" s="83" t="s">
        <v>25</v>
      </c>
      <c r="L460" s="83" t="s">
        <v>203</v>
      </c>
      <c r="M460" s="91">
        <f t="shared" si="45"/>
        <v>3034000000</v>
      </c>
      <c r="N460" s="86">
        <f t="shared" si="46"/>
        <v>1993800000</v>
      </c>
      <c r="O460" s="86">
        <f t="shared" si="47"/>
        <v>1040200000</v>
      </c>
      <c r="P460" s="83">
        <f t="shared" si="43"/>
        <v>0.12092255469531051</v>
      </c>
      <c r="Q460" s="83">
        <f t="shared" si="44"/>
        <v>0.35270047197228616</v>
      </c>
    </row>
    <row r="461" spans="1:17">
      <c r="A461" s="87">
        <v>487</v>
      </c>
      <c r="B461" s="87" t="s">
        <v>215</v>
      </c>
      <c r="C461" s="87" t="s">
        <v>23</v>
      </c>
      <c r="D461" s="84">
        <v>41733</v>
      </c>
      <c r="E461" s="88">
        <f t="shared" si="42"/>
        <v>2014</v>
      </c>
      <c r="F461" s="89">
        <v>15498400000</v>
      </c>
      <c r="G461" s="89">
        <v>10841700000</v>
      </c>
      <c r="H461" s="89">
        <v>3607000000</v>
      </c>
      <c r="I461" s="89">
        <v>0</v>
      </c>
      <c r="J461" s="89">
        <v>0</v>
      </c>
      <c r="K461" s="87" t="s">
        <v>25</v>
      </c>
      <c r="L461" s="87" t="s">
        <v>203</v>
      </c>
      <c r="M461" s="90">
        <f t="shared" si="45"/>
        <v>4656700000</v>
      </c>
      <c r="N461" s="89">
        <f t="shared" si="46"/>
        <v>3607000000</v>
      </c>
      <c r="O461" s="89">
        <f t="shared" si="47"/>
        <v>1049700000</v>
      </c>
      <c r="P461" s="87">
        <f t="shared" si="43"/>
        <v>6.7729572084860371E-2</v>
      </c>
      <c r="Q461" s="87">
        <f t="shared" si="44"/>
        <v>0.30046327362824554</v>
      </c>
    </row>
    <row r="462" spans="1:17">
      <c r="A462" s="83">
        <v>488</v>
      </c>
      <c r="B462" s="83" t="s">
        <v>216</v>
      </c>
      <c r="C462" s="83" t="s">
        <v>18</v>
      </c>
      <c r="D462" s="84">
        <v>41734</v>
      </c>
      <c r="E462" s="85">
        <f t="shared" si="42"/>
        <v>2014</v>
      </c>
      <c r="F462" s="86">
        <v>1663000000</v>
      </c>
      <c r="G462" s="86">
        <v>0</v>
      </c>
      <c r="H462" s="86">
        <v>1123200000</v>
      </c>
      <c r="I462" s="86">
        <v>0</v>
      </c>
      <c r="J462" s="86">
        <v>78300000</v>
      </c>
      <c r="K462" s="83" t="s">
        <v>19</v>
      </c>
      <c r="L462" s="83" t="s">
        <v>217</v>
      </c>
      <c r="M462" s="91">
        <f t="shared" si="45"/>
        <v>1663000000</v>
      </c>
      <c r="N462" s="86">
        <f t="shared" si="46"/>
        <v>1201500000</v>
      </c>
      <c r="O462" s="86">
        <f t="shared" si="47"/>
        <v>461500000</v>
      </c>
      <c r="P462" s="83">
        <f t="shared" si="43"/>
        <v>0.27751052315093205</v>
      </c>
      <c r="Q462" s="83">
        <f t="shared" si="44"/>
        <v>1</v>
      </c>
    </row>
    <row r="463" spans="1:17">
      <c r="A463" s="87">
        <v>489</v>
      </c>
      <c r="B463" s="87" t="s">
        <v>216</v>
      </c>
      <c r="C463" s="87" t="s">
        <v>21</v>
      </c>
      <c r="D463" s="84">
        <v>41735</v>
      </c>
      <c r="E463" s="88">
        <f t="shared" si="42"/>
        <v>2014</v>
      </c>
      <c r="F463" s="89">
        <v>1558400000</v>
      </c>
      <c r="G463" s="89">
        <v>0</v>
      </c>
      <c r="H463" s="89">
        <v>1058000000</v>
      </c>
      <c r="I463" s="89">
        <v>0</v>
      </c>
      <c r="J463" s="89">
        <v>60400000</v>
      </c>
      <c r="K463" s="87" t="s">
        <v>19</v>
      </c>
      <c r="L463" s="87" t="s">
        <v>217</v>
      </c>
      <c r="M463" s="90">
        <f t="shared" si="45"/>
        <v>1558400000</v>
      </c>
      <c r="N463" s="89">
        <f t="shared" si="46"/>
        <v>1118400000</v>
      </c>
      <c r="O463" s="89">
        <f t="shared" si="47"/>
        <v>440000000</v>
      </c>
      <c r="P463" s="87">
        <f t="shared" si="43"/>
        <v>0.28234086242299794</v>
      </c>
      <c r="Q463" s="87">
        <f t="shared" si="44"/>
        <v>1</v>
      </c>
    </row>
    <row r="464" spans="1:17">
      <c r="A464" s="83">
        <v>490</v>
      </c>
      <c r="B464" s="83" t="s">
        <v>216</v>
      </c>
      <c r="C464" s="83" t="s">
        <v>22</v>
      </c>
      <c r="D464" s="84">
        <v>41736</v>
      </c>
      <c r="E464" s="85">
        <f t="shared" si="42"/>
        <v>2014</v>
      </c>
      <c r="F464" s="86">
        <v>1584500000</v>
      </c>
      <c r="G464" s="86">
        <v>0</v>
      </c>
      <c r="H464" s="86">
        <v>1105700000</v>
      </c>
      <c r="I464" s="86">
        <v>0</v>
      </c>
      <c r="J464" s="86">
        <v>52500000</v>
      </c>
      <c r="K464" s="83" t="s">
        <v>19</v>
      </c>
      <c r="L464" s="83" t="s">
        <v>217</v>
      </c>
      <c r="M464" s="91">
        <f t="shared" si="45"/>
        <v>1584500000</v>
      </c>
      <c r="N464" s="86">
        <f t="shared" si="46"/>
        <v>1158200000</v>
      </c>
      <c r="O464" s="86">
        <f t="shared" si="47"/>
        <v>426300000</v>
      </c>
      <c r="P464" s="83">
        <f t="shared" si="43"/>
        <v>0.26904386241716632</v>
      </c>
      <c r="Q464" s="83">
        <f t="shared" si="44"/>
        <v>1</v>
      </c>
    </row>
    <row r="465" spans="1:17">
      <c r="A465" s="87">
        <v>491</v>
      </c>
      <c r="B465" s="87" t="s">
        <v>216</v>
      </c>
      <c r="C465" s="87" t="s">
        <v>23</v>
      </c>
      <c r="D465" s="84">
        <v>41737</v>
      </c>
      <c r="E465" s="88">
        <f t="shared" si="42"/>
        <v>2014</v>
      </c>
      <c r="F465" s="89">
        <v>1637100000</v>
      </c>
      <c r="G465" s="89">
        <v>0</v>
      </c>
      <c r="H465" s="89">
        <v>1209100000</v>
      </c>
      <c r="I465" s="89">
        <v>0</v>
      </c>
      <c r="J465" s="89">
        <v>58700000</v>
      </c>
      <c r="K465" s="87" t="s">
        <v>19</v>
      </c>
      <c r="L465" s="87" t="s">
        <v>217</v>
      </c>
      <c r="M465" s="90">
        <f t="shared" si="45"/>
        <v>1637100000</v>
      </c>
      <c r="N465" s="89">
        <f t="shared" si="46"/>
        <v>1267800000</v>
      </c>
      <c r="O465" s="89">
        <f t="shared" si="47"/>
        <v>369300000</v>
      </c>
      <c r="P465" s="87">
        <f t="shared" si="43"/>
        <v>0.22558182151365219</v>
      </c>
      <c r="Q465" s="87">
        <f t="shared" si="44"/>
        <v>1</v>
      </c>
    </row>
    <row r="466" spans="1:17">
      <c r="A466" s="83">
        <v>492</v>
      </c>
      <c r="B466" s="83" t="s">
        <v>218</v>
      </c>
      <c r="C466" s="83" t="s">
        <v>18</v>
      </c>
      <c r="D466" s="84">
        <v>41738</v>
      </c>
      <c r="E466" s="85">
        <f t="shared" si="42"/>
        <v>2014</v>
      </c>
      <c r="F466" s="86">
        <v>7155096000</v>
      </c>
      <c r="G466" s="86">
        <v>4376505000</v>
      </c>
      <c r="H466" s="86">
        <v>1616921000</v>
      </c>
      <c r="I466" s="86">
        <v>0</v>
      </c>
      <c r="J466" s="86">
        <v>0</v>
      </c>
      <c r="K466" s="83" t="s">
        <v>19</v>
      </c>
      <c r="L466" s="83" t="s">
        <v>163</v>
      </c>
      <c r="M466" s="91">
        <f t="shared" si="45"/>
        <v>2778591000</v>
      </c>
      <c r="N466" s="86">
        <f t="shared" si="46"/>
        <v>1616921000</v>
      </c>
      <c r="O466" s="86">
        <f t="shared" si="47"/>
        <v>1161670000</v>
      </c>
      <c r="P466" s="83">
        <f t="shared" si="43"/>
        <v>0.16235561339777971</v>
      </c>
      <c r="Q466" s="83">
        <f t="shared" si="44"/>
        <v>0.38833734725571811</v>
      </c>
    </row>
    <row r="467" spans="1:17">
      <c r="A467" s="87">
        <v>493</v>
      </c>
      <c r="B467" s="87" t="s">
        <v>218</v>
      </c>
      <c r="C467" s="87" t="s">
        <v>21</v>
      </c>
      <c r="D467" s="84">
        <v>41739</v>
      </c>
      <c r="E467" s="88">
        <f t="shared" si="42"/>
        <v>2014</v>
      </c>
      <c r="F467" s="89">
        <v>7752728000</v>
      </c>
      <c r="G467" s="89">
        <v>4778479000</v>
      </c>
      <c r="H467" s="89">
        <v>1758765000</v>
      </c>
      <c r="I467" s="89">
        <v>0</v>
      </c>
      <c r="J467" s="89">
        <v>0</v>
      </c>
      <c r="K467" s="87" t="s">
        <v>19</v>
      </c>
      <c r="L467" s="87" t="s">
        <v>163</v>
      </c>
      <c r="M467" s="90">
        <f t="shared" si="45"/>
        <v>2974249000</v>
      </c>
      <c r="N467" s="89">
        <f t="shared" si="46"/>
        <v>1758765000</v>
      </c>
      <c r="O467" s="89">
        <f t="shared" si="47"/>
        <v>1215484000</v>
      </c>
      <c r="P467" s="87">
        <f t="shared" si="43"/>
        <v>0.15678145808804334</v>
      </c>
      <c r="Q467" s="87">
        <f t="shared" si="44"/>
        <v>0.38363902357982893</v>
      </c>
    </row>
    <row r="468" spans="1:17">
      <c r="A468" s="83">
        <v>494</v>
      </c>
      <c r="B468" s="83" t="s">
        <v>218</v>
      </c>
      <c r="C468" s="83" t="s">
        <v>22</v>
      </c>
      <c r="D468" s="84">
        <v>41740</v>
      </c>
      <c r="E468" s="85">
        <f t="shared" si="42"/>
        <v>2014</v>
      </c>
      <c r="F468" s="86">
        <v>6956311000</v>
      </c>
      <c r="G468" s="86">
        <v>4388167000</v>
      </c>
      <c r="H468" s="86">
        <v>1647382000</v>
      </c>
      <c r="I468" s="86">
        <v>0</v>
      </c>
      <c r="J468" s="86">
        <v>0</v>
      </c>
      <c r="K468" s="83" t="s">
        <v>19</v>
      </c>
      <c r="L468" s="83" t="s">
        <v>163</v>
      </c>
      <c r="M468" s="91">
        <f t="shared" si="45"/>
        <v>2568144000</v>
      </c>
      <c r="N468" s="86">
        <f t="shared" si="46"/>
        <v>1647382000</v>
      </c>
      <c r="O468" s="86">
        <f t="shared" si="47"/>
        <v>920762000</v>
      </c>
      <c r="P468" s="83">
        <f t="shared" si="43"/>
        <v>0.13236354728821068</v>
      </c>
      <c r="Q468" s="83">
        <f t="shared" si="44"/>
        <v>0.36918188390369555</v>
      </c>
    </row>
    <row r="469" spans="1:17">
      <c r="A469" s="87">
        <v>495</v>
      </c>
      <c r="B469" s="87" t="s">
        <v>218</v>
      </c>
      <c r="C469" s="87" t="s">
        <v>23</v>
      </c>
      <c r="D469" s="84">
        <v>41741</v>
      </c>
      <c r="E469" s="88">
        <f t="shared" si="42"/>
        <v>2014</v>
      </c>
      <c r="F469" s="89">
        <v>6794342000</v>
      </c>
      <c r="G469" s="89">
        <v>4322373000</v>
      </c>
      <c r="H469" s="89">
        <v>1757523000</v>
      </c>
      <c r="I469" s="89">
        <v>0</v>
      </c>
      <c r="J469" s="89">
        <v>0</v>
      </c>
      <c r="K469" s="87" t="s">
        <v>19</v>
      </c>
      <c r="L469" s="87" t="s">
        <v>163</v>
      </c>
      <c r="M469" s="90">
        <f t="shared" si="45"/>
        <v>2471969000</v>
      </c>
      <c r="N469" s="89">
        <f t="shared" si="46"/>
        <v>1757523000</v>
      </c>
      <c r="O469" s="89">
        <f t="shared" si="47"/>
        <v>714446000</v>
      </c>
      <c r="P469" s="87">
        <f t="shared" si="43"/>
        <v>0.10515308178481449</v>
      </c>
      <c r="Q469" s="87">
        <f t="shared" si="44"/>
        <v>0.36382757888843398</v>
      </c>
    </row>
    <row r="470" spans="1:17">
      <c r="A470" s="83">
        <v>496</v>
      </c>
      <c r="B470" s="83" t="s">
        <v>219</v>
      </c>
      <c r="C470" s="83" t="s">
        <v>18</v>
      </c>
      <c r="D470" s="84">
        <v>41742</v>
      </c>
      <c r="E470" s="85">
        <f t="shared" si="42"/>
        <v>2014</v>
      </c>
      <c r="F470" s="86">
        <v>5997000000</v>
      </c>
      <c r="G470" s="86">
        <v>2499000000</v>
      </c>
      <c r="H470" s="86">
        <v>2337000000</v>
      </c>
      <c r="I470" s="86">
        <v>0</v>
      </c>
      <c r="J470" s="86">
        <v>115000000</v>
      </c>
      <c r="K470" s="83" t="s">
        <v>42</v>
      </c>
      <c r="L470" s="83" t="s">
        <v>220</v>
      </c>
      <c r="M470" s="91">
        <f t="shared" si="45"/>
        <v>3498000000</v>
      </c>
      <c r="N470" s="86">
        <f t="shared" si="46"/>
        <v>2452000000</v>
      </c>
      <c r="O470" s="86">
        <f t="shared" si="47"/>
        <v>1046000000</v>
      </c>
      <c r="P470" s="83">
        <f t="shared" si="43"/>
        <v>0.1744205436051359</v>
      </c>
      <c r="Q470" s="83">
        <f t="shared" si="44"/>
        <v>0.58329164582291138</v>
      </c>
    </row>
    <row r="471" spans="1:17">
      <c r="A471" s="87">
        <v>497</v>
      </c>
      <c r="B471" s="87" t="s">
        <v>219</v>
      </c>
      <c r="C471" s="87" t="s">
        <v>21</v>
      </c>
      <c r="D471" s="84">
        <v>41743</v>
      </c>
      <c r="E471" s="88">
        <f t="shared" si="42"/>
        <v>2014</v>
      </c>
      <c r="F471" s="89">
        <v>6121000000</v>
      </c>
      <c r="G471" s="89">
        <v>2491000000</v>
      </c>
      <c r="H471" s="89">
        <v>2335000000</v>
      </c>
      <c r="I471" s="89">
        <v>0</v>
      </c>
      <c r="J471" s="89">
        <v>115000000</v>
      </c>
      <c r="K471" s="87" t="s">
        <v>42</v>
      </c>
      <c r="L471" s="87" t="s">
        <v>220</v>
      </c>
      <c r="M471" s="90">
        <f t="shared" si="45"/>
        <v>3630000000</v>
      </c>
      <c r="N471" s="89">
        <f t="shared" si="46"/>
        <v>2450000000</v>
      </c>
      <c r="O471" s="89">
        <f t="shared" si="47"/>
        <v>1180000000</v>
      </c>
      <c r="P471" s="87">
        <f t="shared" si="43"/>
        <v>0.19277895768665251</v>
      </c>
      <c r="Q471" s="87">
        <f t="shared" si="44"/>
        <v>0.59304035288351575</v>
      </c>
    </row>
    <row r="472" spans="1:17">
      <c r="A472" s="83">
        <v>498</v>
      </c>
      <c r="B472" s="83" t="s">
        <v>219</v>
      </c>
      <c r="C472" s="83" t="s">
        <v>22</v>
      </c>
      <c r="D472" s="84">
        <v>41744</v>
      </c>
      <c r="E472" s="85">
        <f t="shared" si="42"/>
        <v>2014</v>
      </c>
      <c r="F472" s="86">
        <v>6282000000</v>
      </c>
      <c r="G472" s="86">
        <v>2559000000</v>
      </c>
      <c r="H472" s="86">
        <v>2320000000</v>
      </c>
      <c r="I472" s="86">
        <v>0</v>
      </c>
      <c r="J472" s="86">
        <v>105000000</v>
      </c>
      <c r="K472" s="83" t="s">
        <v>42</v>
      </c>
      <c r="L472" s="83" t="s">
        <v>220</v>
      </c>
      <c r="M472" s="91">
        <f t="shared" si="45"/>
        <v>3723000000</v>
      </c>
      <c r="N472" s="86">
        <f t="shared" si="46"/>
        <v>2425000000</v>
      </c>
      <c r="O472" s="86">
        <f t="shared" si="47"/>
        <v>1298000000</v>
      </c>
      <c r="P472" s="83">
        <f t="shared" si="43"/>
        <v>0.20662209487424388</v>
      </c>
      <c r="Q472" s="83">
        <f t="shared" si="44"/>
        <v>0.59264565425023874</v>
      </c>
    </row>
    <row r="473" spans="1:17">
      <c r="A473" s="87">
        <v>499</v>
      </c>
      <c r="B473" s="87" t="s">
        <v>219</v>
      </c>
      <c r="C473" s="87" t="s">
        <v>23</v>
      </c>
      <c r="D473" s="84">
        <v>41745</v>
      </c>
      <c r="E473" s="88">
        <f t="shared" si="42"/>
        <v>2014</v>
      </c>
      <c r="F473" s="89">
        <v>6440000000</v>
      </c>
      <c r="G473" s="89">
        <v>2582000000</v>
      </c>
      <c r="H473" s="89">
        <v>2326000000</v>
      </c>
      <c r="I473" s="89">
        <v>0</v>
      </c>
      <c r="J473" s="89">
        <v>99000000</v>
      </c>
      <c r="K473" s="87" t="s">
        <v>42</v>
      </c>
      <c r="L473" s="87" t="s">
        <v>220</v>
      </c>
      <c r="M473" s="90">
        <f t="shared" si="45"/>
        <v>3858000000</v>
      </c>
      <c r="N473" s="89">
        <f t="shared" si="46"/>
        <v>2425000000</v>
      </c>
      <c r="O473" s="89">
        <f t="shared" si="47"/>
        <v>1433000000</v>
      </c>
      <c r="P473" s="87">
        <f t="shared" si="43"/>
        <v>0.22251552795031057</v>
      </c>
      <c r="Q473" s="87">
        <f t="shared" si="44"/>
        <v>0.59906832298136647</v>
      </c>
    </row>
    <row r="474" spans="1:17">
      <c r="A474" s="83">
        <v>500</v>
      </c>
      <c r="B474" s="83" t="s">
        <v>221</v>
      </c>
      <c r="C474" s="83" t="s">
        <v>18</v>
      </c>
      <c r="D474" s="84">
        <v>41746</v>
      </c>
      <c r="E474" s="85">
        <f t="shared" si="42"/>
        <v>2014</v>
      </c>
      <c r="F474" s="86">
        <v>5921000000</v>
      </c>
      <c r="G474" s="86">
        <v>4616600000</v>
      </c>
      <c r="H474" s="86">
        <v>625200000</v>
      </c>
      <c r="I474" s="86">
        <v>0</v>
      </c>
      <c r="J474" s="86">
        <v>278300000</v>
      </c>
      <c r="K474" s="83" t="s">
        <v>25</v>
      </c>
      <c r="L474" s="83" t="s">
        <v>161</v>
      </c>
      <c r="M474" s="91">
        <f t="shared" si="45"/>
        <v>1304400000</v>
      </c>
      <c r="N474" s="86">
        <f t="shared" si="46"/>
        <v>903500000</v>
      </c>
      <c r="O474" s="86">
        <f t="shared" si="47"/>
        <v>400900000</v>
      </c>
      <c r="P474" s="83">
        <f t="shared" si="43"/>
        <v>6.7708157405843614E-2</v>
      </c>
      <c r="Q474" s="83">
        <f t="shared" si="44"/>
        <v>0.22030062489444346</v>
      </c>
    </row>
    <row r="475" spans="1:17">
      <c r="A475" s="87">
        <v>501</v>
      </c>
      <c r="B475" s="87" t="s">
        <v>221</v>
      </c>
      <c r="C475" s="87" t="s">
        <v>21</v>
      </c>
      <c r="D475" s="84">
        <v>41747</v>
      </c>
      <c r="E475" s="88">
        <f t="shared" si="42"/>
        <v>2014</v>
      </c>
      <c r="F475" s="89">
        <v>6285600000</v>
      </c>
      <c r="G475" s="89">
        <v>4990500000</v>
      </c>
      <c r="H475" s="89">
        <v>665400000</v>
      </c>
      <c r="I475" s="89">
        <v>0</v>
      </c>
      <c r="J475" s="89">
        <v>304400000</v>
      </c>
      <c r="K475" s="87" t="s">
        <v>25</v>
      </c>
      <c r="L475" s="87" t="s">
        <v>161</v>
      </c>
      <c r="M475" s="90">
        <f t="shared" si="45"/>
        <v>1295100000</v>
      </c>
      <c r="N475" s="89">
        <f t="shared" si="46"/>
        <v>969800000</v>
      </c>
      <c r="O475" s="89">
        <f t="shared" si="47"/>
        <v>325300000</v>
      </c>
      <c r="P475" s="87">
        <f t="shared" si="43"/>
        <v>5.175321369479445E-2</v>
      </c>
      <c r="Q475" s="87">
        <f t="shared" si="44"/>
        <v>0.20604238258877439</v>
      </c>
    </row>
    <row r="476" spans="1:17">
      <c r="A476" s="83">
        <v>502</v>
      </c>
      <c r="B476" s="83" t="s">
        <v>221</v>
      </c>
      <c r="C476" s="83" t="s">
        <v>22</v>
      </c>
      <c r="D476" s="84">
        <v>41748</v>
      </c>
      <c r="E476" s="85">
        <f t="shared" si="42"/>
        <v>2014</v>
      </c>
      <c r="F476" s="86">
        <v>6764000000</v>
      </c>
      <c r="G476" s="86">
        <v>5341500000</v>
      </c>
      <c r="H476" s="86">
        <v>673500000</v>
      </c>
      <c r="I476" s="86">
        <v>0</v>
      </c>
      <c r="J476" s="86">
        <v>319300000</v>
      </c>
      <c r="K476" s="83" t="s">
        <v>25</v>
      </c>
      <c r="L476" s="83" t="s">
        <v>161</v>
      </c>
      <c r="M476" s="91">
        <f t="shared" si="45"/>
        <v>1422500000</v>
      </c>
      <c r="N476" s="86">
        <f t="shared" si="46"/>
        <v>992800000</v>
      </c>
      <c r="O476" s="86">
        <f t="shared" si="47"/>
        <v>429700000</v>
      </c>
      <c r="P476" s="83">
        <f t="shared" si="43"/>
        <v>6.352749852158486E-2</v>
      </c>
      <c r="Q476" s="83">
        <f t="shared" si="44"/>
        <v>0.21030455351862798</v>
      </c>
    </row>
    <row r="477" spans="1:17">
      <c r="A477" s="87">
        <v>503</v>
      </c>
      <c r="B477" s="87" t="s">
        <v>221</v>
      </c>
      <c r="C477" s="87" t="s">
        <v>23</v>
      </c>
      <c r="D477" s="84">
        <v>41749</v>
      </c>
      <c r="E477" s="88">
        <f t="shared" si="42"/>
        <v>2014</v>
      </c>
      <c r="F477" s="89">
        <v>6933500000</v>
      </c>
      <c r="G477" s="89">
        <v>5392400000</v>
      </c>
      <c r="H477" s="89">
        <v>622900000</v>
      </c>
      <c r="I477" s="89">
        <v>0</v>
      </c>
      <c r="J477" s="89">
        <v>290200000</v>
      </c>
      <c r="K477" s="87" t="s">
        <v>25</v>
      </c>
      <c r="L477" s="87" t="s">
        <v>161</v>
      </c>
      <c r="M477" s="90">
        <f t="shared" si="45"/>
        <v>1541100000</v>
      </c>
      <c r="N477" s="89">
        <f t="shared" si="46"/>
        <v>913100000</v>
      </c>
      <c r="O477" s="89">
        <f t="shared" si="47"/>
        <v>628000000</v>
      </c>
      <c r="P477" s="87">
        <f t="shared" si="43"/>
        <v>9.0574745799379824E-2</v>
      </c>
      <c r="Q477" s="87">
        <f t="shared" si="44"/>
        <v>0.22226869546405137</v>
      </c>
    </row>
    <row r="478" spans="1:17">
      <c r="A478" s="83">
        <v>504</v>
      </c>
      <c r="B478" s="83" t="s">
        <v>222</v>
      </c>
      <c r="C478" s="83" t="s">
        <v>18</v>
      </c>
      <c r="D478" s="84">
        <v>41750</v>
      </c>
      <c r="E478" s="85">
        <f t="shared" si="42"/>
        <v>2014</v>
      </c>
      <c r="F478" s="86">
        <v>17912000000</v>
      </c>
      <c r="G478" s="86">
        <v>11235000000</v>
      </c>
      <c r="H478" s="86">
        <v>965000000</v>
      </c>
      <c r="I478" s="86">
        <v>0</v>
      </c>
      <c r="J478" s="86">
        <v>2145000000</v>
      </c>
      <c r="K478" s="83" t="s">
        <v>48</v>
      </c>
      <c r="L478" s="83" t="s">
        <v>51</v>
      </c>
      <c r="M478" s="91">
        <f t="shared" si="45"/>
        <v>6677000000</v>
      </c>
      <c r="N478" s="86">
        <f t="shared" si="46"/>
        <v>3110000000</v>
      </c>
      <c r="O478" s="86">
        <f t="shared" si="47"/>
        <v>3567000000</v>
      </c>
      <c r="P478" s="83">
        <f t="shared" si="43"/>
        <v>0.19914024117909782</v>
      </c>
      <c r="Q478" s="83">
        <f t="shared" si="44"/>
        <v>0.37276686020544891</v>
      </c>
    </row>
    <row r="479" spans="1:17">
      <c r="A479" s="87">
        <v>505</v>
      </c>
      <c r="B479" s="87" t="s">
        <v>222</v>
      </c>
      <c r="C479" s="87" t="s">
        <v>21</v>
      </c>
      <c r="D479" s="84">
        <v>41751</v>
      </c>
      <c r="E479" s="88">
        <f t="shared" si="42"/>
        <v>2014</v>
      </c>
      <c r="F479" s="89">
        <v>22756000000</v>
      </c>
      <c r="G479" s="89">
        <v>13545000000</v>
      </c>
      <c r="H479" s="89">
        <v>1274000000</v>
      </c>
      <c r="I479" s="89">
        <v>0</v>
      </c>
      <c r="J479" s="89">
        <v>2668000000</v>
      </c>
      <c r="K479" s="87" t="s">
        <v>48</v>
      </c>
      <c r="L479" s="87" t="s">
        <v>51</v>
      </c>
      <c r="M479" s="90">
        <f t="shared" si="45"/>
        <v>9211000000</v>
      </c>
      <c r="N479" s="89">
        <f t="shared" si="46"/>
        <v>3942000000</v>
      </c>
      <c r="O479" s="89">
        <f t="shared" si="47"/>
        <v>5269000000</v>
      </c>
      <c r="P479" s="87">
        <f t="shared" si="43"/>
        <v>0.23154332923185095</v>
      </c>
      <c r="Q479" s="87">
        <f t="shared" si="44"/>
        <v>0.40477236772719283</v>
      </c>
    </row>
    <row r="480" spans="1:17">
      <c r="A480" s="83">
        <v>506</v>
      </c>
      <c r="B480" s="83" t="s">
        <v>222</v>
      </c>
      <c r="C480" s="83" t="s">
        <v>22</v>
      </c>
      <c r="D480" s="84">
        <v>41752</v>
      </c>
      <c r="E480" s="85">
        <f t="shared" si="42"/>
        <v>2014</v>
      </c>
      <c r="F480" s="86">
        <v>23925000000</v>
      </c>
      <c r="G480" s="86">
        <v>14323000000</v>
      </c>
      <c r="H480" s="86">
        <v>1213000000</v>
      </c>
      <c r="I480" s="86">
        <v>0</v>
      </c>
      <c r="J480" s="86">
        <v>3066000000</v>
      </c>
      <c r="K480" s="83" t="s">
        <v>48</v>
      </c>
      <c r="L480" s="83" t="s">
        <v>51</v>
      </c>
      <c r="M480" s="91">
        <f t="shared" si="45"/>
        <v>9602000000</v>
      </c>
      <c r="N480" s="86">
        <f t="shared" si="46"/>
        <v>4279000000</v>
      </c>
      <c r="O480" s="86">
        <f t="shared" si="47"/>
        <v>5323000000</v>
      </c>
      <c r="P480" s="83">
        <f t="shared" si="43"/>
        <v>0.22248693834900732</v>
      </c>
      <c r="Q480" s="83">
        <f t="shared" si="44"/>
        <v>0.401337513061651</v>
      </c>
    </row>
    <row r="481" spans="1:17">
      <c r="A481" s="87">
        <v>507</v>
      </c>
      <c r="B481" s="87" t="s">
        <v>222</v>
      </c>
      <c r="C481" s="87" t="s">
        <v>23</v>
      </c>
      <c r="D481" s="84">
        <v>41753</v>
      </c>
      <c r="E481" s="88">
        <f t="shared" si="42"/>
        <v>2014</v>
      </c>
      <c r="F481" s="89">
        <v>23459000000</v>
      </c>
      <c r="G481" s="89">
        <v>13728000000</v>
      </c>
      <c r="H481" s="89">
        <v>1135000000</v>
      </c>
      <c r="I481" s="89">
        <v>0</v>
      </c>
      <c r="J481" s="89">
        <v>3144000000</v>
      </c>
      <c r="K481" s="87" t="s">
        <v>48</v>
      </c>
      <c r="L481" s="87" t="s">
        <v>51</v>
      </c>
      <c r="M481" s="90">
        <f t="shared" si="45"/>
        <v>9731000000</v>
      </c>
      <c r="N481" s="89">
        <f t="shared" si="46"/>
        <v>4279000000</v>
      </c>
      <c r="O481" s="89">
        <f t="shared" si="47"/>
        <v>5452000000</v>
      </c>
      <c r="P481" s="87">
        <f t="shared" si="43"/>
        <v>0.23240547337908693</v>
      </c>
      <c r="Q481" s="87">
        <f t="shared" si="44"/>
        <v>0.41480881538002468</v>
      </c>
    </row>
    <row r="482" spans="1:17">
      <c r="A482" s="83">
        <v>508</v>
      </c>
      <c r="B482" s="83" t="s">
        <v>223</v>
      </c>
      <c r="C482" s="83" t="s">
        <v>18</v>
      </c>
      <c r="D482" s="84">
        <v>41754</v>
      </c>
      <c r="E482" s="85">
        <f t="shared" si="42"/>
        <v>2014</v>
      </c>
      <c r="F482" s="86">
        <v>8186280000</v>
      </c>
      <c r="G482" s="86">
        <v>5583549000</v>
      </c>
      <c r="H482" s="86">
        <v>889879000</v>
      </c>
      <c r="I482" s="86">
        <v>0</v>
      </c>
      <c r="J482" s="86">
        <v>341969000</v>
      </c>
      <c r="K482" s="83" t="s">
        <v>31</v>
      </c>
      <c r="L482" s="83" t="s">
        <v>205</v>
      </c>
      <c r="M482" s="91">
        <f t="shared" si="45"/>
        <v>2602731000</v>
      </c>
      <c r="N482" s="86">
        <f t="shared" si="46"/>
        <v>1231848000</v>
      </c>
      <c r="O482" s="86">
        <f t="shared" si="47"/>
        <v>1370883000</v>
      </c>
      <c r="P482" s="83">
        <f t="shared" si="43"/>
        <v>0.16746104457702399</v>
      </c>
      <c r="Q482" s="83">
        <f t="shared" si="44"/>
        <v>0.31793818437678656</v>
      </c>
    </row>
    <row r="483" spans="1:17">
      <c r="A483" s="87">
        <v>509</v>
      </c>
      <c r="B483" s="87" t="s">
        <v>223</v>
      </c>
      <c r="C483" s="87" t="s">
        <v>21</v>
      </c>
      <c r="D483" s="84">
        <v>41755</v>
      </c>
      <c r="E483" s="88">
        <f t="shared" si="42"/>
        <v>2014</v>
      </c>
      <c r="F483" s="89">
        <v>11764050000</v>
      </c>
      <c r="G483" s="89">
        <v>8198377000</v>
      </c>
      <c r="H483" s="89">
        <v>1516508000</v>
      </c>
      <c r="I483" s="89">
        <v>0</v>
      </c>
      <c r="J483" s="89">
        <v>528737000</v>
      </c>
      <c r="K483" s="87" t="s">
        <v>31</v>
      </c>
      <c r="L483" s="87" t="s">
        <v>205</v>
      </c>
      <c r="M483" s="90">
        <f t="shared" si="45"/>
        <v>3565673000</v>
      </c>
      <c r="N483" s="89">
        <f t="shared" si="46"/>
        <v>2045245000</v>
      </c>
      <c r="O483" s="89">
        <f t="shared" si="47"/>
        <v>1520428000</v>
      </c>
      <c r="P483" s="87">
        <f t="shared" si="43"/>
        <v>0.12924358532988214</v>
      </c>
      <c r="Q483" s="87">
        <f t="shared" si="44"/>
        <v>0.30309910277497976</v>
      </c>
    </row>
    <row r="484" spans="1:17">
      <c r="A484" s="83">
        <v>510</v>
      </c>
      <c r="B484" s="83" t="s">
        <v>223</v>
      </c>
      <c r="C484" s="83" t="s">
        <v>22</v>
      </c>
      <c r="D484" s="84">
        <v>41756</v>
      </c>
      <c r="E484" s="85">
        <f t="shared" si="42"/>
        <v>2014</v>
      </c>
      <c r="F484" s="86">
        <v>12795106000</v>
      </c>
      <c r="G484" s="86">
        <v>9119305000</v>
      </c>
      <c r="H484" s="86">
        <v>1278506000</v>
      </c>
      <c r="I484" s="86">
        <v>0</v>
      </c>
      <c r="J484" s="86">
        <v>590935000</v>
      </c>
      <c r="K484" s="83" t="s">
        <v>31</v>
      </c>
      <c r="L484" s="83" t="s">
        <v>205</v>
      </c>
      <c r="M484" s="91">
        <f t="shared" si="45"/>
        <v>3675801000</v>
      </c>
      <c r="N484" s="86">
        <f t="shared" si="46"/>
        <v>1869441000</v>
      </c>
      <c r="O484" s="86">
        <f t="shared" si="47"/>
        <v>1806360000</v>
      </c>
      <c r="P484" s="83">
        <f t="shared" si="43"/>
        <v>0.14117585270493266</v>
      </c>
      <c r="Q484" s="83">
        <f t="shared" si="44"/>
        <v>0.28728179352324246</v>
      </c>
    </row>
    <row r="485" spans="1:17">
      <c r="A485" s="87">
        <v>511</v>
      </c>
      <c r="B485" s="87" t="s">
        <v>223</v>
      </c>
      <c r="C485" s="87" t="s">
        <v>23</v>
      </c>
      <c r="D485" s="84">
        <v>41757</v>
      </c>
      <c r="E485" s="88">
        <f t="shared" si="42"/>
        <v>2014</v>
      </c>
      <c r="F485" s="89">
        <v>13781837000</v>
      </c>
      <c r="G485" s="89">
        <v>9824834000</v>
      </c>
      <c r="H485" s="89">
        <v>1947135000</v>
      </c>
      <c r="I485" s="89">
        <v>0</v>
      </c>
      <c r="J485" s="89">
        <v>638024000</v>
      </c>
      <c r="K485" s="87" t="s">
        <v>31</v>
      </c>
      <c r="L485" s="87" t="s">
        <v>205</v>
      </c>
      <c r="M485" s="90">
        <f t="shared" si="45"/>
        <v>3957003000</v>
      </c>
      <c r="N485" s="89">
        <f t="shared" si="46"/>
        <v>2585159000</v>
      </c>
      <c r="O485" s="89">
        <f t="shared" si="47"/>
        <v>1371844000</v>
      </c>
      <c r="P485" s="87">
        <f t="shared" si="43"/>
        <v>9.9539996010691467E-2</v>
      </c>
      <c r="Q485" s="87">
        <f t="shared" si="44"/>
        <v>0.28711723988609061</v>
      </c>
    </row>
    <row r="486" spans="1:17">
      <c r="A486" s="83">
        <v>512</v>
      </c>
      <c r="B486" s="83" t="s">
        <v>224</v>
      </c>
      <c r="C486" s="83" t="s">
        <v>18</v>
      </c>
      <c r="D486" s="84">
        <v>41758</v>
      </c>
      <c r="E486" s="85">
        <f t="shared" si="42"/>
        <v>2014</v>
      </c>
      <c r="F486" s="86">
        <v>10397000000</v>
      </c>
      <c r="G486" s="86">
        <v>2268000000</v>
      </c>
      <c r="H486" s="86">
        <v>2743000000</v>
      </c>
      <c r="I486" s="86">
        <v>0</v>
      </c>
      <c r="J486" s="86">
        <v>2780000000</v>
      </c>
      <c r="K486" s="83" t="s">
        <v>89</v>
      </c>
      <c r="L486" s="83" t="s">
        <v>90</v>
      </c>
      <c r="M486" s="91">
        <f t="shared" si="45"/>
        <v>8129000000</v>
      </c>
      <c r="N486" s="86">
        <f t="shared" si="46"/>
        <v>5523000000</v>
      </c>
      <c r="O486" s="86">
        <f t="shared" si="47"/>
        <v>2606000000</v>
      </c>
      <c r="P486" s="83">
        <f t="shared" si="43"/>
        <v>0.2506492257381937</v>
      </c>
      <c r="Q486" s="83">
        <f t="shared" si="44"/>
        <v>0.7818601519669135</v>
      </c>
    </row>
    <row r="487" spans="1:17">
      <c r="A487" s="87">
        <v>513</v>
      </c>
      <c r="B487" s="87" t="s">
        <v>224</v>
      </c>
      <c r="C487" s="87" t="s">
        <v>21</v>
      </c>
      <c r="D487" s="84">
        <v>41759</v>
      </c>
      <c r="E487" s="85">
        <f t="shared" si="42"/>
        <v>2014</v>
      </c>
      <c r="F487" s="89">
        <v>20638000000</v>
      </c>
      <c r="G487" s="89">
        <v>2332000000</v>
      </c>
      <c r="H487" s="89">
        <v>8290000000</v>
      </c>
      <c r="I487" s="89">
        <v>0</v>
      </c>
      <c r="J487" s="89">
        <v>3319000000</v>
      </c>
      <c r="K487" s="87" t="s">
        <v>89</v>
      </c>
      <c r="L487" s="87" t="s">
        <v>90</v>
      </c>
      <c r="M487" s="90">
        <f t="shared" si="45"/>
        <v>18306000000</v>
      </c>
      <c r="N487" s="89">
        <f t="shared" si="46"/>
        <v>11609000000</v>
      </c>
      <c r="O487" s="89">
        <f t="shared" si="47"/>
        <v>6697000000</v>
      </c>
      <c r="P487" s="87">
        <f t="shared" si="43"/>
        <v>0.32449849791646479</v>
      </c>
      <c r="Q487" s="87">
        <f t="shared" si="44"/>
        <v>0.88700455470491324</v>
      </c>
    </row>
    <row r="488" spans="1:17">
      <c r="A488" s="83">
        <v>514</v>
      </c>
      <c r="B488" s="83" t="s">
        <v>224</v>
      </c>
      <c r="C488" s="83" t="s">
        <v>22</v>
      </c>
      <c r="D488" s="84">
        <v>41760</v>
      </c>
      <c r="E488" s="85">
        <f t="shared" si="42"/>
        <v>2014</v>
      </c>
      <c r="F488" s="86">
        <v>13145000000</v>
      </c>
      <c r="G488" s="86">
        <v>2104000000</v>
      </c>
      <c r="H488" s="86">
        <v>7741000000</v>
      </c>
      <c r="I488" s="86">
        <v>0</v>
      </c>
      <c r="J488" s="86">
        <v>3129000000</v>
      </c>
      <c r="K488" s="83" t="s">
        <v>89</v>
      </c>
      <c r="L488" s="83" t="s">
        <v>90</v>
      </c>
      <c r="M488" s="91">
        <f t="shared" si="45"/>
        <v>11041000000</v>
      </c>
      <c r="N488" s="86">
        <f t="shared" si="46"/>
        <v>10870000000</v>
      </c>
      <c r="O488" s="86">
        <f t="shared" si="47"/>
        <v>171000000</v>
      </c>
      <c r="P488" s="83">
        <f t="shared" si="43"/>
        <v>1.300874857360213E-2</v>
      </c>
      <c r="Q488" s="83">
        <f t="shared" si="44"/>
        <v>0.83993914035755046</v>
      </c>
    </row>
    <row r="489" spans="1:17">
      <c r="A489" s="87">
        <v>515</v>
      </c>
      <c r="B489" s="87" t="s">
        <v>224</v>
      </c>
      <c r="C489" s="87" t="s">
        <v>23</v>
      </c>
      <c r="D489" s="84">
        <v>41761</v>
      </c>
      <c r="E489" s="85">
        <f t="shared" si="42"/>
        <v>2014</v>
      </c>
      <c r="F489" s="89">
        <v>12197000000</v>
      </c>
      <c r="G489" s="89">
        <v>1582000000</v>
      </c>
      <c r="H489" s="89">
        <v>6476000000</v>
      </c>
      <c r="I489" s="89">
        <v>0</v>
      </c>
      <c r="J489" s="89">
        <v>1792000000</v>
      </c>
      <c r="K489" s="87" t="s">
        <v>89</v>
      </c>
      <c r="L489" s="87" t="s">
        <v>90</v>
      </c>
      <c r="M489" s="90">
        <f t="shared" si="45"/>
        <v>10615000000</v>
      </c>
      <c r="N489" s="89">
        <f t="shared" si="46"/>
        <v>8268000000</v>
      </c>
      <c r="O489" s="89">
        <f t="shared" si="47"/>
        <v>2347000000</v>
      </c>
      <c r="P489" s="87">
        <f t="shared" si="43"/>
        <v>0.19242436664753629</v>
      </c>
      <c r="Q489" s="87">
        <f t="shared" si="44"/>
        <v>0.87029597441993933</v>
      </c>
    </row>
    <row r="490" spans="1:17">
      <c r="A490" s="83">
        <v>516</v>
      </c>
      <c r="B490" s="83" t="s">
        <v>225</v>
      </c>
      <c r="C490" s="83" t="s">
        <v>18</v>
      </c>
      <c r="D490" s="84">
        <v>41762</v>
      </c>
      <c r="E490" s="85">
        <f t="shared" si="42"/>
        <v>2014</v>
      </c>
      <c r="F490" s="86">
        <v>3797000000</v>
      </c>
      <c r="G490" s="86">
        <v>1388000000</v>
      </c>
      <c r="H490" s="86">
        <v>1078000000</v>
      </c>
      <c r="I490" s="86">
        <v>1153000000</v>
      </c>
      <c r="J490" s="86">
        <v>30000000</v>
      </c>
      <c r="K490" s="83" t="s">
        <v>28</v>
      </c>
      <c r="L490" s="83" t="s">
        <v>99</v>
      </c>
      <c r="M490" s="91">
        <f t="shared" si="45"/>
        <v>2409000000</v>
      </c>
      <c r="N490" s="86">
        <f t="shared" si="46"/>
        <v>2261000000</v>
      </c>
      <c r="O490" s="86">
        <f t="shared" si="47"/>
        <v>148000000</v>
      </c>
      <c r="P490" s="83">
        <f t="shared" si="43"/>
        <v>3.8978140637345275E-2</v>
      </c>
      <c r="Q490" s="83">
        <f t="shared" si="44"/>
        <v>0.63444824861732951</v>
      </c>
    </row>
    <row r="491" spans="1:17">
      <c r="A491" s="87">
        <v>517</v>
      </c>
      <c r="B491" s="87" t="s">
        <v>225</v>
      </c>
      <c r="C491" s="87" t="s">
        <v>21</v>
      </c>
      <c r="D491" s="84">
        <v>41763</v>
      </c>
      <c r="E491" s="88">
        <f t="shared" si="42"/>
        <v>2014</v>
      </c>
      <c r="F491" s="89">
        <v>3575000000</v>
      </c>
      <c r="G491" s="89">
        <v>1347000000</v>
      </c>
      <c r="H491" s="89">
        <v>1055000000</v>
      </c>
      <c r="I491" s="89">
        <v>1125000000</v>
      </c>
      <c r="J491" s="89">
        <v>16000000</v>
      </c>
      <c r="K491" s="87" t="s">
        <v>28</v>
      </c>
      <c r="L491" s="87" t="s">
        <v>99</v>
      </c>
      <c r="M491" s="90">
        <f t="shared" si="45"/>
        <v>2228000000</v>
      </c>
      <c r="N491" s="89">
        <f t="shared" si="46"/>
        <v>2196000000</v>
      </c>
      <c r="O491" s="89">
        <f t="shared" si="47"/>
        <v>32000000</v>
      </c>
      <c r="P491" s="87">
        <f t="shared" si="43"/>
        <v>8.951048951048951E-3</v>
      </c>
      <c r="Q491" s="87">
        <f t="shared" si="44"/>
        <v>0.6232167832167832</v>
      </c>
    </row>
    <row r="492" spans="1:17">
      <c r="A492" s="83">
        <v>518</v>
      </c>
      <c r="B492" s="83" t="s">
        <v>225</v>
      </c>
      <c r="C492" s="83" t="s">
        <v>22</v>
      </c>
      <c r="D492" s="84">
        <v>41764</v>
      </c>
      <c r="E492" s="85">
        <f t="shared" si="42"/>
        <v>2014</v>
      </c>
      <c r="F492" s="86">
        <v>4515000000</v>
      </c>
      <c r="G492" s="86">
        <v>1429000000</v>
      </c>
      <c r="H492" s="86">
        <v>1030000000</v>
      </c>
      <c r="I492" s="86">
        <v>1094000000</v>
      </c>
      <c r="J492" s="86">
        <v>14000000</v>
      </c>
      <c r="K492" s="83" t="s">
        <v>28</v>
      </c>
      <c r="L492" s="83" t="s">
        <v>99</v>
      </c>
      <c r="M492" s="91">
        <f t="shared" si="45"/>
        <v>3086000000</v>
      </c>
      <c r="N492" s="86">
        <f t="shared" si="46"/>
        <v>2138000000</v>
      </c>
      <c r="O492" s="86">
        <f t="shared" si="47"/>
        <v>948000000</v>
      </c>
      <c r="P492" s="83">
        <f t="shared" si="43"/>
        <v>0.20996677740863787</v>
      </c>
      <c r="Q492" s="83">
        <f t="shared" si="44"/>
        <v>0.68349944629014403</v>
      </c>
    </row>
    <row r="493" spans="1:17">
      <c r="A493" s="87">
        <v>519</v>
      </c>
      <c r="B493" s="87" t="s">
        <v>225</v>
      </c>
      <c r="C493" s="87" t="s">
        <v>23</v>
      </c>
      <c r="D493" s="84">
        <v>41765</v>
      </c>
      <c r="E493" s="88">
        <f t="shared" si="42"/>
        <v>2014</v>
      </c>
      <c r="F493" s="89">
        <v>4396000000</v>
      </c>
      <c r="G493" s="89">
        <v>1354000000</v>
      </c>
      <c r="H493" s="89">
        <v>1028000000</v>
      </c>
      <c r="I493" s="89">
        <v>1109000000</v>
      </c>
      <c r="J493" s="89">
        <v>7000000</v>
      </c>
      <c r="K493" s="87" t="s">
        <v>28</v>
      </c>
      <c r="L493" s="87" t="s">
        <v>99</v>
      </c>
      <c r="M493" s="90">
        <f t="shared" si="45"/>
        <v>3042000000</v>
      </c>
      <c r="N493" s="89">
        <f t="shared" si="46"/>
        <v>2144000000</v>
      </c>
      <c r="O493" s="89">
        <f t="shared" si="47"/>
        <v>898000000</v>
      </c>
      <c r="P493" s="87">
        <f t="shared" si="43"/>
        <v>0.20427661510464057</v>
      </c>
      <c r="Q493" s="87">
        <f t="shared" si="44"/>
        <v>0.69199272065514106</v>
      </c>
    </row>
    <row r="494" spans="1:17">
      <c r="A494" s="83">
        <v>520</v>
      </c>
      <c r="B494" s="83" t="s">
        <v>226</v>
      </c>
      <c r="C494" s="83" t="s">
        <v>18</v>
      </c>
      <c r="D494" s="84">
        <v>41766</v>
      </c>
      <c r="E494" s="85">
        <f t="shared" si="42"/>
        <v>2014</v>
      </c>
      <c r="F494" s="86">
        <v>8257000000</v>
      </c>
      <c r="G494" s="86">
        <v>1492000000</v>
      </c>
      <c r="H494" s="86">
        <v>3260000000</v>
      </c>
      <c r="I494" s="86">
        <v>915000000</v>
      </c>
      <c r="J494" s="86">
        <v>136000000</v>
      </c>
      <c r="K494" s="83" t="s">
        <v>28</v>
      </c>
      <c r="L494" s="83" t="s">
        <v>63</v>
      </c>
      <c r="M494" s="91">
        <f t="shared" si="45"/>
        <v>6765000000</v>
      </c>
      <c r="N494" s="86">
        <f t="shared" si="46"/>
        <v>4311000000</v>
      </c>
      <c r="O494" s="86">
        <f t="shared" si="47"/>
        <v>2454000000</v>
      </c>
      <c r="P494" s="83">
        <f t="shared" si="43"/>
        <v>0.29720237374349034</v>
      </c>
      <c r="Q494" s="83">
        <f t="shared" si="44"/>
        <v>0.81930483226353401</v>
      </c>
    </row>
    <row r="495" spans="1:17">
      <c r="A495" s="87">
        <v>521</v>
      </c>
      <c r="B495" s="87" t="s">
        <v>226</v>
      </c>
      <c r="C495" s="87" t="s">
        <v>21</v>
      </c>
      <c r="D495" s="84">
        <v>41767</v>
      </c>
      <c r="E495" s="88">
        <f t="shared" si="42"/>
        <v>2014</v>
      </c>
      <c r="F495" s="89">
        <v>8790000000</v>
      </c>
      <c r="G495" s="89">
        <v>1663000000</v>
      </c>
      <c r="H495" s="89">
        <v>3593000000</v>
      </c>
      <c r="I495" s="89">
        <v>983000000</v>
      </c>
      <c r="J495" s="89">
        <v>75000000</v>
      </c>
      <c r="K495" s="87" t="s">
        <v>28</v>
      </c>
      <c r="L495" s="87" t="s">
        <v>63</v>
      </c>
      <c r="M495" s="90">
        <f t="shared" si="45"/>
        <v>7127000000</v>
      </c>
      <c r="N495" s="89">
        <f t="shared" si="46"/>
        <v>4651000000</v>
      </c>
      <c r="O495" s="89">
        <f t="shared" si="47"/>
        <v>2476000000</v>
      </c>
      <c r="P495" s="87">
        <f t="shared" si="43"/>
        <v>0.28168373151308307</v>
      </c>
      <c r="Q495" s="87">
        <f t="shared" si="44"/>
        <v>0.81080773606370871</v>
      </c>
    </row>
    <row r="496" spans="1:17">
      <c r="A496" s="83">
        <v>522</v>
      </c>
      <c r="B496" s="83" t="s">
        <v>226</v>
      </c>
      <c r="C496" s="83" t="s">
        <v>22</v>
      </c>
      <c r="D496" s="84">
        <v>41768</v>
      </c>
      <c r="E496" s="85">
        <f t="shared" si="42"/>
        <v>2014</v>
      </c>
      <c r="F496" s="86">
        <v>8592000000</v>
      </c>
      <c r="G496" s="86">
        <v>1771000000</v>
      </c>
      <c r="H496" s="86">
        <v>3660000000</v>
      </c>
      <c r="I496" s="86">
        <v>923000000</v>
      </c>
      <c r="J496" s="86">
        <v>41000000</v>
      </c>
      <c r="K496" s="83" t="s">
        <v>28</v>
      </c>
      <c r="L496" s="83" t="s">
        <v>63</v>
      </c>
      <c r="M496" s="91">
        <f t="shared" si="45"/>
        <v>6821000000</v>
      </c>
      <c r="N496" s="86">
        <f t="shared" si="46"/>
        <v>4624000000</v>
      </c>
      <c r="O496" s="86">
        <f t="shared" si="47"/>
        <v>2197000000</v>
      </c>
      <c r="P496" s="83">
        <f t="shared" si="43"/>
        <v>0.25570297951582865</v>
      </c>
      <c r="Q496" s="83">
        <f t="shared" si="44"/>
        <v>0.79387802607076352</v>
      </c>
    </row>
    <row r="497" spans="1:17">
      <c r="A497" s="87">
        <v>523</v>
      </c>
      <c r="B497" s="87" t="s">
        <v>226</v>
      </c>
      <c r="C497" s="87" t="s">
        <v>23</v>
      </c>
      <c r="D497" s="84">
        <v>41769</v>
      </c>
      <c r="E497" s="88">
        <f t="shared" si="42"/>
        <v>2014</v>
      </c>
      <c r="F497" s="89">
        <v>8979000000</v>
      </c>
      <c r="G497" s="89">
        <v>2007000000</v>
      </c>
      <c r="H497" s="89">
        <v>3499000000</v>
      </c>
      <c r="I497" s="89">
        <v>1114000000</v>
      </c>
      <c r="J497" s="89">
        <v>34000000</v>
      </c>
      <c r="K497" s="87" t="s">
        <v>28</v>
      </c>
      <c r="L497" s="87" t="s">
        <v>63</v>
      </c>
      <c r="M497" s="90">
        <f t="shared" si="45"/>
        <v>6972000000</v>
      </c>
      <c r="N497" s="89">
        <f t="shared" si="46"/>
        <v>4647000000</v>
      </c>
      <c r="O497" s="89">
        <f t="shared" si="47"/>
        <v>2325000000</v>
      </c>
      <c r="P497" s="87">
        <f t="shared" si="43"/>
        <v>0.25893752088205813</v>
      </c>
      <c r="Q497" s="87">
        <f t="shared" si="44"/>
        <v>0.77647844971600399</v>
      </c>
    </row>
    <row r="498" spans="1:17">
      <c r="A498" s="83">
        <v>524</v>
      </c>
      <c r="B498" s="83" t="s">
        <v>227</v>
      </c>
      <c r="C498" s="83" t="s">
        <v>18</v>
      </c>
      <c r="D498" s="84">
        <v>41770</v>
      </c>
      <c r="E498" s="85">
        <f t="shared" si="42"/>
        <v>2014</v>
      </c>
      <c r="F498" s="86">
        <v>11838700000</v>
      </c>
      <c r="G498" s="86">
        <v>6385400000</v>
      </c>
      <c r="H498" s="86">
        <v>4018300000</v>
      </c>
      <c r="I498" s="86">
        <v>0</v>
      </c>
      <c r="J498" s="86">
        <v>0</v>
      </c>
      <c r="K498" s="83" t="s">
        <v>65</v>
      </c>
      <c r="L498" s="83" t="s">
        <v>66</v>
      </c>
      <c r="M498" s="91">
        <f t="shared" si="45"/>
        <v>5453300000</v>
      </c>
      <c r="N498" s="86">
        <f t="shared" si="46"/>
        <v>4018300000</v>
      </c>
      <c r="O498" s="86">
        <f t="shared" si="47"/>
        <v>1435000000</v>
      </c>
      <c r="P498" s="83">
        <f t="shared" si="43"/>
        <v>0.12121263314384181</v>
      </c>
      <c r="Q498" s="83">
        <f t="shared" si="44"/>
        <v>0.46063334656676835</v>
      </c>
    </row>
    <row r="499" spans="1:17">
      <c r="A499" s="87">
        <v>525</v>
      </c>
      <c r="B499" s="87" t="s">
        <v>227</v>
      </c>
      <c r="C499" s="87" t="s">
        <v>21</v>
      </c>
      <c r="D499" s="84">
        <v>41771</v>
      </c>
      <c r="E499" s="88">
        <f t="shared" si="42"/>
        <v>2014</v>
      </c>
      <c r="F499" s="89">
        <v>13253400000</v>
      </c>
      <c r="G499" s="89">
        <v>7161200000</v>
      </c>
      <c r="H499" s="89">
        <v>4360300000</v>
      </c>
      <c r="I499" s="89">
        <v>0</v>
      </c>
      <c r="J499" s="89">
        <v>0</v>
      </c>
      <c r="K499" s="87" t="s">
        <v>65</v>
      </c>
      <c r="L499" s="87" t="s">
        <v>66</v>
      </c>
      <c r="M499" s="90">
        <f t="shared" si="45"/>
        <v>6092200000</v>
      </c>
      <c r="N499" s="89">
        <f t="shared" si="46"/>
        <v>4360300000</v>
      </c>
      <c r="O499" s="89">
        <f t="shared" si="47"/>
        <v>1731900000</v>
      </c>
      <c r="P499" s="87">
        <f t="shared" si="43"/>
        <v>0.13067590203268595</v>
      </c>
      <c r="Q499" s="87">
        <f t="shared" si="44"/>
        <v>0.45967072600238434</v>
      </c>
    </row>
    <row r="500" spans="1:17">
      <c r="A500" s="83">
        <v>526</v>
      </c>
      <c r="B500" s="83" t="s">
        <v>227</v>
      </c>
      <c r="C500" s="83" t="s">
        <v>22</v>
      </c>
      <c r="D500" s="84">
        <v>41772</v>
      </c>
      <c r="E500" s="85">
        <f t="shared" si="42"/>
        <v>2014</v>
      </c>
      <c r="F500" s="86">
        <v>14280500000</v>
      </c>
      <c r="G500" s="86">
        <v>7679100000</v>
      </c>
      <c r="H500" s="86">
        <v>4577600000</v>
      </c>
      <c r="I500" s="86">
        <v>0</v>
      </c>
      <c r="J500" s="86">
        <v>0</v>
      </c>
      <c r="K500" s="83" t="s">
        <v>65</v>
      </c>
      <c r="L500" s="83" t="s">
        <v>66</v>
      </c>
      <c r="M500" s="91">
        <f t="shared" si="45"/>
        <v>6601400000</v>
      </c>
      <c r="N500" s="86">
        <f t="shared" si="46"/>
        <v>4577600000</v>
      </c>
      <c r="O500" s="86">
        <f t="shared" si="47"/>
        <v>2023800000</v>
      </c>
      <c r="P500" s="83">
        <f t="shared" si="43"/>
        <v>0.14171772697034418</v>
      </c>
      <c r="Q500" s="83">
        <f t="shared" si="44"/>
        <v>0.4622667273554848</v>
      </c>
    </row>
    <row r="501" spans="1:17">
      <c r="A501" s="87">
        <v>527</v>
      </c>
      <c r="B501" s="87" t="s">
        <v>227</v>
      </c>
      <c r="C501" s="87" t="s">
        <v>23</v>
      </c>
      <c r="D501" s="84">
        <v>41773</v>
      </c>
      <c r="E501" s="88">
        <f t="shared" si="42"/>
        <v>2014</v>
      </c>
      <c r="F501" s="89">
        <v>13545100000</v>
      </c>
      <c r="G501" s="89">
        <v>7223500000</v>
      </c>
      <c r="H501" s="89">
        <v>4345500000</v>
      </c>
      <c r="I501" s="89">
        <v>0</v>
      </c>
      <c r="J501" s="89">
        <v>0</v>
      </c>
      <c r="K501" s="87" t="s">
        <v>65</v>
      </c>
      <c r="L501" s="87" t="s">
        <v>66</v>
      </c>
      <c r="M501" s="90">
        <f t="shared" si="45"/>
        <v>6321600000</v>
      </c>
      <c r="N501" s="89">
        <f t="shared" si="46"/>
        <v>4345500000</v>
      </c>
      <c r="O501" s="89">
        <f t="shared" si="47"/>
        <v>1976100000</v>
      </c>
      <c r="P501" s="87">
        <f t="shared" si="43"/>
        <v>0.14589039578888308</v>
      </c>
      <c r="Q501" s="87">
        <f t="shared" si="44"/>
        <v>0.46670751784778264</v>
      </c>
    </row>
    <row r="502" spans="1:17">
      <c r="A502" s="83">
        <v>528</v>
      </c>
      <c r="B502" s="83" t="s">
        <v>228</v>
      </c>
      <c r="C502" s="83" t="s">
        <v>18</v>
      </c>
      <c r="D502" s="84">
        <v>41774</v>
      </c>
      <c r="E502" s="85">
        <f t="shared" si="42"/>
        <v>2014</v>
      </c>
      <c r="F502" s="86">
        <v>12354000000</v>
      </c>
      <c r="G502" s="86">
        <v>7191000000</v>
      </c>
      <c r="H502" s="86">
        <v>1895000000</v>
      </c>
      <c r="I502" s="86">
        <v>0</v>
      </c>
      <c r="J502" s="86">
        <v>1024000000</v>
      </c>
      <c r="K502" s="83" t="s">
        <v>48</v>
      </c>
      <c r="L502" s="83" t="s">
        <v>51</v>
      </c>
      <c r="M502" s="91">
        <f t="shared" si="45"/>
        <v>5163000000</v>
      </c>
      <c r="N502" s="86">
        <f t="shared" si="46"/>
        <v>2919000000</v>
      </c>
      <c r="O502" s="86">
        <f t="shared" si="47"/>
        <v>2244000000</v>
      </c>
      <c r="P502" s="83">
        <f t="shared" si="43"/>
        <v>0.18164157357940747</v>
      </c>
      <c r="Q502" s="83">
        <f t="shared" si="44"/>
        <v>0.41792132102962598</v>
      </c>
    </row>
    <row r="503" spans="1:17">
      <c r="A503" s="87">
        <v>529</v>
      </c>
      <c r="B503" s="87" t="s">
        <v>228</v>
      </c>
      <c r="C503" s="87" t="s">
        <v>21</v>
      </c>
      <c r="D503" s="84">
        <v>41775</v>
      </c>
      <c r="E503" s="88">
        <f t="shared" si="42"/>
        <v>2014</v>
      </c>
      <c r="F503" s="89">
        <v>12919000000</v>
      </c>
      <c r="G503" s="89">
        <v>7807000000</v>
      </c>
      <c r="H503" s="89">
        <v>1877000000</v>
      </c>
      <c r="I503" s="89">
        <v>0</v>
      </c>
      <c r="J503" s="89">
        <v>1071000000</v>
      </c>
      <c r="K503" s="87" t="s">
        <v>48</v>
      </c>
      <c r="L503" s="87" t="s">
        <v>51</v>
      </c>
      <c r="M503" s="90">
        <f t="shared" si="45"/>
        <v>5112000000</v>
      </c>
      <c r="N503" s="89">
        <f t="shared" si="46"/>
        <v>2948000000</v>
      </c>
      <c r="O503" s="89">
        <f t="shared" si="47"/>
        <v>2164000000</v>
      </c>
      <c r="P503" s="87">
        <f t="shared" si="43"/>
        <v>0.16750522486260547</v>
      </c>
      <c r="Q503" s="87">
        <f t="shared" si="44"/>
        <v>0.39569626132053559</v>
      </c>
    </row>
    <row r="504" spans="1:17">
      <c r="A504" s="83">
        <v>530</v>
      </c>
      <c r="B504" s="83" t="s">
        <v>228</v>
      </c>
      <c r="C504" s="83" t="s">
        <v>22</v>
      </c>
      <c r="D504" s="84">
        <v>41776</v>
      </c>
      <c r="E504" s="85">
        <f t="shared" si="42"/>
        <v>2014</v>
      </c>
      <c r="F504" s="86">
        <v>12554000000</v>
      </c>
      <c r="G504" s="86">
        <v>7060000000</v>
      </c>
      <c r="H504" s="86">
        <v>1937000000</v>
      </c>
      <c r="I504" s="86">
        <v>0</v>
      </c>
      <c r="J504" s="86">
        <v>1130000000</v>
      </c>
      <c r="K504" s="83" t="s">
        <v>48</v>
      </c>
      <c r="L504" s="83" t="s">
        <v>51</v>
      </c>
      <c r="M504" s="91">
        <f t="shared" si="45"/>
        <v>5494000000</v>
      </c>
      <c r="N504" s="86">
        <f t="shared" si="46"/>
        <v>3067000000</v>
      </c>
      <c r="O504" s="86">
        <f t="shared" si="47"/>
        <v>2427000000</v>
      </c>
      <c r="P504" s="83">
        <f t="shared" si="43"/>
        <v>0.19332483670543252</v>
      </c>
      <c r="Q504" s="83">
        <f t="shared" si="44"/>
        <v>0.43762944081567623</v>
      </c>
    </row>
    <row r="505" spans="1:17">
      <c r="A505" s="87">
        <v>531</v>
      </c>
      <c r="B505" s="87" t="s">
        <v>228</v>
      </c>
      <c r="C505" s="87" t="s">
        <v>23</v>
      </c>
      <c r="D505" s="84">
        <v>41777</v>
      </c>
      <c r="E505" s="88">
        <f t="shared" si="42"/>
        <v>2014</v>
      </c>
      <c r="F505" s="89">
        <v>12075000000</v>
      </c>
      <c r="G505" s="89">
        <v>6357000000</v>
      </c>
      <c r="H505" s="89">
        <v>2031000000</v>
      </c>
      <c r="I505" s="89">
        <v>0</v>
      </c>
      <c r="J505" s="89">
        <v>1216000000</v>
      </c>
      <c r="K505" s="87" t="s">
        <v>48</v>
      </c>
      <c r="L505" s="87" t="s">
        <v>51</v>
      </c>
      <c r="M505" s="90">
        <f t="shared" si="45"/>
        <v>5718000000</v>
      </c>
      <c r="N505" s="89">
        <f t="shared" si="46"/>
        <v>3247000000</v>
      </c>
      <c r="O505" s="89">
        <f t="shared" si="47"/>
        <v>2471000000</v>
      </c>
      <c r="P505" s="87">
        <f t="shared" si="43"/>
        <v>0.2046376811594203</v>
      </c>
      <c r="Q505" s="87">
        <f t="shared" si="44"/>
        <v>0.47354037267080751</v>
      </c>
    </row>
    <row r="506" spans="1:17">
      <c r="A506" s="83">
        <v>532</v>
      </c>
      <c r="B506" s="83" t="s">
        <v>229</v>
      </c>
      <c r="C506" s="83" t="s">
        <v>18</v>
      </c>
      <c r="D506" s="84">
        <v>41778</v>
      </c>
      <c r="E506" s="85">
        <f t="shared" si="42"/>
        <v>2014</v>
      </c>
      <c r="F506" s="86">
        <v>2073000000</v>
      </c>
      <c r="G506" s="86">
        <v>759500000</v>
      </c>
      <c r="H506" s="86">
        <v>673500000</v>
      </c>
      <c r="I506" s="86">
        <v>0</v>
      </c>
      <c r="J506" s="86">
        <v>160000000</v>
      </c>
      <c r="K506" s="83" t="s">
        <v>19</v>
      </c>
      <c r="L506" s="83" t="s">
        <v>217</v>
      </c>
      <c r="M506" s="91">
        <f t="shared" si="45"/>
        <v>1313500000</v>
      </c>
      <c r="N506" s="86">
        <f t="shared" si="46"/>
        <v>833500000</v>
      </c>
      <c r="O506" s="86">
        <f t="shared" si="47"/>
        <v>480000000</v>
      </c>
      <c r="P506" s="83">
        <f t="shared" si="43"/>
        <v>0.23154848046309695</v>
      </c>
      <c r="Q506" s="83">
        <f t="shared" si="44"/>
        <v>0.63362276893391223</v>
      </c>
    </row>
    <row r="507" spans="1:17">
      <c r="A507" s="87">
        <v>533</v>
      </c>
      <c r="B507" s="87" t="s">
        <v>229</v>
      </c>
      <c r="C507" s="87" t="s">
        <v>21</v>
      </c>
      <c r="D507" s="84">
        <v>41779</v>
      </c>
      <c r="E507" s="88">
        <f t="shared" si="42"/>
        <v>2014</v>
      </c>
      <c r="F507" s="89">
        <v>2303900000</v>
      </c>
      <c r="G507" s="89">
        <v>787300000</v>
      </c>
      <c r="H507" s="89">
        <v>715800000</v>
      </c>
      <c r="I507" s="89">
        <v>0</v>
      </c>
      <c r="J507" s="89">
        <v>189600000</v>
      </c>
      <c r="K507" s="87" t="s">
        <v>19</v>
      </c>
      <c r="L507" s="87" t="s">
        <v>217</v>
      </c>
      <c r="M507" s="90">
        <f t="shared" si="45"/>
        <v>1516600000</v>
      </c>
      <c r="N507" s="89">
        <f t="shared" si="46"/>
        <v>905400000</v>
      </c>
      <c r="O507" s="89">
        <f t="shared" si="47"/>
        <v>611200000</v>
      </c>
      <c r="P507" s="87">
        <f t="shared" si="43"/>
        <v>0.26528929206996832</v>
      </c>
      <c r="Q507" s="87">
        <f t="shared" si="44"/>
        <v>0.6582750987456053</v>
      </c>
    </row>
    <row r="508" spans="1:17">
      <c r="A508" s="83">
        <v>534</v>
      </c>
      <c r="B508" s="83" t="s">
        <v>229</v>
      </c>
      <c r="C508" s="83" t="s">
        <v>22</v>
      </c>
      <c r="D508" s="84">
        <v>41780</v>
      </c>
      <c r="E508" s="85">
        <f t="shared" si="42"/>
        <v>2014</v>
      </c>
      <c r="F508" s="86">
        <v>2436400000</v>
      </c>
      <c r="G508" s="86">
        <v>844700000</v>
      </c>
      <c r="H508" s="86">
        <v>751700000</v>
      </c>
      <c r="I508" s="86">
        <v>0</v>
      </c>
      <c r="J508" s="86">
        <v>201800000</v>
      </c>
      <c r="K508" s="83" t="s">
        <v>19</v>
      </c>
      <c r="L508" s="83" t="s">
        <v>217</v>
      </c>
      <c r="M508" s="91">
        <f t="shared" si="45"/>
        <v>1591700000</v>
      </c>
      <c r="N508" s="86">
        <f t="shared" si="46"/>
        <v>953500000</v>
      </c>
      <c r="O508" s="86">
        <f t="shared" si="47"/>
        <v>638200000</v>
      </c>
      <c r="P508" s="83">
        <f t="shared" si="43"/>
        <v>0.26194385158430472</v>
      </c>
      <c r="Q508" s="83">
        <f t="shared" si="44"/>
        <v>0.65329995074700375</v>
      </c>
    </row>
    <row r="509" spans="1:17">
      <c r="A509" s="87">
        <v>535</v>
      </c>
      <c r="B509" s="87" t="s">
        <v>229</v>
      </c>
      <c r="C509" s="87" t="s">
        <v>23</v>
      </c>
      <c r="D509" s="84">
        <v>41781</v>
      </c>
      <c r="E509" s="88">
        <f t="shared" si="42"/>
        <v>2014</v>
      </c>
      <c r="F509" s="89">
        <v>2663600000</v>
      </c>
      <c r="G509" s="89">
        <v>887400000</v>
      </c>
      <c r="H509" s="89">
        <v>884300000</v>
      </c>
      <c r="I509" s="89">
        <v>0</v>
      </c>
      <c r="J509" s="89">
        <v>198000000</v>
      </c>
      <c r="K509" s="87" t="s">
        <v>19</v>
      </c>
      <c r="L509" s="87" t="s">
        <v>217</v>
      </c>
      <c r="M509" s="90">
        <f t="shared" si="45"/>
        <v>1776200000</v>
      </c>
      <c r="N509" s="89">
        <f t="shared" si="46"/>
        <v>1082300000</v>
      </c>
      <c r="O509" s="89">
        <f t="shared" si="47"/>
        <v>693900000</v>
      </c>
      <c r="P509" s="87">
        <f t="shared" si="43"/>
        <v>0.26051208890223759</v>
      </c>
      <c r="Q509" s="87">
        <f t="shared" si="44"/>
        <v>0.66684186814837065</v>
      </c>
    </row>
    <row r="510" spans="1:17">
      <c r="A510" s="83">
        <v>536</v>
      </c>
      <c r="B510" s="83" t="s">
        <v>230</v>
      </c>
      <c r="C510" s="83" t="s">
        <v>18</v>
      </c>
      <c r="D510" s="84">
        <v>41782</v>
      </c>
      <c r="E510" s="85">
        <f t="shared" si="42"/>
        <v>2014</v>
      </c>
      <c r="F510" s="86">
        <v>11862000000</v>
      </c>
      <c r="G510" s="86">
        <v>7747000000</v>
      </c>
      <c r="H510" s="86">
        <v>296000000</v>
      </c>
      <c r="I510" s="86">
        <v>0</v>
      </c>
      <c r="J510" s="86">
        <v>1562000000</v>
      </c>
      <c r="K510" s="83" t="s">
        <v>48</v>
      </c>
      <c r="L510" s="83" t="s">
        <v>51</v>
      </c>
      <c r="M510" s="91">
        <f t="shared" si="45"/>
        <v>4115000000</v>
      </c>
      <c r="N510" s="86">
        <f t="shared" si="46"/>
        <v>1858000000</v>
      </c>
      <c r="O510" s="86">
        <f t="shared" si="47"/>
        <v>2257000000</v>
      </c>
      <c r="P510" s="83">
        <f t="shared" si="43"/>
        <v>0.19027145506659923</v>
      </c>
      <c r="Q510" s="83">
        <f t="shared" si="44"/>
        <v>0.34690608666329459</v>
      </c>
    </row>
    <row r="511" spans="1:17">
      <c r="A511" s="87">
        <v>537</v>
      </c>
      <c r="B511" s="87" t="s">
        <v>230</v>
      </c>
      <c r="C511" s="87" t="s">
        <v>21</v>
      </c>
      <c r="D511" s="84">
        <v>41783</v>
      </c>
      <c r="E511" s="88">
        <f t="shared" ref="E511:E574" si="48">YEAR(D511)</f>
        <v>2014</v>
      </c>
      <c r="F511" s="89">
        <v>12581000000</v>
      </c>
      <c r="G511" s="89">
        <v>8364000000</v>
      </c>
      <c r="H511" s="89">
        <v>309000000</v>
      </c>
      <c r="I511" s="89">
        <v>0</v>
      </c>
      <c r="J511" s="89">
        <v>1622000000</v>
      </c>
      <c r="K511" s="87" t="s">
        <v>48</v>
      </c>
      <c r="L511" s="87" t="s">
        <v>51</v>
      </c>
      <c r="M511" s="90">
        <f t="shared" si="45"/>
        <v>4217000000</v>
      </c>
      <c r="N511" s="89">
        <f t="shared" si="46"/>
        <v>1931000000</v>
      </c>
      <c r="O511" s="89">
        <f t="shared" si="47"/>
        <v>2286000000</v>
      </c>
      <c r="P511" s="87">
        <f t="shared" si="43"/>
        <v>0.18170256736348461</v>
      </c>
      <c r="Q511" s="87">
        <f t="shared" si="44"/>
        <v>0.33518798187743426</v>
      </c>
    </row>
    <row r="512" spans="1:17">
      <c r="A512" s="83">
        <v>538</v>
      </c>
      <c r="B512" s="83" t="s">
        <v>230</v>
      </c>
      <c r="C512" s="83" t="s">
        <v>22</v>
      </c>
      <c r="D512" s="84">
        <v>41784</v>
      </c>
      <c r="E512" s="85">
        <f t="shared" si="48"/>
        <v>2014</v>
      </c>
      <c r="F512" s="86">
        <v>13413000000</v>
      </c>
      <c r="G512" s="86">
        <v>8742000000</v>
      </c>
      <c r="H512" s="86">
        <v>322000000</v>
      </c>
      <c r="I512" s="86">
        <v>0</v>
      </c>
      <c r="J512" s="86">
        <v>1720000000</v>
      </c>
      <c r="K512" s="83" t="s">
        <v>48</v>
      </c>
      <c r="L512" s="83" t="s">
        <v>51</v>
      </c>
      <c r="M512" s="91">
        <f t="shared" si="45"/>
        <v>4671000000</v>
      </c>
      <c r="N512" s="86">
        <f t="shared" si="46"/>
        <v>2042000000</v>
      </c>
      <c r="O512" s="86">
        <f t="shared" si="47"/>
        <v>2629000000</v>
      </c>
      <c r="P512" s="83">
        <f t="shared" si="43"/>
        <v>0.19600387683590548</v>
      </c>
      <c r="Q512" s="83">
        <f t="shared" si="44"/>
        <v>0.34824424066204429</v>
      </c>
    </row>
    <row r="513" spans="1:17">
      <c r="A513" s="87">
        <v>539</v>
      </c>
      <c r="B513" s="87" t="s">
        <v>230</v>
      </c>
      <c r="C513" s="87" t="s">
        <v>23</v>
      </c>
      <c r="D513" s="84">
        <v>41785</v>
      </c>
      <c r="E513" s="88">
        <f t="shared" si="48"/>
        <v>2014</v>
      </c>
      <c r="F513" s="89">
        <v>11524000000</v>
      </c>
      <c r="G513" s="89">
        <v>7256000000</v>
      </c>
      <c r="H513" s="89">
        <v>336000000</v>
      </c>
      <c r="I513" s="89">
        <v>0</v>
      </c>
      <c r="J513" s="89">
        <v>1919000000</v>
      </c>
      <c r="K513" s="87" t="s">
        <v>48</v>
      </c>
      <c r="L513" s="87" t="s">
        <v>51</v>
      </c>
      <c r="M513" s="90">
        <f t="shared" si="45"/>
        <v>4268000000</v>
      </c>
      <c r="N513" s="89">
        <f t="shared" si="46"/>
        <v>2255000000</v>
      </c>
      <c r="O513" s="89">
        <f t="shared" si="47"/>
        <v>2013000000</v>
      </c>
      <c r="P513" s="87">
        <f t="shared" si="43"/>
        <v>0.17467893092676154</v>
      </c>
      <c r="Q513" s="87">
        <f t="shared" si="44"/>
        <v>0.37035751475182233</v>
      </c>
    </row>
    <row r="514" spans="1:17">
      <c r="A514" s="83">
        <v>540</v>
      </c>
      <c r="B514" s="83" t="s">
        <v>231</v>
      </c>
      <c r="C514" s="83" t="s">
        <v>18</v>
      </c>
      <c r="D514" s="84">
        <v>41786</v>
      </c>
      <c r="E514" s="85">
        <f t="shared" si="48"/>
        <v>2014</v>
      </c>
      <c r="F514" s="86">
        <v>10181700000</v>
      </c>
      <c r="G514" s="86">
        <v>2025900000</v>
      </c>
      <c r="H514" s="86">
        <v>6597000000</v>
      </c>
      <c r="I514" s="86">
        <v>0</v>
      </c>
      <c r="J514" s="86">
        <v>0</v>
      </c>
      <c r="K514" s="83" t="s">
        <v>42</v>
      </c>
      <c r="L514" s="83" t="s">
        <v>176</v>
      </c>
      <c r="M514" s="91">
        <f t="shared" si="45"/>
        <v>8155800000</v>
      </c>
      <c r="N514" s="86">
        <f t="shared" si="46"/>
        <v>6597000000</v>
      </c>
      <c r="O514" s="86">
        <f t="shared" si="47"/>
        <v>1558800000</v>
      </c>
      <c r="P514" s="83">
        <f t="shared" ref="P514:P577" si="49">O514/F514</f>
        <v>0.1530982056041722</v>
      </c>
      <c r="Q514" s="83">
        <f t="shared" ref="Q514:Q577" si="50">1-G514/F514</f>
        <v>0.80102536904446209</v>
      </c>
    </row>
    <row r="515" spans="1:17">
      <c r="A515" s="87">
        <v>541</v>
      </c>
      <c r="B515" s="87" t="s">
        <v>231</v>
      </c>
      <c r="C515" s="87" t="s">
        <v>21</v>
      </c>
      <c r="D515" s="84">
        <v>41787</v>
      </c>
      <c r="E515" s="88">
        <f t="shared" si="48"/>
        <v>2014</v>
      </c>
      <c r="F515" s="89">
        <v>10968800000</v>
      </c>
      <c r="G515" s="89">
        <v>2158200000</v>
      </c>
      <c r="H515" s="89">
        <v>6985900000</v>
      </c>
      <c r="I515" s="89">
        <v>0</v>
      </c>
      <c r="J515" s="89">
        <v>0</v>
      </c>
      <c r="K515" s="87" t="s">
        <v>42</v>
      </c>
      <c r="L515" s="87" t="s">
        <v>176</v>
      </c>
      <c r="M515" s="90">
        <f t="shared" ref="M515:M578" si="51">F515-G515</f>
        <v>8810600000</v>
      </c>
      <c r="N515" s="89">
        <f t="shared" ref="N515:N578" si="52">H515+I515+J515</f>
        <v>6985900000</v>
      </c>
      <c r="O515" s="89">
        <f t="shared" ref="O515:O578" si="53">M515-N515</f>
        <v>1824700000</v>
      </c>
      <c r="P515" s="87">
        <f t="shared" si="49"/>
        <v>0.16635365764714463</v>
      </c>
      <c r="Q515" s="87">
        <f t="shared" si="50"/>
        <v>0.80324192254394289</v>
      </c>
    </row>
    <row r="516" spans="1:17">
      <c r="A516" s="83">
        <v>542</v>
      </c>
      <c r="B516" s="83" t="s">
        <v>231</v>
      </c>
      <c r="C516" s="83" t="s">
        <v>22</v>
      </c>
      <c r="D516" s="84">
        <v>41788</v>
      </c>
      <c r="E516" s="85">
        <f t="shared" si="48"/>
        <v>2014</v>
      </c>
      <c r="F516" s="86">
        <v>10780400000</v>
      </c>
      <c r="G516" s="86">
        <v>2100600000</v>
      </c>
      <c r="H516" s="86">
        <v>7073500000</v>
      </c>
      <c r="I516" s="86">
        <v>0</v>
      </c>
      <c r="J516" s="86">
        <v>0</v>
      </c>
      <c r="K516" s="83" t="s">
        <v>42</v>
      </c>
      <c r="L516" s="83" t="s">
        <v>176</v>
      </c>
      <c r="M516" s="91">
        <f t="shared" si="51"/>
        <v>8679800000</v>
      </c>
      <c r="N516" s="86">
        <f t="shared" si="52"/>
        <v>7073500000</v>
      </c>
      <c r="O516" s="86">
        <f t="shared" si="53"/>
        <v>1606300000</v>
      </c>
      <c r="P516" s="83">
        <f t="shared" si="49"/>
        <v>0.1490018923231049</v>
      </c>
      <c r="Q516" s="83">
        <f t="shared" si="50"/>
        <v>0.80514637675781975</v>
      </c>
    </row>
    <row r="517" spans="1:17">
      <c r="A517" s="87">
        <v>543</v>
      </c>
      <c r="B517" s="87" t="s">
        <v>231</v>
      </c>
      <c r="C517" s="87" t="s">
        <v>23</v>
      </c>
      <c r="D517" s="84">
        <v>41789</v>
      </c>
      <c r="E517" s="88">
        <f t="shared" si="48"/>
        <v>2014</v>
      </c>
      <c r="F517" s="89">
        <v>11262300000</v>
      </c>
      <c r="G517" s="89">
        <v>2181100000</v>
      </c>
      <c r="H517" s="89">
        <v>7337800000</v>
      </c>
      <c r="I517" s="89">
        <v>0</v>
      </c>
      <c r="J517" s="89">
        <v>0</v>
      </c>
      <c r="K517" s="87" t="s">
        <v>42</v>
      </c>
      <c r="L517" s="87" t="s">
        <v>176</v>
      </c>
      <c r="M517" s="90">
        <f t="shared" si="51"/>
        <v>9081200000</v>
      </c>
      <c r="N517" s="89">
        <f t="shared" si="52"/>
        <v>7337800000</v>
      </c>
      <c r="O517" s="89">
        <f t="shared" si="53"/>
        <v>1743400000</v>
      </c>
      <c r="P517" s="87">
        <f t="shared" si="49"/>
        <v>0.15479964128108822</v>
      </c>
      <c r="Q517" s="87">
        <f t="shared" si="50"/>
        <v>0.80633618355042924</v>
      </c>
    </row>
    <row r="518" spans="1:17">
      <c r="A518" s="83">
        <v>544</v>
      </c>
      <c r="B518" s="83" t="s">
        <v>232</v>
      </c>
      <c r="C518" s="83" t="s">
        <v>18</v>
      </c>
      <c r="D518" s="84">
        <v>41790</v>
      </c>
      <c r="E518" s="85">
        <f t="shared" si="48"/>
        <v>2014</v>
      </c>
      <c r="F518" s="86">
        <v>8102000000</v>
      </c>
      <c r="G518" s="86">
        <v>6340000000</v>
      </c>
      <c r="H518" s="86">
        <v>644000000</v>
      </c>
      <c r="I518" s="86">
        <v>198000000</v>
      </c>
      <c r="J518" s="86">
        <v>0</v>
      </c>
      <c r="K518" s="83" t="s">
        <v>65</v>
      </c>
      <c r="L518" s="83" t="s">
        <v>199</v>
      </c>
      <c r="M518" s="91">
        <f t="shared" si="51"/>
        <v>1762000000</v>
      </c>
      <c r="N518" s="86">
        <f t="shared" si="52"/>
        <v>842000000</v>
      </c>
      <c r="O518" s="86">
        <f t="shared" si="53"/>
        <v>920000000</v>
      </c>
      <c r="P518" s="83">
        <f t="shared" si="49"/>
        <v>0.11355220933102937</v>
      </c>
      <c r="Q518" s="83">
        <f t="shared" si="50"/>
        <v>0.21747716613181933</v>
      </c>
    </row>
    <row r="519" spans="1:17">
      <c r="A519" s="87">
        <v>545</v>
      </c>
      <c r="B519" s="87" t="s">
        <v>232</v>
      </c>
      <c r="C519" s="87" t="s">
        <v>21</v>
      </c>
      <c r="D519" s="84">
        <v>41791</v>
      </c>
      <c r="E519" s="88">
        <f t="shared" si="48"/>
        <v>2014</v>
      </c>
      <c r="F519" s="89">
        <v>9350000000</v>
      </c>
      <c r="G519" s="89">
        <v>6574000000</v>
      </c>
      <c r="H519" s="89">
        <v>645000000</v>
      </c>
      <c r="I519" s="89">
        <v>193000000</v>
      </c>
      <c r="J519" s="89">
        <v>0</v>
      </c>
      <c r="K519" s="87" t="s">
        <v>65</v>
      </c>
      <c r="L519" s="87" t="s">
        <v>199</v>
      </c>
      <c r="M519" s="90">
        <f t="shared" si="51"/>
        <v>2776000000</v>
      </c>
      <c r="N519" s="89">
        <f t="shared" si="52"/>
        <v>838000000</v>
      </c>
      <c r="O519" s="89">
        <f t="shared" si="53"/>
        <v>1938000000</v>
      </c>
      <c r="P519" s="87">
        <f t="shared" si="49"/>
        <v>0.20727272727272728</v>
      </c>
      <c r="Q519" s="87">
        <f t="shared" si="50"/>
        <v>0.29689839572192511</v>
      </c>
    </row>
    <row r="520" spans="1:17">
      <c r="A520" s="83">
        <v>546</v>
      </c>
      <c r="B520" s="83" t="s">
        <v>232</v>
      </c>
      <c r="C520" s="83" t="s">
        <v>22</v>
      </c>
      <c r="D520" s="84">
        <v>41792</v>
      </c>
      <c r="E520" s="85">
        <f t="shared" si="48"/>
        <v>2014</v>
      </c>
      <c r="F520" s="86">
        <v>9527000000</v>
      </c>
      <c r="G520" s="86">
        <v>7306000000</v>
      </c>
      <c r="H520" s="86">
        <v>755000000</v>
      </c>
      <c r="I520" s="86">
        <v>227000000</v>
      </c>
      <c r="J520" s="86">
        <v>0</v>
      </c>
      <c r="K520" s="83" t="s">
        <v>65</v>
      </c>
      <c r="L520" s="83" t="s">
        <v>199</v>
      </c>
      <c r="M520" s="91">
        <f t="shared" si="51"/>
        <v>2221000000</v>
      </c>
      <c r="N520" s="86">
        <f t="shared" si="52"/>
        <v>982000000</v>
      </c>
      <c r="O520" s="86">
        <f t="shared" si="53"/>
        <v>1239000000</v>
      </c>
      <c r="P520" s="83">
        <f t="shared" si="49"/>
        <v>0.13005143277002204</v>
      </c>
      <c r="Q520" s="83">
        <f t="shared" si="50"/>
        <v>0.23312690248766665</v>
      </c>
    </row>
    <row r="521" spans="1:17">
      <c r="A521" s="87">
        <v>547</v>
      </c>
      <c r="B521" s="87" t="s">
        <v>232</v>
      </c>
      <c r="C521" s="87" t="s">
        <v>23</v>
      </c>
      <c r="D521" s="84">
        <v>41793</v>
      </c>
      <c r="E521" s="88">
        <f t="shared" si="48"/>
        <v>2014</v>
      </c>
      <c r="F521" s="89">
        <v>9648000000</v>
      </c>
      <c r="G521" s="89">
        <v>7068000000</v>
      </c>
      <c r="H521" s="89">
        <v>762000000</v>
      </c>
      <c r="I521" s="89">
        <v>251000000</v>
      </c>
      <c r="J521" s="89">
        <v>0</v>
      </c>
      <c r="K521" s="87" t="s">
        <v>65</v>
      </c>
      <c r="L521" s="87" t="s">
        <v>199</v>
      </c>
      <c r="M521" s="90">
        <f t="shared" si="51"/>
        <v>2580000000</v>
      </c>
      <c r="N521" s="89">
        <f t="shared" si="52"/>
        <v>1013000000</v>
      </c>
      <c r="O521" s="89">
        <f t="shared" si="53"/>
        <v>1567000000</v>
      </c>
      <c r="P521" s="87">
        <f t="shared" si="49"/>
        <v>0.16241708126036483</v>
      </c>
      <c r="Q521" s="87">
        <f t="shared" si="50"/>
        <v>0.26741293532338306</v>
      </c>
    </row>
    <row r="522" spans="1:17">
      <c r="A522" s="83">
        <v>548</v>
      </c>
      <c r="B522" s="83" t="s">
        <v>233</v>
      </c>
      <c r="C522" s="83" t="s">
        <v>18</v>
      </c>
      <c r="D522" s="84">
        <v>41794</v>
      </c>
      <c r="E522" s="85">
        <f t="shared" si="48"/>
        <v>2014</v>
      </c>
      <c r="F522" s="86">
        <v>24669000000</v>
      </c>
      <c r="G522" s="86">
        <v>14717000000</v>
      </c>
      <c r="H522" s="86">
        <v>6010000000</v>
      </c>
      <c r="I522" s="86">
        <v>0</v>
      </c>
      <c r="J522" s="86">
        <v>0</v>
      </c>
      <c r="K522" s="83" t="s">
        <v>19</v>
      </c>
      <c r="L522" s="83" t="s">
        <v>170</v>
      </c>
      <c r="M522" s="91">
        <f t="shared" si="51"/>
        <v>9952000000</v>
      </c>
      <c r="N522" s="86">
        <f t="shared" si="52"/>
        <v>6010000000</v>
      </c>
      <c r="O522" s="86">
        <f t="shared" si="53"/>
        <v>3942000000</v>
      </c>
      <c r="P522" s="83">
        <f t="shared" si="49"/>
        <v>0.15979569500182414</v>
      </c>
      <c r="Q522" s="83">
        <f t="shared" si="50"/>
        <v>0.40342129798532567</v>
      </c>
    </row>
    <row r="523" spans="1:17">
      <c r="A523" s="87">
        <v>549</v>
      </c>
      <c r="B523" s="87" t="s">
        <v>233</v>
      </c>
      <c r="C523" s="87" t="s">
        <v>21</v>
      </c>
      <c r="D523" s="84">
        <v>41795</v>
      </c>
      <c r="E523" s="88">
        <f t="shared" si="48"/>
        <v>2014</v>
      </c>
      <c r="F523" s="89">
        <v>17733000000</v>
      </c>
      <c r="G523" s="89">
        <v>9971000000</v>
      </c>
      <c r="H523" s="89">
        <v>4375000000</v>
      </c>
      <c r="I523" s="89">
        <v>0</v>
      </c>
      <c r="J523" s="89">
        <v>0</v>
      </c>
      <c r="K523" s="87" t="s">
        <v>19</v>
      </c>
      <c r="L523" s="87" t="s">
        <v>170</v>
      </c>
      <c r="M523" s="90">
        <f t="shared" si="51"/>
        <v>7762000000</v>
      </c>
      <c r="N523" s="89">
        <f t="shared" si="52"/>
        <v>4375000000</v>
      </c>
      <c r="O523" s="89">
        <f t="shared" si="53"/>
        <v>3387000000</v>
      </c>
      <c r="P523" s="87">
        <f t="shared" si="49"/>
        <v>0.19099983082388766</v>
      </c>
      <c r="Q523" s="87">
        <f t="shared" si="50"/>
        <v>0.43771499464275643</v>
      </c>
    </row>
    <row r="524" spans="1:17">
      <c r="A524" s="83">
        <v>550</v>
      </c>
      <c r="B524" s="83" t="s">
        <v>233</v>
      </c>
      <c r="C524" s="83" t="s">
        <v>22</v>
      </c>
      <c r="D524" s="84">
        <v>41796</v>
      </c>
      <c r="E524" s="85">
        <f t="shared" si="48"/>
        <v>2014</v>
      </c>
      <c r="F524" s="86">
        <v>16249000000</v>
      </c>
      <c r="G524" s="86">
        <v>9241000000</v>
      </c>
      <c r="H524" s="86">
        <v>4065000000</v>
      </c>
      <c r="I524" s="86">
        <v>0</v>
      </c>
      <c r="J524" s="86">
        <v>0</v>
      </c>
      <c r="K524" s="83" t="s">
        <v>19</v>
      </c>
      <c r="L524" s="83" t="s">
        <v>170</v>
      </c>
      <c r="M524" s="91">
        <f t="shared" si="51"/>
        <v>7008000000</v>
      </c>
      <c r="N524" s="86">
        <f t="shared" si="52"/>
        <v>4065000000</v>
      </c>
      <c r="O524" s="86">
        <f t="shared" si="53"/>
        <v>2943000000</v>
      </c>
      <c r="P524" s="83">
        <f t="shared" si="49"/>
        <v>0.18111883808234353</v>
      </c>
      <c r="Q524" s="83">
        <f t="shared" si="50"/>
        <v>0.43128807926641644</v>
      </c>
    </row>
    <row r="525" spans="1:17">
      <c r="A525" s="87">
        <v>551</v>
      </c>
      <c r="B525" s="87" t="s">
        <v>233</v>
      </c>
      <c r="C525" s="87" t="s">
        <v>23</v>
      </c>
      <c r="D525" s="84">
        <v>41797</v>
      </c>
      <c r="E525" s="88">
        <f t="shared" si="48"/>
        <v>2014</v>
      </c>
      <c r="F525" s="89">
        <v>14522000000</v>
      </c>
      <c r="G525" s="89">
        <v>8260000000</v>
      </c>
      <c r="H525" s="89">
        <v>3758000000</v>
      </c>
      <c r="I525" s="89">
        <v>0</v>
      </c>
      <c r="J525" s="89">
        <v>0</v>
      </c>
      <c r="K525" s="87" t="s">
        <v>19</v>
      </c>
      <c r="L525" s="87" t="s">
        <v>170</v>
      </c>
      <c r="M525" s="90">
        <f t="shared" si="51"/>
        <v>6262000000</v>
      </c>
      <c r="N525" s="89">
        <f t="shared" si="52"/>
        <v>3758000000</v>
      </c>
      <c r="O525" s="89">
        <f t="shared" si="53"/>
        <v>2504000000</v>
      </c>
      <c r="P525" s="87">
        <f t="shared" si="49"/>
        <v>0.17242804021484645</v>
      </c>
      <c r="Q525" s="87">
        <f t="shared" si="50"/>
        <v>0.43120782261396506</v>
      </c>
    </row>
    <row r="526" spans="1:17">
      <c r="A526" s="83">
        <v>552</v>
      </c>
      <c r="B526" s="83" t="s">
        <v>234</v>
      </c>
      <c r="C526" s="83" t="s">
        <v>18</v>
      </c>
      <c r="D526" s="84">
        <v>41798</v>
      </c>
      <c r="E526" s="85">
        <f t="shared" si="48"/>
        <v>2014</v>
      </c>
      <c r="F526" s="86">
        <v>11682636000</v>
      </c>
      <c r="G526" s="86">
        <v>1699428000</v>
      </c>
      <c r="H526" s="86">
        <v>3862434000</v>
      </c>
      <c r="I526" s="86">
        <v>0</v>
      </c>
      <c r="J526" s="86">
        <v>3169703000</v>
      </c>
      <c r="K526" s="83" t="s">
        <v>89</v>
      </c>
      <c r="L526" s="83" t="s">
        <v>90</v>
      </c>
      <c r="M526" s="91">
        <f t="shared" si="51"/>
        <v>9983208000</v>
      </c>
      <c r="N526" s="86">
        <f t="shared" si="52"/>
        <v>7032137000</v>
      </c>
      <c r="O526" s="86">
        <f t="shared" si="53"/>
        <v>2951071000</v>
      </c>
      <c r="P526" s="83">
        <f t="shared" si="49"/>
        <v>0.25260317962487233</v>
      </c>
      <c r="Q526" s="83">
        <f t="shared" si="50"/>
        <v>0.85453385691379924</v>
      </c>
    </row>
    <row r="527" spans="1:17">
      <c r="A527" s="87">
        <v>553</v>
      </c>
      <c r="B527" s="87" t="s">
        <v>234</v>
      </c>
      <c r="C527" s="87" t="s">
        <v>21</v>
      </c>
      <c r="D527" s="84">
        <v>41799</v>
      </c>
      <c r="E527" s="85">
        <f t="shared" si="48"/>
        <v>2014</v>
      </c>
      <c r="F527" s="89">
        <v>14487118000</v>
      </c>
      <c r="G527" s="89">
        <v>2066893000</v>
      </c>
      <c r="H527" s="89">
        <v>4621096000</v>
      </c>
      <c r="I527" s="89">
        <v>0</v>
      </c>
      <c r="J527" s="89">
        <v>3600976000</v>
      </c>
      <c r="K527" s="87" t="s">
        <v>89</v>
      </c>
      <c r="L527" s="87" t="s">
        <v>90</v>
      </c>
      <c r="M527" s="90">
        <f t="shared" si="51"/>
        <v>12420225000</v>
      </c>
      <c r="N527" s="89">
        <f t="shared" si="52"/>
        <v>8222072000</v>
      </c>
      <c r="O527" s="89">
        <f t="shared" si="53"/>
        <v>4198153000</v>
      </c>
      <c r="P527" s="87">
        <f t="shared" si="49"/>
        <v>0.28978524230975411</v>
      </c>
      <c r="Q527" s="87">
        <f t="shared" si="50"/>
        <v>0.85732890420303054</v>
      </c>
    </row>
    <row r="528" spans="1:17">
      <c r="A528" s="83">
        <v>554</v>
      </c>
      <c r="B528" s="83" t="s">
        <v>234</v>
      </c>
      <c r="C528" s="83" t="s">
        <v>22</v>
      </c>
      <c r="D528" s="84">
        <v>41800</v>
      </c>
      <c r="E528" s="85">
        <f t="shared" si="48"/>
        <v>2014</v>
      </c>
      <c r="F528" s="86">
        <v>18035340000</v>
      </c>
      <c r="G528" s="86">
        <v>2534389000</v>
      </c>
      <c r="H528" s="86">
        <v>5285634000</v>
      </c>
      <c r="I528" s="86">
        <v>0</v>
      </c>
      <c r="J528" s="86">
        <v>3997041000</v>
      </c>
      <c r="K528" s="83" t="s">
        <v>89</v>
      </c>
      <c r="L528" s="83" t="s">
        <v>90</v>
      </c>
      <c r="M528" s="91">
        <f t="shared" si="51"/>
        <v>15500951000</v>
      </c>
      <c r="N528" s="86">
        <f t="shared" si="52"/>
        <v>9282675000</v>
      </c>
      <c r="O528" s="86">
        <f t="shared" si="53"/>
        <v>6218276000</v>
      </c>
      <c r="P528" s="83">
        <f t="shared" si="49"/>
        <v>0.34478285410754661</v>
      </c>
      <c r="Q528" s="83">
        <f t="shared" si="50"/>
        <v>0.85947650557183841</v>
      </c>
    </row>
    <row r="529" spans="1:17">
      <c r="A529" s="87">
        <v>555</v>
      </c>
      <c r="B529" s="87" t="s">
        <v>234</v>
      </c>
      <c r="C529" s="87" t="s">
        <v>23</v>
      </c>
      <c r="D529" s="84">
        <v>41801</v>
      </c>
      <c r="E529" s="85">
        <f t="shared" si="48"/>
        <v>2014</v>
      </c>
      <c r="F529" s="89">
        <v>8757428000</v>
      </c>
      <c r="G529" s="89">
        <v>2177757000</v>
      </c>
      <c r="H529" s="89">
        <v>3174320000</v>
      </c>
      <c r="I529" s="89">
        <v>0</v>
      </c>
      <c r="J529" s="89">
        <v>3313644000</v>
      </c>
      <c r="K529" s="87" t="s">
        <v>89</v>
      </c>
      <c r="L529" s="87" t="s">
        <v>90</v>
      </c>
      <c r="M529" s="90">
        <f t="shared" si="51"/>
        <v>6579671000</v>
      </c>
      <c r="N529" s="89">
        <f t="shared" si="52"/>
        <v>6487964000</v>
      </c>
      <c r="O529" s="89">
        <f t="shared" si="53"/>
        <v>91707000</v>
      </c>
      <c r="P529" s="87">
        <f t="shared" si="49"/>
        <v>1.0471910245793628E-2</v>
      </c>
      <c r="Q529" s="87">
        <f t="shared" si="50"/>
        <v>0.75132458982249128</v>
      </c>
    </row>
    <row r="530" spans="1:17">
      <c r="A530" s="83">
        <v>556</v>
      </c>
      <c r="B530" s="83" t="s">
        <v>235</v>
      </c>
      <c r="C530" s="83" t="s">
        <v>18</v>
      </c>
      <c r="D530" s="84">
        <v>41802</v>
      </c>
      <c r="E530" s="85">
        <f t="shared" si="48"/>
        <v>2014</v>
      </c>
      <c r="F530" s="86">
        <v>1887376000</v>
      </c>
      <c r="G530" s="86">
        <v>944617000</v>
      </c>
      <c r="H530" s="86">
        <v>531180000</v>
      </c>
      <c r="I530" s="86">
        <v>0</v>
      </c>
      <c r="J530" s="86">
        <v>0</v>
      </c>
      <c r="K530" s="83" t="s">
        <v>58</v>
      </c>
      <c r="L530" s="83" t="s">
        <v>59</v>
      </c>
      <c r="M530" s="91">
        <f t="shared" si="51"/>
        <v>942759000</v>
      </c>
      <c r="N530" s="86">
        <f t="shared" si="52"/>
        <v>531180000</v>
      </c>
      <c r="O530" s="86">
        <f t="shared" si="53"/>
        <v>411579000</v>
      </c>
      <c r="P530" s="83">
        <f t="shared" si="49"/>
        <v>0.21806942548808506</v>
      </c>
      <c r="Q530" s="83">
        <f t="shared" si="50"/>
        <v>0.49950778223311099</v>
      </c>
    </row>
    <row r="531" spans="1:17">
      <c r="A531" s="87">
        <v>557</v>
      </c>
      <c r="B531" s="87" t="s">
        <v>235</v>
      </c>
      <c r="C531" s="87" t="s">
        <v>21</v>
      </c>
      <c r="D531" s="84">
        <v>41803</v>
      </c>
      <c r="E531" s="88">
        <f t="shared" si="48"/>
        <v>2014</v>
      </c>
      <c r="F531" s="89">
        <v>2152766000</v>
      </c>
      <c r="G531" s="89">
        <v>1064403000</v>
      </c>
      <c r="H531" s="89">
        <v>621413000</v>
      </c>
      <c r="I531" s="89">
        <v>0</v>
      </c>
      <c r="J531" s="89">
        <v>0</v>
      </c>
      <c r="K531" s="87" t="s">
        <v>58</v>
      </c>
      <c r="L531" s="87" t="s">
        <v>59</v>
      </c>
      <c r="M531" s="90">
        <f t="shared" si="51"/>
        <v>1088363000</v>
      </c>
      <c r="N531" s="89">
        <f t="shared" si="52"/>
        <v>621413000</v>
      </c>
      <c r="O531" s="89">
        <f t="shared" si="53"/>
        <v>466950000</v>
      </c>
      <c r="P531" s="87">
        <f t="shared" si="49"/>
        <v>0.2169069931427754</v>
      </c>
      <c r="Q531" s="87">
        <f t="shared" si="50"/>
        <v>0.505564933671379</v>
      </c>
    </row>
    <row r="532" spans="1:17">
      <c r="A532" s="83">
        <v>558</v>
      </c>
      <c r="B532" s="83" t="s">
        <v>235</v>
      </c>
      <c r="C532" s="83" t="s">
        <v>22</v>
      </c>
      <c r="D532" s="84">
        <v>41804</v>
      </c>
      <c r="E532" s="85">
        <f t="shared" si="48"/>
        <v>2014</v>
      </c>
      <c r="F532" s="86">
        <v>2443776000</v>
      </c>
      <c r="G532" s="86">
        <v>1197885000</v>
      </c>
      <c r="H532" s="86">
        <v>734119000</v>
      </c>
      <c r="I532" s="86">
        <v>0</v>
      </c>
      <c r="J532" s="86">
        <v>0</v>
      </c>
      <c r="K532" s="83" t="s">
        <v>58</v>
      </c>
      <c r="L532" s="83" t="s">
        <v>59</v>
      </c>
      <c r="M532" s="91">
        <f t="shared" si="51"/>
        <v>1245891000</v>
      </c>
      <c r="N532" s="86">
        <f t="shared" si="52"/>
        <v>734119000</v>
      </c>
      <c r="O532" s="86">
        <f t="shared" si="53"/>
        <v>511772000</v>
      </c>
      <c r="P532" s="83">
        <f t="shared" si="49"/>
        <v>0.20941853917871359</v>
      </c>
      <c r="Q532" s="83">
        <f t="shared" si="50"/>
        <v>0.50982209498742925</v>
      </c>
    </row>
    <row r="533" spans="1:17">
      <c r="A533" s="87">
        <v>559</v>
      </c>
      <c r="B533" s="87" t="s">
        <v>235</v>
      </c>
      <c r="C533" s="87" t="s">
        <v>23</v>
      </c>
      <c r="D533" s="84">
        <v>41805</v>
      </c>
      <c r="E533" s="88">
        <f t="shared" si="48"/>
        <v>2014</v>
      </c>
      <c r="F533" s="89">
        <v>2725867000</v>
      </c>
      <c r="G533" s="89">
        <v>1291506000</v>
      </c>
      <c r="H533" s="89">
        <v>825296000</v>
      </c>
      <c r="I533" s="89">
        <v>0</v>
      </c>
      <c r="J533" s="89">
        <v>0</v>
      </c>
      <c r="K533" s="87" t="s">
        <v>58</v>
      </c>
      <c r="L533" s="87" t="s">
        <v>59</v>
      </c>
      <c r="M533" s="90">
        <f t="shared" si="51"/>
        <v>1434361000</v>
      </c>
      <c r="N533" s="89">
        <f t="shared" si="52"/>
        <v>825296000</v>
      </c>
      <c r="O533" s="89">
        <f t="shared" si="53"/>
        <v>609065000</v>
      </c>
      <c r="P533" s="87">
        <f t="shared" si="49"/>
        <v>0.22343900124254046</v>
      </c>
      <c r="Q533" s="87">
        <f t="shared" si="50"/>
        <v>0.52620358953683355</v>
      </c>
    </row>
    <row r="534" spans="1:17">
      <c r="A534" s="83">
        <v>560</v>
      </c>
      <c r="B534" s="83" t="s">
        <v>236</v>
      </c>
      <c r="C534" s="83" t="s">
        <v>18</v>
      </c>
      <c r="D534" s="84">
        <v>41806</v>
      </c>
      <c r="E534" s="85">
        <f t="shared" si="48"/>
        <v>2014</v>
      </c>
      <c r="F534" s="86">
        <v>1747502000</v>
      </c>
      <c r="G534" s="86">
        <v>625507000</v>
      </c>
      <c r="H534" s="86">
        <v>47233000</v>
      </c>
      <c r="I534" s="86">
        <v>0</v>
      </c>
      <c r="J534" s="86">
        <v>560669000</v>
      </c>
      <c r="K534" s="83" t="s">
        <v>58</v>
      </c>
      <c r="L534" s="83" t="s">
        <v>59</v>
      </c>
      <c r="M534" s="91">
        <f t="shared" si="51"/>
        <v>1121995000</v>
      </c>
      <c r="N534" s="86">
        <f t="shared" si="52"/>
        <v>607902000</v>
      </c>
      <c r="O534" s="86">
        <f t="shared" si="53"/>
        <v>514093000</v>
      </c>
      <c r="P534" s="83">
        <f t="shared" si="49"/>
        <v>0.29418736001446638</v>
      </c>
      <c r="Q534" s="83">
        <f t="shared" si="50"/>
        <v>0.64205648977798024</v>
      </c>
    </row>
    <row r="535" spans="1:17">
      <c r="A535" s="87">
        <v>561</v>
      </c>
      <c r="B535" s="87" t="s">
        <v>236</v>
      </c>
      <c r="C535" s="87" t="s">
        <v>21</v>
      </c>
      <c r="D535" s="84">
        <v>41807</v>
      </c>
      <c r="E535" s="88">
        <f t="shared" si="48"/>
        <v>2014</v>
      </c>
      <c r="F535" s="89">
        <v>2387702000</v>
      </c>
      <c r="G535" s="89">
        <v>834228000</v>
      </c>
      <c r="H535" s="89">
        <v>62179000</v>
      </c>
      <c r="I535" s="89">
        <v>0</v>
      </c>
      <c r="J535" s="89">
        <v>978973000</v>
      </c>
      <c r="K535" s="87" t="s">
        <v>58</v>
      </c>
      <c r="L535" s="87" t="s">
        <v>59</v>
      </c>
      <c r="M535" s="90">
        <f t="shared" si="51"/>
        <v>1553474000</v>
      </c>
      <c r="N535" s="89">
        <f t="shared" si="52"/>
        <v>1041152000</v>
      </c>
      <c r="O535" s="89">
        <f t="shared" si="53"/>
        <v>512322000</v>
      </c>
      <c r="P535" s="87">
        <f t="shared" si="49"/>
        <v>0.21456697695106006</v>
      </c>
      <c r="Q535" s="87">
        <f t="shared" si="50"/>
        <v>0.65061469144809525</v>
      </c>
    </row>
    <row r="536" spans="1:17">
      <c r="A536" s="83">
        <v>562</v>
      </c>
      <c r="B536" s="83" t="s">
        <v>236</v>
      </c>
      <c r="C536" s="83" t="s">
        <v>22</v>
      </c>
      <c r="D536" s="84">
        <v>41808</v>
      </c>
      <c r="E536" s="85">
        <f t="shared" si="48"/>
        <v>2014</v>
      </c>
      <c r="F536" s="86">
        <v>2614748000</v>
      </c>
      <c r="G536" s="86">
        <v>883564000</v>
      </c>
      <c r="H536" s="86">
        <v>50948000</v>
      </c>
      <c r="I536" s="86">
        <v>0</v>
      </c>
      <c r="J536" s="86">
        <v>758861000</v>
      </c>
      <c r="K536" s="83" t="s">
        <v>58</v>
      </c>
      <c r="L536" s="83" t="s">
        <v>59</v>
      </c>
      <c r="M536" s="91">
        <f t="shared" si="51"/>
        <v>1731184000</v>
      </c>
      <c r="N536" s="86">
        <f t="shared" si="52"/>
        <v>809809000</v>
      </c>
      <c r="O536" s="86">
        <f t="shared" si="53"/>
        <v>921375000</v>
      </c>
      <c r="P536" s="83">
        <f t="shared" si="49"/>
        <v>0.35237621369248584</v>
      </c>
      <c r="Q536" s="83">
        <f t="shared" si="50"/>
        <v>0.66208445326280008</v>
      </c>
    </row>
    <row r="537" spans="1:17">
      <c r="A537" s="87">
        <v>563</v>
      </c>
      <c r="B537" s="87" t="s">
        <v>236</v>
      </c>
      <c r="C537" s="87" t="s">
        <v>23</v>
      </c>
      <c r="D537" s="84">
        <v>41809</v>
      </c>
      <c r="E537" s="88">
        <f t="shared" si="48"/>
        <v>2014</v>
      </c>
      <c r="F537" s="89">
        <v>2744965000</v>
      </c>
      <c r="G537" s="89">
        <v>905168000</v>
      </c>
      <c r="H537" s="89">
        <v>65082000</v>
      </c>
      <c r="I537" s="89">
        <v>0</v>
      </c>
      <c r="J537" s="89">
        <v>765895000</v>
      </c>
      <c r="K537" s="87" t="s">
        <v>58</v>
      </c>
      <c r="L537" s="87" t="s">
        <v>59</v>
      </c>
      <c r="M537" s="90">
        <f t="shared" si="51"/>
        <v>1839797000</v>
      </c>
      <c r="N537" s="89">
        <f t="shared" si="52"/>
        <v>830977000</v>
      </c>
      <c r="O537" s="89">
        <f t="shared" si="53"/>
        <v>1008820000</v>
      </c>
      <c r="P537" s="87">
        <f t="shared" si="49"/>
        <v>0.36751652571162108</v>
      </c>
      <c r="Q537" s="87">
        <f t="shared" si="50"/>
        <v>0.67024424719440867</v>
      </c>
    </row>
    <row r="538" spans="1:17">
      <c r="A538" s="83">
        <v>564</v>
      </c>
      <c r="B538" s="83" t="s">
        <v>237</v>
      </c>
      <c r="C538" s="83" t="s">
        <v>18</v>
      </c>
      <c r="D538" s="84">
        <v>41810</v>
      </c>
      <c r="E538" s="85">
        <f t="shared" si="48"/>
        <v>2014</v>
      </c>
      <c r="F538" s="86">
        <v>1859177000</v>
      </c>
      <c r="G538" s="86">
        <v>354561000</v>
      </c>
      <c r="H538" s="86">
        <v>200849000</v>
      </c>
      <c r="I538" s="86">
        <v>0</v>
      </c>
      <c r="J538" s="86">
        <v>653132000</v>
      </c>
      <c r="K538" s="83" t="s">
        <v>89</v>
      </c>
      <c r="L538" s="83" t="s">
        <v>90</v>
      </c>
      <c r="M538" s="91">
        <f t="shared" si="51"/>
        <v>1504616000</v>
      </c>
      <c r="N538" s="86">
        <f t="shared" si="52"/>
        <v>853981000</v>
      </c>
      <c r="O538" s="86">
        <f t="shared" si="53"/>
        <v>650635000</v>
      </c>
      <c r="P538" s="83">
        <f t="shared" si="49"/>
        <v>0.34995861071861367</v>
      </c>
      <c r="Q538" s="83">
        <f t="shared" si="50"/>
        <v>0.8092914230328796</v>
      </c>
    </row>
    <row r="539" spans="1:17">
      <c r="A539" s="87">
        <v>565</v>
      </c>
      <c r="B539" s="87" t="s">
        <v>237</v>
      </c>
      <c r="C539" s="87" t="s">
        <v>21</v>
      </c>
      <c r="D539" s="84">
        <v>41811</v>
      </c>
      <c r="E539" s="85">
        <f t="shared" si="48"/>
        <v>2014</v>
      </c>
      <c r="F539" s="89">
        <v>2388768000</v>
      </c>
      <c r="G539" s="89">
        <v>443974000</v>
      </c>
      <c r="H539" s="89">
        <v>238134000</v>
      </c>
      <c r="I539" s="89">
        <v>0</v>
      </c>
      <c r="J539" s="89">
        <v>679298000</v>
      </c>
      <c r="K539" s="87" t="s">
        <v>89</v>
      </c>
      <c r="L539" s="87" t="s">
        <v>90</v>
      </c>
      <c r="M539" s="90">
        <f t="shared" si="51"/>
        <v>1944794000</v>
      </c>
      <c r="N539" s="89">
        <f t="shared" si="52"/>
        <v>917432000</v>
      </c>
      <c r="O539" s="89">
        <f t="shared" si="53"/>
        <v>1027362000</v>
      </c>
      <c r="P539" s="87">
        <f t="shared" si="49"/>
        <v>0.43008027569023027</v>
      </c>
      <c r="Q539" s="87">
        <f t="shared" si="50"/>
        <v>0.81414101327546251</v>
      </c>
    </row>
    <row r="540" spans="1:17">
      <c r="A540" s="83">
        <v>566</v>
      </c>
      <c r="B540" s="83" t="s">
        <v>237</v>
      </c>
      <c r="C540" s="83" t="s">
        <v>22</v>
      </c>
      <c r="D540" s="84">
        <v>41812</v>
      </c>
      <c r="E540" s="85">
        <f t="shared" si="48"/>
        <v>2014</v>
      </c>
      <c r="F540" s="86">
        <v>1954000000</v>
      </c>
      <c r="G540" s="86">
        <v>523043000</v>
      </c>
      <c r="H540" s="86">
        <v>249925000</v>
      </c>
      <c r="I540" s="86">
        <v>0</v>
      </c>
      <c r="J540" s="86">
        <v>819216000</v>
      </c>
      <c r="K540" s="83" t="s">
        <v>89</v>
      </c>
      <c r="L540" s="83" t="s">
        <v>90</v>
      </c>
      <c r="M540" s="91">
        <f t="shared" si="51"/>
        <v>1430957000</v>
      </c>
      <c r="N540" s="86">
        <f t="shared" si="52"/>
        <v>1069141000</v>
      </c>
      <c r="O540" s="86">
        <f t="shared" si="53"/>
        <v>361816000</v>
      </c>
      <c r="P540" s="83">
        <f t="shared" si="49"/>
        <v>0.18516683725690891</v>
      </c>
      <c r="Q540" s="83">
        <f t="shared" si="50"/>
        <v>0.73232190378710338</v>
      </c>
    </row>
    <row r="541" spans="1:17">
      <c r="A541" s="87">
        <v>567</v>
      </c>
      <c r="B541" s="87" t="s">
        <v>237</v>
      </c>
      <c r="C541" s="87" t="s">
        <v>23</v>
      </c>
      <c r="D541" s="84">
        <v>41813</v>
      </c>
      <c r="E541" s="85">
        <f t="shared" si="48"/>
        <v>2014</v>
      </c>
      <c r="F541" s="89">
        <v>1857339000</v>
      </c>
      <c r="G541" s="89">
        <v>613909000</v>
      </c>
      <c r="H541" s="89">
        <v>272747000</v>
      </c>
      <c r="I541" s="89">
        <v>0</v>
      </c>
      <c r="J541" s="89">
        <v>927920000</v>
      </c>
      <c r="K541" s="87" t="s">
        <v>89</v>
      </c>
      <c r="L541" s="87" t="s">
        <v>90</v>
      </c>
      <c r="M541" s="90">
        <f t="shared" si="51"/>
        <v>1243430000</v>
      </c>
      <c r="N541" s="89">
        <f t="shared" si="52"/>
        <v>1200667000</v>
      </c>
      <c r="O541" s="89">
        <f t="shared" si="53"/>
        <v>42763000</v>
      </c>
      <c r="P541" s="87">
        <f t="shared" si="49"/>
        <v>2.3023799101833321E-2</v>
      </c>
      <c r="Q541" s="87">
        <f t="shared" si="50"/>
        <v>0.66946852459351791</v>
      </c>
    </row>
    <row r="542" spans="1:17">
      <c r="A542" s="83">
        <v>568</v>
      </c>
      <c r="B542" s="83" t="s">
        <v>238</v>
      </c>
      <c r="C542" s="83" t="s">
        <v>18</v>
      </c>
      <c r="D542" s="84">
        <v>41814</v>
      </c>
      <c r="E542" s="85">
        <f t="shared" si="48"/>
        <v>2014</v>
      </c>
      <c r="F542" s="86">
        <v>6273787000</v>
      </c>
      <c r="G542" s="86">
        <v>3667434000</v>
      </c>
      <c r="H542" s="86">
        <v>747356000</v>
      </c>
      <c r="I542" s="86">
        <v>0</v>
      </c>
      <c r="J542" s="86">
        <v>740791000</v>
      </c>
      <c r="K542" s="83" t="s">
        <v>48</v>
      </c>
      <c r="L542" s="83" t="s">
        <v>49</v>
      </c>
      <c r="M542" s="91">
        <f t="shared" si="51"/>
        <v>2606353000</v>
      </c>
      <c r="N542" s="86">
        <f t="shared" si="52"/>
        <v>1488147000</v>
      </c>
      <c r="O542" s="86">
        <f t="shared" si="53"/>
        <v>1118206000</v>
      </c>
      <c r="P542" s="83">
        <f t="shared" si="49"/>
        <v>0.17823461332047136</v>
      </c>
      <c r="Q542" s="83">
        <f t="shared" si="50"/>
        <v>0.41543536623095434</v>
      </c>
    </row>
    <row r="543" spans="1:17">
      <c r="A543" s="87">
        <v>569</v>
      </c>
      <c r="B543" s="87" t="s">
        <v>238</v>
      </c>
      <c r="C543" s="87" t="s">
        <v>21</v>
      </c>
      <c r="D543" s="84">
        <v>41815</v>
      </c>
      <c r="E543" s="88">
        <f t="shared" si="48"/>
        <v>2014</v>
      </c>
      <c r="F543" s="89">
        <v>7301204000</v>
      </c>
      <c r="G543" s="89">
        <v>3997940000</v>
      </c>
      <c r="H543" s="89">
        <v>914149000</v>
      </c>
      <c r="I543" s="89">
        <v>0</v>
      </c>
      <c r="J543" s="89">
        <v>859680000</v>
      </c>
      <c r="K543" s="87" t="s">
        <v>48</v>
      </c>
      <c r="L543" s="87" t="s">
        <v>49</v>
      </c>
      <c r="M543" s="90">
        <f t="shared" si="51"/>
        <v>3303264000</v>
      </c>
      <c r="N543" s="89">
        <f t="shared" si="52"/>
        <v>1773829000</v>
      </c>
      <c r="O543" s="89">
        <f t="shared" si="53"/>
        <v>1529435000</v>
      </c>
      <c r="P543" s="87">
        <f t="shared" si="49"/>
        <v>0.20947709446277626</v>
      </c>
      <c r="Q543" s="87">
        <f t="shared" si="50"/>
        <v>0.4524272982921721</v>
      </c>
    </row>
    <row r="544" spans="1:17">
      <c r="A544" s="83">
        <v>570</v>
      </c>
      <c r="B544" s="83" t="s">
        <v>238</v>
      </c>
      <c r="C544" s="83" t="s">
        <v>22</v>
      </c>
      <c r="D544" s="84">
        <v>41816</v>
      </c>
      <c r="E544" s="85">
        <f t="shared" si="48"/>
        <v>2014</v>
      </c>
      <c r="F544" s="86">
        <v>7741856000</v>
      </c>
      <c r="G544" s="86">
        <v>4449139000</v>
      </c>
      <c r="H544" s="86">
        <v>1034507000</v>
      </c>
      <c r="I544" s="86">
        <v>0</v>
      </c>
      <c r="J544" s="86">
        <v>625361000</v>
      </c>
      <c r="K544" s="83" t="s">
        <v>48</v>
      </c>
      <c r="L544" s="83" t="s">
        <v>49</v>
      </c>
      <c r="M544" s="91">
        <f t="shared" si="51"/>
        <v>3292717000</v>
      </c>
      <c r="N544" s="86">
        <f t="shared" si="52"/>
        <v>1659868000</v>
      </c>
      <c r="O544" s="86">
        <f t="shared" si="53"/>
        <v>1632849000</v>
      </c>
      <c r="P544" s="83">
        <f t="shared" si="49"/>
        <v>0.2109118278614327</v>
      </c>
      <c r="Q544" s="83">
        <f t="shared" si="50"/>
        <v>0.42531364572009611</v>
      </c>
    </row>
    <row r="545" spans="1:17">
      <c r="A545" s="87">
        <v>571</v>
      </c>
      <c r="B545" s="87" t="s">
        <v>238</v>
      </c>
      <c r="C545" s="87" t="s">
        <v>23</v>
      </c>
      <c r="D545" s="84">
        <v>41817</v>
      </c>
      <c r="E545" s="88">
        <f t="shared" si="48"/>
        <v>2014</v>
      </c>
      <c r="F545" s="89">
        <v>7954827000</v>
      </c>
      <c r="G545" s="89">
        <v>4416194000</v>
      </c>
      <c r="H545" s="89">
        <v>1086274000</v>
      </c>
      <c r="I545" s="89">
        <v>0</v>
      </c>
      <c r="J545" s="89">
        <v>688195000</v>
      </c>
      <c r="K545" s="87" t="s">
        <v>48</v>
      </c>
      <c r="L545" s="87" t="s">
        <v>49</v>
      </c>
      <c r="M545" s="90">
        <f t="shared" si="51"/>
        <v>3538633000</v>
      </c>
      <c r="N545" s="89">
        <f t="shared" si="52"/>
        <v>1774469000</v>
      </c>
      <c r="O545" s="89">
        <f t="shared" si="53"/>
        <v>1764164000</v>
      </c>
      <c r="P545" s="87">
        <f t="shared" si="49"/>
        <v>0.22177276765415516</v>
      </c>
      <c r="Q545" s="87">
        <f t="shared" si="50"/>
        <v>0.4448409751714274</v>
      </c>
    </row>
    <row r="546" spans="1:17">
      <c r="A546" s="83">
        <v>572</v>
      </c>
      <c r="B546" s="83" t="s">
        <v>239</v>
      </c>
      <c r="C546" s="83" t="s">
        <v>18</v>
      </c>
      <c r="D546" s="84">
        <v>41818</v>
      </c>
      <c r="E546" s="85">
        <f t="shared" si="48"/>
        <v>2014</v>
      </c>
      <c r="F546" s="86">
        <v>535153000</v>
      </c>
      <c r="G546" s="86">
        <v>172167000</v>
      </c>
      <c r="H546" s="86">
        <v>24573000</v>
      </c>
      <c r="I546" s="86">
        <v>0</v>
      </c>
      <c r="J546" s="86">
        <v>169173000</v>
      </c>
      <c r="K546" s="83" t="s">
        <v>58</v>
      </c>
      <c r="L546" s="83" t="s">
        <v>240</v>
      </c>
      <c r="M546" s="91">
        <f t="shared" si="51"/>
        <v>362986000</v>
      </c>
      <c r="N546" s="86">
        <f t="shared" si="52"/>
        <v>193746000</v>
      </c>
      <c r="O546" s="86">
        <f t="shared" si="53"/>
        <v>169240000</v>
      </c>
      <c r="P546" s="83">
        <f t="shared" si="49"/>
        <v>0.31624600815094001</v>
      </c>
      <c r="Q546" s="83">
        <f t="shared" si="50"/>
        <v>0.6782845279761115</v>
      </c>
    </row>
    <row r="547" spans="1:17">
      <c r="A547" s="87">
        <v>573</v>
      </c>
      <c r="B547" s="87" t="s">
        <v>239</v>
      </c>
      <c r="C547" s="87" t="s">
        <v>21</v>
      </c>
      <c r="D547" s="84">
        <v>41819</v>
      </c>
      <c r="E547" s="88">
        <f t="shared" si="48"/>
        <v>2014</v>
      </c>
      <c r="F547" s="89">
        <v>610590000</v>
      </c>
      <c r="G547" s="89">
        <v>197336000</v>
      </c>
      <c r="H547" s="89">
        <v>26684000</v>
      </c>
      <c r="I547" s="89">
        <v>0</v>
      </c>
      <c r="J547" s="89">
        <v>192420000</v>
      </c>
      <c r="K547" s="87" t="s">
        <v>58</v>
      </c>
      <c r="L547" s="87" t="s">
        <v>240</v>
      </c>
      <c r="M547" s="90">
        <f t="shared" si="51"/>
        <v>413254000</v>
      </c>
      <c r="N547" s="89">
        <f t="shared" si="52"/>
        <v>219104000</v>
      </c>
      <c r="O547" s="89">
        <f t="shared" si="53"/>
        <v>194150000</v>
      </c>
      <c r="P547" s="87">
        <f t="shared" si="49"/>
        <v>0.31797114266529097</v>
      </c>
      <c r="Q547" s="87">
        <f t="shared" si="50"/>
        <v>0.67681095334021191</v>
      </c>
    </row>
    <row r="548" spans="1:17">
      <c r="A548" s="83">
        <v>574</v>
      </c>
      <c r="B548" s="83" t="s">
        <v>239</v>
      </c>
      <c r="C548" s="83" t="s">
        <v>22</v>
      </c>
      <c r="D548" s="84">
        <v>41820</v>
      </c>
      <c r="E548" s="85">
        <f t="shared" si="48"/>
        <v>2014</v>
      </c>
      <c r="F548" s="86">
        <v>970938000</v>
      </c>
      <c r="G548" s="86">
        <v>312546000</v>
      </c>
      <c r="H548" s="86">
        <v>40878000</v>
      </c>
      <c r="I548" s="86">
        <v>0</v>
      </c>
      <c r="J548" s="86">
        <v>360592000</v>
      </c>
      <c r="K548" s="83" t="s">
        <v>58</v>
      </c>
      <c r="L548" s="83" t="s">
        <v>240</v>
      </c>
      <c r="M548" s="91">
        <f t="shared" si="51"/>
        <v>658392000</v>
      </c>
      <c r="N548" s="86">
        <f t="shared" si="52"/>
        <v>401470000</v>
      </c>
      <c r="O548" s="86">
        <f t="shared" si="53"/>
        <v>256922000</v>
      </c>
      <c r="P548" s="83">
        <f t="shared" si="49"/>
        <v>0.2646121585518334</v>
      </c>
      <c r="Q548" s="83">
        <f t="shared" si="50"/>
        <v>0.67809891053805704</v>
      </c>
    </row>
    <row r="549" spans="1:17">
      <c r="A549" s="87">
        <v>575</v>
      </c>
      <c r="B549" s="87" t="s">
        <v>239</v>
      </c>
      <c r="C549" s="87" t="s">
        <v>23</v>
      </c>
      <c r="D549" s="84">
        <v>41821</v>
      </c>
      <c r="E549" s="88">
        <f t="shared" si="48"/>
        <v>2014</v>
      </c>
      <c r="F549" s="89">
        <v>1194407000</v>
      </c>
      <c r="G549" s="89">
        <v>363508000</v>
      </c>
      <c r="H549" s="89">
        <v>40090000</v>
      </c>
      <c r="I549" s="89">
        <v>0</v>
      </c>
      <c r="J549" s="89">
        <v>453423000</v>
      </c>
      <c r="K549" s="87" t="s">
        <v>58</v>
      </c>
      <c r="L549" s="87" t="s">
        <v>240</v>
      </c>
      <c r="M549" s="90">
        <f t="shared" si="51"/>
        <v>830899000</v>
      </c>
      <c r="N549" s="89">
        <f t="shared" si="52"/>
        <v>493513000</v>
      </c>
      <c r="O549" s="89">
        <f t="shared" si="53"/>
        <v>337386000</v>
      </c>
      <c r="P549" s="87">
        <f t="shared" si="49"/>
        <v>0.28247155282914449</v>
      </c>
      <c r="Q549" s="87">
        <f t="shared" si="50"/>
        <v>0.69565818016806669</v>
      </c>
    </row>
    <row r="550" spans="1:17">
      <c r="A550" s="83">
        <v>576</v>
      </c>
      <c r="B550" s="83" t="s">
        <v>241</v>
      </c>
      <c r="C550" s="83" t="s">
        <v>18</v>
      </c>
      <c r="D550" s="84">
        <v>41822</v>
      </c>
      <c r="E550" s="85">
        <f t="shared" si="48"/>
        <v>2014</v>
      </c>
      <c r="F550" s="86">
        <v>1365000000</v>
      </c>
      <c r="G550" s="86">
        <v>0</v>
      </c>
      <c r="H550" s="86">
        <v>921000000</v>
      </c>
      <c r="I550" s="86">
        <v>0</v>
      </c>
      <c r="J550" s="86">
        <v>471000000</v>
      </c>
      <c r="K550" s="83" t="s">
        <v>53</v>
      </c>
      <c r="L550" s="83" t="s">
        <v>242</v>
      </c>
      <c r="M550" s="91">
        <f t="shared" si="51"/>
        <v>1365000000</v>
      </c>
      <c r="N550" s="86">
        <f t="shared" si="52"/>
        <v>1392000000</v>
      </c>
      <c r="O550" s="86">
        <f t="shared" si="53"/>
        <v>-27000000</v>
      </c>
      <c r="P550" s="83">
        <f t="shared" si="49"/>
        <v>-1.9780219780219779E-2</v>
      </c>
      <c r="Q550" s="83">
        <f t="shared" si="50"/>
        <v>1</v>
      </c>
    </row>
    <row r="551" spans="1:17">
      <c r="A551" s="87">
        <v>577</v>
      </c>
      <c r="B551" s="87" t="s">
        <v>241</v>
      </c>
      <c r="C551" s="87" t="s">
        <v>21</v>
      </c>
      <c r="D551" s="84">
        <v>41823</v>
      </c>
      <c r="E551" s="88">
        <f t="shared" si="48"/>
        <v>2014</v>
      </c>
      <c r="F551" s="89">
        <v>1466000000</v>
      </c>
      <c r="G551" s="89">
        <v>0</v>
      </c>
      <c r="H551" s="89">
        <v>888000000</v>
      </c>
      <c r="I551" s="89">
        <v>0</v>
      </c>
      <c r="J551" s="89">
        <v>256000000</v>
      </c>
      <c r="K551" s="87" t="s">
        <v>53</v>
      </c>
      <c r="L551" s="87" t="s">
        <v>242</v>
      </c>
      <c r="M551" s="90">
        <f t="shared" si="51"/>
        <v>1466000000</v>
      </c>
      <c r="N551" s="89">
        <f t="shared" si="52"/>
        <v>1144000000</v>
      </c>
      <c r="O551" s="89">
        <f t="shared" si="53"/>
        <v>322000000</v>
      </c>
      <c r="P551" s="87">
        <f t="shared" si="49"/>
        <v>0.21964529331514324</v>
      </c>
      <c r="Q551" s="87">
        <f t="shared" si="50"/>
        <v>1</v>
      </c>
    </row>
    <row r="552" spans="1:17">
      <c r="A552" s="83">
        <v>578</v>
      </c>
      <c r="B552" s="83" t="s">
        <v>241</v>
      </c>
      <c r="C552" s="83" t="s">
        <v>22</v>
      </c>
      <c r="D552" s="84">
        <v>41824</v>
      </c>
      <c r="E552" s="85">
        <f t="shared" si="48"/>
        <v>2014</v>
      </c>
      <c r="F552" s="86">
        <v>1665000000</v>
      </c>
      <c r="G552" s="86">
        <v>0</v>
      </c>
      <c r="H552" s="86">
        <v>958000000</v>
      </c>
      <c r="I552" s="86">
        <v>0</v>
      </c>
      <c r="J552" s="86">
        <v>136000000</v>
      </c>
      <c r="K552" s="83" t="s">
        <v>53</v>
      </c>
      <c r="L552" s="83" t="s">
        <v>242</v>
      </c>
      <c r="M552" s="91">
        <f t="shared" si="51"/>
        <v>1665000000</v>
      </c>
      <c r="N552" s="86">
        <f t="shared" si="52"/>
        <v>1094000000</v>
      </c>
      <c r="O552" s="86">
        <f t="shared" si="53"/>
        <v>571000000</v>
      </c>
      <c r="P552" s="83">
        <f t="shared" si="49"/>
        <v>0.34294294294294292</v>
      </c>
      <c r="Q552" s="83">
        <f t="shared" si="50"/>
        <v>1</v>
      </c>
    </row>
    <row r="553" spans="1:17">
      <c r="A553" s="87">
        <v>579</v>
      </c>
      <c r="B553" s="87" t="s">
        <v>241</v>
      </c>
      <c r="C553" s="87" t="s">
        <v>23</v>
      </c>
      <c r="D553" s="84">
        <v>41825</v>
      </c>
      <c r="E553" s="88">
        <f t="shared" si="48"/>
        <v>2014</v>
      </c>
      <c r="F553" s="89">
        <v>1403000000</v>
      </c>
      <c r="G553" s="89">
        <v>0</v>
      </c>
      <c r="H553" s="89">
        <v>1048000000</v>
      </c>
      <c r="I553" s="89">
        <v>0</v>
      </c>
      <c r="J553" s="89">
        <v>61000000</v>
      </c>
      <c r="K553" s="87" t="s">
        <v>53</v>
      </c>
      <c r="L553" s="87" t="s">
        <v>242</v>
      </c>
      <c r="M553" s="90">
        <f t="shared" si="51"/>
        <v>1403000000</v>
      </c>
      <c r="N553" s="89">
        <f t="shared" si="52"/>
        <v>1109000000</v>
      </c>
      <c r="O553" s="89">
        <f t="shared" si="53"/>
        <v>294000000</v>
      </c>
      <c r="P553" s="87">
        <f t="shared" si="49"/>
        <v>0.20955096222380612</v>
      </c>
      <c r="Q553" s="87">
        <f t="shared" si="50"/>
        <v>1</v>
      </c>
    </row>
    <row r="554" spans="1:17">
      <c r="A554" s="83">
        <v>580</v>
      </c>
      <c r="B554" s="83" t="s">
        <v>243</v>
      </c>
      <c r="C554" s="83" t="s">
        <v>18</v>
      </c>
      <c r="D554" s="84">
        <v>41826</v>
      </c>
      <c r="E554" s="85">
        <f t="shared" si="48"/>
        <v>2014</v>
      </c>
      <c r="F554" s="86">
        <v>16311000000</v>
      </c>
      <c r="G554" s="86">
        <v>11448000000</v>
      </c>
      <c r="H554" s="86">
        <v>2894000000</v>
      </c>
      <c r="I554" s="86">
        <v>439000000</v>
      </c>
      <c r="J554" s="86">
        <v>0</v>
      </c>
      <c r="K554" s="83" t="s">
        <v>19</v>
      </c>
      <c r="L554" s="83" t="s">
        <v>170</v>
      </c>
      <c r="M554" s="91">
        <f t="shared" si="51"/>
        <v>4863000000</v>
      </c>
      <c r="N554" s="86">
        <f t="shared" si="52"/>
        <v>3333000000</v>
      </c>
      <c r="O554" s="86">
        <f t="shared" si="53"/>
        <v>1530000000</v>
      </c>
      <c r="P554" s="83">
        <f t="shared" si="49"/>
        <v>9.3801728894610997E-2</v>
      </c>
      <c r="Q554" s="83">
        <f t="shared" si="50"/>
        <v>0.2981423579179695</v>
      </c>
    </row>
    <row r="555" spans="1:17">
      <c r="A555" s="87">
        <v>581</v>
      </c>
      <c r="B555" s="87" t="s">
        <v>243</v>
      </c>
      <c r="C555" s="87" t="s">
        <v>21</v>
      </c>
      <c r="D555" s="84">
        <v>41827</v>
      </c>
      <c r="E555" s="88">
        <f t="shared" si="48"/>
        <v>2014</v>
      </c>
      <c r="F555" s="89">
        <v>22046000000</v>
      </c>
      <c r="G555" s="89">
        <v>15369000000</v>
      </c>
      <c r="H555" s="89">
        <v>3886000000</v>
      </c>
      <c r="I555" s="89">
        <v>644000000</v>
      </c>
      <c r="J555" s="89">
        <v>0</v>
      </c>
      <c r="K555" s="87" t="s">
        <v>19</v>
      </c>
      <c r="L555" s="87" t="s">
        <v>170</v>
      </c>
      <c r="M555" s="90">
        <f t="shared" si="51"/>
        <v>6677000000</v>
      </c>
      <c r="N555" s="89">
        <f t="shared" si="52"/>
        <v>4530000000</v>
      </c>
      <c r="O555" s="89">
        <f t="shared" si="53"/>
        <v>2147000000</v>
      </c>
      <c r="P555" s="87">
        <f t="shared" si="49"/>
        <v>9.7387281139435719E-2</v>
      </c>
      <c r="Q555" s="87">
        <f t="shared" si="50"/>
        <v>0.3028667331942303</v>
      </c>
    </row>
    <row r="556" spans="1:17">
      <c r="A556" s="83">
        <v>582</v>
      </c>
      <c r="B556" s="83" t="s">
        <v>243</v>
      </c>
      <c r="C556" s="83" t="s">
        <v>22</v>
      </c>
      <c r="D556" s="84">
        <v>41828</v>
      </c>
      <c r="E556" s="85">
        <f t="shared" si="48"/>
        <v>2014</v>
      </c>
      <c r="F556" s="86">
        <v>22552000000</v>
      </c>
      <c r="G556" s="86">
        <v>15646000000</v>
      </c>
      <c r="H556" s="86">
        <v>3810000000</v>
      </c>
      <c r="I556" s="86">
        <v>647000000</v>
      </c>
      <c r="J556" s="86">
        <v>0</v>
      </c>
      <c r="K556" s="83" t="s">
        <v>19</v>
      </c>
      <c r="L556" s="83" t="s">
        <v>170</v>
      </c>
      <c r="M556" s="91">
        <f t="shared" si="51"/>
        <v>6906000000</v>
      </c>
      <c r="N556" s="86">
        <f t="shared" si="52"/>
        <v>4457000000</v>
      </c>
      <c r="O556" s="86">
        <f t="shared" si="53"/>
        <v>2449000000</v>
      </c>
      <c r="P556" s="83">
        <f t="shared" si="49"/>
        <v>0.10859347286271727</v>
      </c>
      <c r="Q556" s="83">
        <f t="shared" si="50"/>
        <v>0.30622561191912023</v>
      </c>
    </row>
    <row r="557" spans="1:17">
      <c r="A557" s="87">
        <v>583</v>
      </c>
      <c r="B557" s="87" t="s">
        <v>243</v>
      </c>
      <c r="C557" s="87" t="s">
        <v>23</v>
      </c>
      <c r="D557" s="84">
        <v>41829</v>
      </c>
      <c r="E557" s="88">
        <f t="shared" si="48"/>
        <v>2014</v>
      </c>
      <c r="F557" s="89">
        <v>20855000000</v>
      </c>
      <c r="G557" s="89">
        <v>14292000000</v>
      </c>
      <c r="H557" s="89">
        <v>3596000000</v>
      </c>
      <c r="I557" s="89">
        <v>625000000</v>
      </c>
      <c r="J557" s="89">
        <v>0</v>
      </c>
      <c r="K557" s="87" t="s">
        <v>19</v>
      </c>
      <c r="L557" s="87" t="s">
        <v>170</v>
      </c>
      <c r="M557" s="90">
        <f t="shared" si="51"/>
        <v>6563000000</v>
      </c>
      <c r="N557" s="89">
        <f t="shared" si="52"/>
        <v>4221000000</v>
      </c>
      <c r="O557" s="89">
        <f t="shared" si="53"/>
        <v>2342000000</v>
      </c>
      <c r="P557" s="87">
        <f t="shared" si="49"/>
        <v>0.11229920882282426</v>
      </c>
      <c r="Q557" s="87">
        <f t="shared" si="50"/>
        <v>0.31469671541596744</v>
      </c>
    </row>
    <row r="558" spans="1:17">
      <c r="A558" s="83">
        <v>584</v>
      </c>
      <c r="B558" s="83" t="s">
        <v>244</v>
      </c>
      <c r="C558" s="83" t="s">
        <v>18</v>
      </c>
      <c r="D558" s="84">
        <v>41830</v>
      </c>
      <c r="E558" s="85">
        <f t="shared" si="48"/>
        <v>2014</v>
      </c>
      <c r="F558" s="86">
        <v>10302079000</v>
      </c>
      <c r="G558" s="86">
        <v>6583627000</v>
      </c>
      <c r="H558" s="86">
        <v>917162000</v>
      </c>
      <c r="I558" s="86">
        <v>0</v>
      </c>
      <c r="J558" s="86">
        <v>1144585000</v>
      </c>
      <c r="K558" s="83" t="s">
        <v>48</v>
      </c>
      <c r="L558" s="83" t="s">
        <v>51</v>
      </c>
      <c r="M558" s="91">
        <f t="shared" si="51"/>
        <v>3718452000</v>
      </c>
      <c r="N558" s="86">
        <f t="shared" si="52"/>
        <v>2061747000</v>
      </c>
      <c r="O558" s="86">
        <f t="shared" si="53"/>
        <v>1656705000</v>
      </c>
      <c r="P558" s="83">
        <f t="shared" si="49"/>
        <v>0.16081268644901675</v>
      </c>
      <c r="Q558" s="83">
        <f t="shared" si="50"/>
        <v>0.36094190308577523</v>
      </c>
    </row>
    <row r="559" spans="1:17">
      <c r="A559" s="87">
        <v>585</v>
      </c>
      <c r="B559" s="87" t="s">
        <v>244</v>
      </c>
      <c r="C559" s="87" t="s">
        <v>21</v>
      </c>
      <c r="D559" s="84">
        <v>41831</v>
      </c>
      <c r="E559" s="88">
        <f t="shared" si="48"/>
        <v>2014</v>
      </c>
      <c r="F559" s="89">
        <v>11390947000</v>
      </c>
      <c r="G559" s="89">
        <v>7588885000</v>
      </c>
      <c r="H559" s="89">
        <v>888051000</v>
      </c>
      <c r="I559" s="89">
        <v>0</v>
      </c>
      <c r="J559" s="89">
        <v>1261044000</v>
      </c>
      <c r="K559" s="87" t="s">
        <v>48</v>
      </c>
      <c r="L559" s="87" t="s">
        <v>51</v>
      </c>
      <c r="M559" s="90">
        <f t="shared" si="51"/>
        <v>3802062000</v>
      </c>
      <c r="N559" s="89">
        <f t="shared" si="52"/>
        <v>2149095000</v>
      </c>
      <c r="O559" s="89">
        <f t="shared" si="53"/>
        <v>1652967000</v>
      </c>
      <c r="P559" s="87">
        <f t="shared" si="49"/>
        <v>0.14511234228374514</v>
      </c>
      <c r="Q559" s="87">
        <f t="shared" si="50"/>
        <v>0.33377927225892634</v>
      </c>
    </row>
    <row r="560" spans="1:17">
      <c r="A560" s="83">
        <v>586</v>
      </c>
      <c r="B560" s="83" t="s">
        <v>244</v>
      </c>
      <c r="C560" s="83" t="s">
        <v>22</v>
      </c>
      <c r="D560" s="84">
        <v>41832</v>
      </c>
      <c r="E560" s="85">
        <f t="shared" si="48"/>
        <v>2014</v>
      </c>
      <c r="F560" s="86">
        <v>12494921000</v>
      </c>
      <c r="G560" s="86">
        <v>8126187000</v>
      </c>
      <c r="H560" s="86">
        <v>863455000</v>
      </c>
      <c r="I560" s="86">
        <v>0</v>
      </c>
      <c r="J560" s="86">
        <v>1318638000</v>
      </c>
      <c r="K560" s="83" t="s">
        <v>48</v>
      </c>
      <c r="L560" s="83" t="s">
        <v>51</v>
      </c>
      <c r="M560" s="91">
        <f t="shared" si="51"/>
        <v>4368734000</v>
      </c>
      <c r="N560" s="86">
        <f t="shared" si="52"/>
        <v>2182093000</v>
      </c>
      <c r="O560" s="86">
        <f t="shared" si="53"/>
        <v>2186641000</v>
      </c>
      <c r="P560" s="83">
        <f t="shared" si="49"/>
        <v>0.17500238696987361</v>
      </c>
      <c r="Q560" s="83">
        <f t="shared" si="50"/>
        <v>0.34964078604418547</v>
      </c>
    </row>
    <row r="561" spans="1:17">
      <c r="A561" s="87">
        <v>587</v>
      </c>
      <c r="B561" s="87" t="s">
        <v>244</v>
      </c>
      <c r="C561" s="87" t="s">
        <v>23</v>
      </c>
      <c r="D561" s="84">
        <v>41833</v>
      </c>
      <c r="E561" s="88">
        <f t="shared" si="48"/>
        <v>2014</v>
      </c>
      <c r="F561" s="89">
        <v>11513251000</v>
      </c>
      <c r="G561" s="89">
        <v>7449273000</v>
      </c>
      <c r="H561" s="89">
        <v>1074998000</v>
      </c>
      <c r="I561" s="89">
        <v>0</v>
      </c>
      <c r="J561" s="89">
        <v>1337276000</v>
      </c>
      <c r="K561" s="87" t="s">
        <v>48</v>
      </c>
      <c r="L561" s="87" t="s">
        <v>51</v>
      </c>
      <c r="M561" s="90">
        <f t="shared" si="51"/>
        <v>4063978000</v>
      </c>
      <c r="N561" s="89">
        <f t="shared" si="52"/>
        <v>2412274000</v>
      </c>
      <c r="O561" s="89">
        <f t="shared" si="53"/>
        <v>1651704000</v>
      </c>
      <c r="P561" s="87">
        <f t="shared" si="49"/>
        <v>0.14346113013604933</v>
      </c>
      <c r="Q561" s="87">
        <f t="shared" si="50"/>
        <v>0.35298266319391458</v>
      </c>
    </row>
    <row r="562" spans="1:17">
      <c r="A562" s="83">
        <v>588</v>
      </c>
      <c r="B562" s="83" t="s">
        <v>245</v>
      </c>
      <c r="C562" s="83" t="s">
        <v>18</v>
      </c>
      <c r="D562" s="84">
        <v>41834</v>
      </c>
      <c r="E562" s="85">
        <f t="shared" si="48"/>
        <v>2014</v>
      </c>
      <c r="F562" s="86">
        <v>1899600000</v>
      </c>
      <c r="G562" s="86">
        <v>491000000</v>
      </c>
      <c r="H562" s="86">
        <v>697400000</v>
      </c>
      <c r="I562" s="86">
        <v>291300000</v>
      </c>
      <c r="J562" s="86">
        <v>0</v>
      </c>
      <c r="K562" s="83" t="s">
        <v>31</v>
      </c>
      <c r="L562" s="83" t="s">
        <v>36</v>
      </c>
      <c r="M562" s="91">
        <f t="shared" si="51"/>
        <v>1408600000</v>
      </c>
      <c r="N562" s="86">
        <f t="shared" si="52"/>
        <v>988700000</v>
      </c>
      <c r="O562" s="86">
        <f t="shared" si="53"/>
        <v>419900000</v>
      </c>
      <c r="P562" s="83">
        <f t="shared" si="49"/>
        <v>0.22104653611286587</v>
      </c>
      <c r="Q562" s="83">
        <f t="shared" si="50"/>
        <v>0.74152453148031161</v>
      </c>
    </row>
    <row r="563" spans="1:17">
      <c r="A563" s="87">
        <v>589</v>
      </c>
      <c r="B563" s="87" t="s">
        <v>245</v>
      </c>
      <c r="C563" s="87" t="s">
        <v>21</v>
      </c>
      <c r="D563" s="84">
        <v>41835</v>
      </c>
      <c r="E563" s="88">
        <f t="shared" si="48"/>
        <v>2014</v>
      </c>
      <c r="F563" s="89">
        <v>2045500000</v>
      </c>
      <c r="G563" s="89">
        <v>516600000</v>
      </c>
      <c r="H563" s="89">
        <v>749700000</v>
      </c>
      <c r="I563" s="89">
        <v>323000000</v>
      </c>
      <c r="J563" s="89">
        <v>0</v>
      </c>
      <c r="K563" s="87" t="s">
        <v>31</v>
      </c>
      <c r="L563" s="87" t="s">
        <v>36</v>
      </c>
      <c r="M563" s="90">
        <f t="shared" si="51"/>
        <v>1528900000</v>
      </c>
      <c r="N563" s="89">
        <f t="shared" si="52"/>
        <v>1072700000</v>
      </c>
      <c r="O563" s="89">
        <f t="shared" si="53"/>
        <v>456200000</v>
      </c>
      <c r="P563" s="87">
        <f t="shared" si="49"/>
        <v>0.2230261549743339</v>
      </c>
      <c r="Q563" s="87">
        <f t="shared" si="50"/>
        <v>0.74744561231972617</v>
      </c>
    </row>
    <row r="564" spans="1:17">
      <c r="A564" s="83">
        <v>590</v>
      </c>
      <c r="B564" s="83" t="s">
        <v>245</v>
      </c>
      <c r="C564" s="83" t="s">
        <v>22</v>
      </c>
      <c r="D564" s="84">
        <v>41836</v>
      </c>
      <c r="E564" s="85">
        <f t="shared" si="48"/>
        <v>2014</v>
      </c>
      <c r="F564" s="86">
        <v>2322900000</v>
      </c>
      <c r="G564" s="86">
        <v>625600000</v>
      </c>
      <c r="H564" s="86">
        <v>928700000</v>
      </c>
      <c r="I564" s="86">
        <v>346500000</v>
      </c>
      <c r="J564" s="86">
        <v>0</v>
      </c>
      <c r="K564" s="83" t="s">
        <v>31</v>
      </c>
      <c r="L564" s="83" t="s">
        <v>36</v>
      </c>
      <c r="M564" s="91">
        <f t="shared" si="51"/>
        <v>1697300000</v>
      </c>
      <c r="N564" s="86">
        <f t="shared" si="52"/>
        <v>1275200000</v>
      </c>
      <c r="O564" s="86">
        <f t="shared" si="53"/>
        <v>422100000</v>
      </c>
      <c r="P564" s="83">
        <f t="shared" si="49"/>
        <v>0.18171251452925222</v>
      </c>
      <c r="Q564" s="83">
        <f t="shared" si="50"/>
        <v>0.73068147574152997</v>
      </c>
    </row>
    <row r="565" spans="1:17">
      <c r="A565" s="87">
        <v>591</v>
      </c>
      <c r="B565" s="87" t="s">
        <v>245</v>
      </c>
      <c r="C565" s="87" t="s">
        <v>23</v>
      </c>
      <c r="D565" s="84">
        <v>41837</v>
      </c>
      <c r="E565" s="88">
        <f t="shared" si="48"/>
        <v>2014</v>
      </c>
      <c r="F565" s="89">
        <v>2493700000</v>
      </c>
      <c r="G565" s="89">
        <v>617200000</v>
      </c>
      <c r="H565" s="89">
        <v>850700000</v>
      </c>
      <c r="I565" s="89">
        <v>383100000</v>
      </c>
      <c r="J565" s="89">
        <v>0</v>
      </c>
      <c r="K565" s="87" t="s">
        <v>31</v>
      </c>
      <c r="L565" s="87" t="s">
        <v>36</v>
      </c>
      <c r="M565" s="90">
        <f t="shared" si="51"/>
        <v>1876500000</v>
      </c>
      <c r="N565" s="89">
        <f t="shared" si="52"/>
        <v>1233800000</v>
      </c>
      <c r="O565" s="89">
        <f t="shared" si="53"/>
        <v>642700000</v>
      </c>
      <c r="P565" s="87">
        <f t="shared" si="49"/>
        <v>0.25772947828527892</v>
      </c>
      <c r="Q565" s="87">
        <f t="shared" si="50"/>
        <v>0.75249629065244417</v>
      </c>
    </row>
    <row r="566" spans="1:17">
      <c r="A566" s="83">
        <v>592</v>
      </c>
      <c r="B566" s="83" t="s">
        <v>246</v>
      </c>
      <c r="C566" s="83" t="s">
        <v>18</v>
      </c>
      <c r="D566" s="84">
        <v>41838</v>
      </c>
      <c r="E566" s="85">
        <f t="shared" si="48"/>
        <v>2014</v>
      </c>
      <c r="F566" s="86">
        <v>24888000000</v>
      </c>
      <c r="G566" s="86">
        <v>17994000000</v>
      </c>
      <c r="H566" s="86">
        <v>1095000000</v>
      </c>
      <c r="I566" s="86">
        <v>0</v>
      </c>
      <c r="J566" s="86">
        <v>2153000000</v>
      </c>
      <c r="K566" s="83" t="s">
        <v>48</v>
      </c>
      <c r="L566" s="83" t="s">
        <v>49</v>
      </c>
      <c r="M566" s="91">
        <f t="shared" si="51"/>
        <v>6894000000</v>
      </c>
      <c r="N566" s="86">
        <f t="shared" si="52"/>
        <v>3248000000</v>
      </c>
      <c r="O566" s="86">
        <f t="shared" si="53"/>
        <v>3646000000</v>
      </c>
      <c r="P566" s="83">
        <f t="shared" si="49"/>
        <v>0.14649630343940856</v>
      </c>
      <c r="Q566" s="83">
        <f t="shared" si="50"/>
        <v>0.27700096432015431</v>
      </c>
    </row>
    <row r="567" spans="1:17">
      <c r="A567" s="87">
        <v>593</v>
      </c>
      <c r="B567" s="87" t="s">
        <v>246</v>
      </c>
      <c r="C567" s="87" t="s">
        <v>21</v>
      </c>
      <c r="D567" s="84">
        <v>41839</v>
      </c>
      <c r="E567" s="88">
        <f t="shared" si="48"/>
        <v>2014</v>
      </c>
      <c r="F567" s="89">
        <v>27429000000</v>
      </c>
      <c r="G567" s="89">
        <v>21571000000</v>
      </c>
      <c r="H567" s="89">
        <v>1154000000</v>
      </c>
      <c r="I567" s="89">
        <v>0</v>
      </c>
      <c r="J567" s="89">
        <v>2314000000</v>
      </c>
      <c r="K567" s="87" t="s">
        <v>48</v>
      </c>
      <c r="L567" s="87" t="s">
        <v>49</v>
      </c>
      <c r="M567" s="90">
        <f t="shared" si="51"/>
        <v>5858000000</v>
      </c>
      <c r="N567" s="89">
        <f t="shared" si="52"/>
        <v>3468000000</v>
      </c>
      <c r="O567" s="89">
        <f t="shared" si="53"/>
        <v>2390000000</v>
      </c>
      <c r="P567" s="87">
        <f t="shared" si="49"/>
        <v>8.7134055197054208E-2</v>
      </c>
      <c r="Q567" s="87">
        <f t="shared" si="50"/>
        <v>0.21356957964198475</v>
      </c>
    </row>
    <row r="568" spans="1:17">
      <c r="A568" s="83">
        <v>594</v>
      </c>
      <c r="B568" s="83" t="s">
        <v>246</v>
      </c>
      <c r="C568" s="83" t="s">
        <v>22</v>
      </c>
      <c r="D568" s="84">
        <v>41840</v>
      </c>
      <c r="E568" s="85">
        <f t="shared" si="48"/>
        <v>2014</v>
      </c>
      <c r="F568" s="86">
        <v>29447000000</v>
      </c>
      <c r="G568" s="86">
        <v>21406000000</v>
      </c>
      <c r="H568" s="86">
        <v>1200000000</v>
      </c>
      <c r="I568" s="86">
        <v>0</v>
      </c>
      <c r="J568" s="86">
        <v>2450000000</v>
      </c>
      <c r="K568" s="83" t="s">
        <v>48</v>
      </c>
      <c r="L568" s="83" t="s">
        <v>49</v>
      </c>
      <c r="M568" s="91">
        <f t="shared" si="51"/>
        <v>8041000000</v>
      </c>
      <c r="N568" s="86">
        <f t="shared" si="52"/>
        <v>3650000000</v>
      </c>
      <c r="O568" s="86">
        <f t="shared" si="53"/>
        <v>4391000000</v>
      </c>
      <c r="P568" s="83">
        <f t="shared" si="49"/>
        <v>0.14911535979896084</v>
      </c>
      <c r="Q568" s="83">
        <f t="shared" si="50"/>
        <v>0.27306686589465823</v>
      </c>
    </row>
    <row r="569" spans="1:17">
      <c r="A569" s="87">
        <v>595</v>
      </c>
      <c r="B569" s="87" t="s">
        <v>246</v>
      </c>
      <c r="C569" s="87" t="s">
        <v>23</v>
      </c>
      <c r="D569" s="84">
        <v>41841</v>
      </c>
      <c r="E569" s="88">
        <f t="shared" si="48"/>
        <v>2014</v>
      </c>
      <c r="F569" s="89">
        <v>31360000000</v>
      </c>
      <c r="G569" s="89">
        <v>22688000000</v>
      </c>
      <c r="H569" s="89">
        <v>1576000000</v>
      </c>
      <c r="I569" s="89">
        <v>0</v>
      </c>
      <c r="J569" s="89">
        <v>3936000000</v>
      </c>
      <c r="K569" s="87" t="s">
        <v>48</v>
      </c>
      <c r="L569" s="87" t="s">
        <v>49</v>
      </c>
      <c r="M569" s="90">
        <f t="shared" si="51"/>
        <v>8672000000</v>
      </c>
      <c r="N569" s="89">
        <f t="shared" si="52"/>
        <v>5512000000</v>
      </c>
      <c r="O569" s="89">
        <f t="shared" si="53"/>
        <v>3160000000</v>
      </c>
      <c r="P569" s="87">
        <f t="shared" si="49"/>
        <v>0.10076530612244898</v>
      </c>
      <c r="Q569" s="87">
        <f t="shared" si="50"/>
        <v>0.27653061224489794</v>
      </c>
    </row>
    <row r="570" spans="1:17">
      <c r="A570" s="83">
        <v>596</v>
      </c>
      <c r="B570" s="83" t="s">
        <v>247</v>
      </c>
      <c r="C570" s="83" t="s">
        <v>18</v>
      </c>
      <c r="D570" s="84">
        <v>41842</v>
      </c>
      <c r="E570" s="85">
        <f t="shared" si="48"/>
        <v>2014</v>
      </c>
      <c r="F570" s="86">
        <v>5992215000</v>
      </c>
      <c r="G570" s="86">
        <v>4156845000</v>
      </c>
      <c r="H570" s="86">
        <v>1264632000</v>
      </c>
      <c r="I570" s="86">
        <v>0</v>
      </c>
      <c r="J570" s="86">
        <v>39940000</v>
      </c>
      <c r="K570" s="83" t="s">
        <v>19</v>
      </c>
      <c r="L570" s="83" t="s">
        <v>152</v>
      </c>
      <c r="M570" s="91">
        <f t="shared" si="51"/>
        <v>1835370000</v>
      </c>
      <c r="N570" s="86">
        <f t="shared" si="52"/>
        <v>1304572000</v>
      </c>
      <c r="O570" s="86">
        <f t="shared" si="53"/>
        <v>530798000</v>
      </c>
      <c r="P570" s="83">
        <f t="shared" si="49"/>
        <v>8.8581267527950855E-2</v>
      </c>
      <c r="Q570" s="83">
        <f t="shared" si="50"/>
        <v>0.30629241440769395</v>
      </c>
    </row>
    <row r="571" spans="1:17">
      <c r="A571" s="87">
        <v>597</v>
      </c>
      <c r="B571" s="87" t="s">
        <v>247</v>
      </c>
      <c r="C571" s="87" t="s">
        <v>21</v>
      </c>
      <c r="D571" s="84">
        <v>41843</v>
      </c>
      <c r="E571" s="88">
        <f t="shared" si="48"/>
        <v>2014</v>
      </c>
      <c r="F571" s="89">
        <v>6080257000</v>
      </c>
      <c r="G571" s="89">
        <v>4197404000</v>
      </c>
      <c r="H571" s="89">
        <v>1282709000</v>
      </c>
      <c r="I571" s="89">
        <v>0</v>
      </c>
      <c r="J571" s="89">
        <v>48071000</v>
      </c>
      <c r="K571" s="87" t="s">
        <v>19</v>
      </c>
      <c r="L571" s="87" t="s">
        <v>152</v>
      </c>
      <c r="M571" s="90">
        <f t="shared" si="51"/>
        <v>1882853000</v>
      </c>
      <c r="N571" s="89">
        <f t="shared" si="52"/>
        <v>1330780000</v>
      </c>
      <c r="O571" s="89">
        <f t="shared" si="53"/>
        <v>552073000</v>
      </c>
      <c r="P571" s="87">
        <f t="shared" si="49"/>
        <v>9.0797642270713227E-2</v>
      </c>
      <c r="Q571" s="87">
        <f t="shared" si="50"/>
        <v>0.309666680207761</v>
      </c>
    </row>
    <row r="572" spans="1:17">
      <c r="A572" s="83">
        <v>598</v>
      </c>
      <c r="B572" s="83" t="s">
        <v>247</v>
      </c>
      <c r="C572" s="83" t="s">
        <v>22</v>
      </c>
      <c r="D572" s="84">
        <v>41844</v>
      </c>
      <c r="E572" s="85">
        <f t="shared" si="48"/>
        <v>2014</v>
      </c>
      <c r="F572" s="86">
        <v>6564721000</v>
      </c>
      <c r="G572" s="86">
        <v>4583294000</v>
      </c>
      <c r="H572" s="86">
        <v>1337487000</v>
      </c>
      <c r="I572" s="86">
        <v>0</v>
      </c>
      <c r="J572" s="86">
        <v>49292000</v>
      </c>
      <c r="K572" s="83" t="s">
        <v>19</v>
      </c>
      <c r="L572" s="83" t="s">
        <v>152</v>
      </c>
      <c r="M572" s="91">
        <f t="shared" si="51"/>
        <v>1981427000</v>
      </c>
      <c r="N572" s="86">
        <f t="shared" si="52"/>
        <v>1386779000</v>
      </c>
      <c r="O572" s="86">
        <f t="shared" si="53"/>
        <v>594648000</v>
      </c>
      <c r="P572" s="83">
        <f t="shared" si="49"/>
        <v>9.058237204597118E-2</v>
      </c>
      <c r="Q572" s="83">
        <f t="shared" si="50"/>
        <v>0.3018295827042764</v>
      </c>
    </row>
    <row r="573" spans="1:17">
      <c r="A573" s="87">
        <v>599</v>
      </c>
      <c r="B573" s="87" t="s">
        <v>247</v>
      </c>
      <c r="C573" s="87" t="s">
        <v>23</v>
      </c>
      <c r="D573" s="84">
        <v>41845</v>
      </c>
      <c r="E573" s="88">
        <f t="shared" si="48"/>
        <v>2014</v>
      </c>
      <c r="F573" s="89">
        <v>6616632000</v>
      </c>
      <c r="G573" s="89">
        <v>4428855000</v>
      </c>
      <c r="H573" s="89">
        <v>1420281000</v>
      </c>
      <c r="I573" s="89">
        <v>0</v>
      </c>
      <c r="J573" s="89">
        <v>46012000</v>
      </c>
      <c r="K573" s="87" t="s">
        <v>19</v>
      </c>
      <c r="L573" s="87" t="s">
        <v>152</v>
      </c>
      <c r="M573" s="90">
        <f t="shared" si="51"/>
        <v>2187777000</v>
      </c>
      <c r="N573" s="89">
        <f t="shared" si="52"/>
        <v>1466293000</v>
      </c>
      <c r="O573" s="89">
        <f t="shared" si="53"/>
        <v>721484000</v>
      </c>
      <c r="P573" s="87">
        <f t="shared" si="49"/>
        <v>0.10904097432047</v>
      </c>
      <c r="Q573" s="87">
        <f t="shared" si="50"/>
        <v>0.33064813034788698</v>
      </c>
    </row>
    <row r="574" spans="1:17">
      <c r="A574" s="83">
        <v>600</v>
      </c>
      <c r="B574" s="83" t="s">
        <v>248</v>
      </c>
      <c r="C574" s="83" t="s">
        <v>18</v>
      </c>
      <c r="D574" s="84">
        <v>41846</v>
      </c>
      <c r="E574" s="85">
        <f t="shared" si="48"/>
        <v>2014</v>
      </c>
      <c r="F574" s="86">
        <v>4771259000</v>
      </c>
      <c r="G574" s="86">
        <v>1038034000</v>
      </c>
      <c r="H574" s="86">
        <v>3151043000</v>
      </c>
      <c r="I574" s="86">
        <v>0</v>
      </c>
      <c r="J574" s="86">
        <v>71731000</v>
      </c>
      <c r="K574" s="83" t="s">
        <v>25</v>
      </c>
      <c r="L574" s="83" t="s">
        <v>83</v>
      </c>
      <c r="M574" s="91">
        <f t="shared" si="51"/>
        <v>3733225000</v>
      </c>
      <c r="N574" s="86">
        <f t="shared" si="52"/>
        <v>3222774000</v>
      </c>
      <c r="O574" s="86">
        <f t="shared" si="53"/>
        <v>510451000</v>
      </c>
      <c r="P574" s="83">
        <f t="shared" si="49"/>
        <v>0.10698455061861031</v>
      </c>
      <c r="Q574" s="83">
        <f t="shared" si="50"/>
        <v>0.78244023223220538</v>
      </c>
    </row>
    <row r="575" spans="1:17">
      <c r="A575" s="87">
        <v>601</v>
      </c>
      <c r="B575" s="87" t="s">
        <v>248</v>
      </c>
      <c r="C575" s="87" t="s">
        <v>21</v>
      </c>
      <c r="D575" s="84">
        <v>41847</v>
      </c>
      <c r="E575" s="88">
        <f t="shared" ref="E575:E638" si="54">YEAR(D575)</f>
        <v>2014</v>
      </c>
      <c r="F575" s="89">
        <v>5763485000</v>
      </c>
      <c r="G575" s="89">
        <v>1179081000</v>
      </c>
      <c r="H575" s="89">
        <v>3919856000</v>
      </c>
      <c r="I575" s="89">
        <v>0</v>
      </c>
      <c r="J575" s="89">
        <v>76773000</v>
      </c>
      <c r="K575" s="87" t="s">
        <v>25</v>
      </c>
      <c r="L575" s="87" t="s">
        <v>83</v>
      </c>
      <c r="M575" s="90">
        <f t="shared" si="51"/>
        <v>4584404000</v>
      </c>
      <c r="N575" s="89">
        <f t="shared" si="52"/>
        <v>3996629000</v>
      </c>
      <c r="O575" s="89">
        <f t="shared" si="53"/>
        <v>587775000</v>
      </c>
      <c r="P575" s="87">
        <f t="shared" si="49"/>
        <v>0.10198256783872951</v>
      </c>
      <c r="Q575" s="87">
        <f t="shared" si="50"/>
        <v>0.79542221416382619</v>
      </c>
    </row>
    <row r="576" spans="1:17">
      <c r="A576" s="83">
        <v>602</v>
      </c>
      <c r="B576" s="83" t="s">
        <v>248</v>
      </c>
      <c r="C576" s="83" t="s">
        <v>22</v>
      </c>
      <c r="D576" s="84">
        <v>41848</v>
      </c>
      <c r="E576" s="85">
        <f t="shared" si="54"/>
        <v>2014</v>
      </c>
      <c r="F576" s="86">
        <v>6672317000</v>
      </c>
      <c r="G576" s="86">
        <v>1309559000</v>
      </c>
      <c r="H576" s="86">
        <v>4785243000</v>
      </c>
      <c r="I576" s="86">
        <v>0</v>
      </c>
      <c r="J576" s="86">
        <v>156458000</v>
      </c>
      <c r="K576" s="83" t="s">
        <v>25</v>
      </c>
      <c r="L576" s="83" t="s">
        <v>83</v>
      </c>
      <c r="M576" s="91">
        <f t="shared" si="51"/>
        <v>5362758000</v>
      </c>
      <c r="N576" s="86">
        <f t="shared" si="52"/>
        <v>4941701000</v>
      </c>
      <c r="O576" s="86">
        <f t="shared" si="53"/>
        <v>421057000</v>
      </c>
      <c r="P576" s="83">
        <f t="shared" si="49"/>
        <v>6.3105065301903365E-2</v>
      </c>
      <c r="Q576" s="83">
        <f t="shared" si="50"/>
        <v>0.80373249652257228</v>
      </c>
    </row>
    <row r="577" spans="1:17">
      <c r="A577" s="87">
        <v>603</v>
      </c>
      <c r="B577" s="87" t="s">
        <v>248</v>
      </c>
      <c r="C577" s="87" t="s">
        <v>23</v>
      </c>
      <c r="D577" s="84">
        <v>41849</v>
      </c>
      <c r="E577" s="88">
        <f t="shared" si="54"/>
        <v>2014</v>
      </c>
      <c r="F577" s="89">
        <v>8773564000</v>
      </c>
      <c r="G577" s="89">
        <v>1596698000</v>
      </c>
      <c r="H577" s="89">
        <v>6280728000</v>
      </c>
      <c r="I577" s="89">
        <v>0</v>
      </c>
      <c r="J577" s="89">
        <v>317141000</v>
      </c>
      <c r="K577" s="87" t="s">
        <v>25</v>
      </c>
      <c r="L577" s="87" t="s">
        <v>83</v>
      </c>
      <c r="M577" s="90">
        <f t="shared" si="51"/>
        <v>7176866000</v>
      </c>
      <c r="N577" s="89">
        <f t="shared" si="52"/>
        <v>6597869000</v>
      </c>
      <c r="O577" s="89">
        <f t="shared" si="53"/>
        <v>578997000</v>
      </c>
      <c r="P577" s="87">
        <f t="shared" si="49"/>
        <v>6.5993363700316082E-2</v>
      </c>
      <c r="Q577" s="87">
        <f t="shared" si="50"/>
        <v>0.81801033194719963</v>
      </c>
    </row>
    <row r="578" spans="1:17">
      <c r="A578" s="83">
        <v>604</v>
      </c>
      <c r="B578" s="83" t="s">
        <v>249</v>
      </c>
      <c r="C578" s="83" t="s">
        <v>18</v>
      </c>
      <c r="D578" s="84">
        <v>41850</v>
      </c>
      <c r="E578" s="85">
        <f t="shared" si="54"/>
        <v>2014</v>
      </c>
      <c r="F578" s="86">
        <v>409396000</v>
      </c>
      <c r="G578" s="86">
        <v>114028000</v>
      </c>
      <c r="H578" s="86">
        <v>58323000</v>
      </c>
      <c r="I578" s="86">
        <v>0</v>
      </c>
      <c r="J578" s="86">
        <v>74453000</v>
      </c>
      <c r="K578" s="83" t="s">
        <v>58</v>
      </c>
      <c r="L578" s="83" t="s">
        <v>81</v>
      </c>
      <c r="M578" s="91">
        <f t="shared" si="51"/>
        <v>295368000</v>
      </c>
      <c r="N578" s="86">
        <f t="shared" si="52"/>
        <v>132776000</v>
      </c>
      <c r="O578" s="86">
        <f t="shared" si="53"/>
        <v>162592000</v>
      </c>
      <c r="P578" s="83">
        <f t="shared" ref="P578:P641" si="55">O578/F578</f>
        <v>0.39715092477698855</v>
      </c>
      <c r="Q578" s="83">
        <f t="shared" ref="Q578:Q641" si="56">1-G578/F578</f>
        <v>0.72147260842802563</v>
      </c>
    </row>
    <row r="579" spans="1:17">
      <c r="A579" s="87">
        <v>605</v>
      </c>
      <c r="B579" s="87" t="s">
        <v>249</v>
      </c>
      <c r="C579" s="87" t="s">
        <v>21</v>
      </c>
      <c r="D579" s="84">
        <v>41851</v>
      </c>
      <c r="E579" s="88">
        <f t="shared" si="54"/>
        <v>2014</v>
      </c>
      <c r="F579" s="89">
        <v>520613000</v>
      </c>
      <c r="G579" s="89">
        <v>140012000</v>
      </c>
      <c r="H579" s="89">
        <v>63268000</v>
      </c>
      <c r="I579" s="89">
        <v>0</v>
      </c>
      <c r="J579" s="89">
        <v>95232000</v>
      </c>
      <c r="K579" s="87" t="s">
        <v>58</v>
      </c>
      <c r="L579" s="87" t="s">
        <v>81</v>
      </c>
      <c r="M579" s="90">
        <f t="shared" ref="M579:M642" si="57">F579-G579</f>
        <v>380601000</v>
      </c>
      <c r="N579" s="89">
        <f t="shared" ref="N579:N642" si="58">H579+I579+J579</f>
        <v>158500000</v>
      </c>
      <c r="O579" s="89">
        <f t="shared" ref="O579:O642" si="59">M579-N579</f>
        <v>222101000</v>
      </c>
      <c r="P579" s="87">
        <f t="shared" si="55"/>
        <v>0.42661439495364117</v>
      </c>
      <c r="Q579" s="87">
        <f t="shared" si="56"/>
        <v>0.7310631889714625</v>
      </c>
    </row>
    <row r="580" spans="1:17">
      <c r="A580" s="83">
        <v>606</v>
      </c>
      <c r="B580" s="83" t="s">
        <v>249</v>
      </c>
      <c r="C580" s="83" t="s">
        <v>22</v>
      </c>
      <c r="D580" s="84">
        <v>41852</v>
      </c>
      <c r="E580" s="85">
        <f t="shared" si="54"/>
        <v>2014</v>
      </c>
      <c r="F580" s="86">
        <v>647155000</v>
      </c>
      <c r="G580" s="86">
        <v>172416000</v>
      </c>
      <c r="H580" s="86">
        <v>71369000</v>
      </c>
      <c r="I580" s="86">
        <v>0</v>
      </c>
      <c r="J580" s="86">
        <v>115076000</v>
      </c>
      <c r="K580" s="83" t="s">
        <v>58</v>
      </c>
      <c r="L580" s="83" t="s">
        <v>81</v>
      </c>
      <c r="M580" s="91">
        <f t="shared" si="57"/>
        <v>474739000</v>
      </c>
      <c r="N580" s="86">
        <f t="shared" si="58"/>
        <v>186445000</v>
      </c>
      <c r="O580" s="86">
        <f t="shared" si="59"/>
        <v>288294000</v>
      </c>
      <c r="P580" s="83">
        <f t="shared" si="55"/>
        <v>0.44547905833996493</v>
      </c>
      <c r="Q580" s="83">
        <f t="shared" si="56"/>
        <v>0.73357850901252397</v>
      </c>
    </row>
    <row r="581" spans="1:17">
      <c r="A581" s="87">
        <v>607</v>
      </c>
      <c r="B581" s="87" t="s">
        <v>249</v>
      </c>
      <c r="C581" s="87" t="s">
        <v>23</v>
      </c>
      <c r="D581" s="84">
        <v>41853</v>
      </c>
      <c r="E581" s="88">
        <f t="shared" si="54"/>
        <v>2014</v>
      </c>
      <c r="F581" s="89">
        <v>782270000</v>
      </c>
      <c r="G581" s="89">
        <v>203965000</v>
      </c>
      <c r="H581" s="89">
        <v>80791000</v>
      </c>
      <c r="I581" s="89">
        <v>0</v>
      </c>
      <c r="J581" s="89">
        <v>133457000</v>
      </c>
      <c r="K581" s="87" t="s">
        <v>58</v>
      </c>
      <c r="L581" s="87" t="s">
        <v>81</v>
      </c>
      <c r="M581" s="90">
        <f t="shared" si="57"/>
        <v>578305000</v>
      </c>
      <c r="N581" s="89">
        <f t="shared" si="58"/>
        <v>214248000</v>
      </c>
      <c r="O581" s="89">
        <f t="shared" si="59"/>
        <v>364057000</v>
      </c>
      <c r="P581" s="87">
        <f t="shared" si="55"/>
        <v>0.46538535288327559</v>
      </c>
      <c r="Q581" s="87">
        <f t="shared" si="56"/>
        <v>0.73926521533485878</v>
      </c>
    </row>
    <row r="582" spans="1:17">
      <c r="A582" s="83">
        <v>608</v>
      </c>
      <c r="B582" s="83" t="s">
        <v>250</v>
      </c>
      <c r="C582" s="83" t="s">
        <v>18</v>
      </c>
      <c r="D582" s="84">
        <v>41854</v>
      </c>
      <c r="E582" s="85">
        <f t="shared" si="54"/>
        <v>2014</v>
      </c>
      <c r="F582" s="86">
        <v>146917000000</v>
      </c>
      <c r="G582" s="86">
        <v>123050000000</v>
      </c>
      <c r="H582" s="86">
        <v>10850000000</v>
      </c>
      <c r="I582" s="86">
        <v>0</v>
      </c>
      <c r="J582" s="86">
        <v>0</v>
      </c>
      <c r="K582" s="83" t="s">
        <v>25</v>
      </c>
      <c r="L582" s="83" t="s">
        <v>251</v>
      </c>
      <c r="M582" s="91">
        <f t="shared" si="57"/>
        <v>23867000000</v>
      </c>
      <c r="N582" s="86">
        <f t="shared" si="58"/>
        <v>10850000000</v>
      </c>
      <c r="O582" s="86">
        <f t="shared" si="59"/>
        <v>13017000000</v>
      </c>
      <c r="P582" s="83">
        <f t="shared" si="55"/>
        <v>8.8601046849581741E-2</v>
      </c>
      <c r="Q582" s="83">
        <f t="shared" si="56"/>
        <v>0.16245226896819287</v>
      </c>
    </row>
    <row r="583" spans="1:17">
      <c r="A583" s="87">
        <v>609</v>
      </c>
      <c r="B583" s="87" t="s">
        <v>250</v>
      </c>
      <c r="C583" s="87" t="s">
        <v>21</v>
      </c>
      <c r="D583" s="84">
        <v>41855</v>
      </c>
      <c r="E583" s="88">
        <f t="shared" si="54"/>
        <v>2014</v>
      </c>
      <c r="F583" s="89">
        <v>144077000000</v>
      </c>
      <c r="G583" s="89">
        <v>131903000000</v>
      </c>
      <c r="H583" s="89">
        <v>11842000000</v>
      </c>
      <c r="I583" s="89">
        <v>0</v>
      </c>
      <c r="J583" s="89">
        <v>0</v>
      </c>
      <c r="K583" s="87" t="s">
        <v>25</v>
      </c>
      <c r="L583" s="87" t="s">
        <v>251</v>
      </c>
      <c r="M583" s="90">
        <f t="shared" si="57"/>
        <v>12174000000</v>
      </c>
      <c r="N583" s="89">
        <f t="shared" si="58"/>
        <v>11842000000</v>
      </c>
      <c r="O583" s="89">
        <f t="shared" si="59"/>
        <v>332000000</v>
      </c>
      <c r="P583" s="87">
        <f t="shared" si="55"/>
        <v>2.3043233826356741E-3</v>
      </c>
      <c r="Q583" s="87">
        <f t="shared" si="56"/>
        <v>8.4496484518694848E-2</v>
      </c>
    </row>
    <row r="584" spans="1:17">
      <c r="A584" s="83">
        <v>610</v>
      </c>
      <c r="B584" s="83" t="s">
        <v>250</v>
      </c>
      <c r="C584" s="83" t="s">
        <v>22</v>
      </c>
      <c r="D584" s="84">
        <v>41856</v>
      </c>
      <c r="E584" s="85">
        <f t="shared" si="54"/>
        <v>2014</v>
      </c>
      <c r="F584" s="86">
        <v>149558000000</v>
      </c>
      <c r="G584" s="86">
        <v>131409000000</v>
      </c>
      <c r="H584" s="86">
        <v>10502000000</v>
      </c>
      <c r="I584" s="86">
        <v>0</v>
      </c>
      <c r="J584" s="86">
        <v>0</v>
      </c>
      <c r="K584" s="83" t="s">
        <v>25</v>
      </c>
      <c r="L584" s="83" t="s">
        <v>251</v>
      </c>
      <c r="M584" s="91">
        <f t="shared" si="57"/>
        <v>18149000000</v>
      </c>
      <c r="N584" s="86">
        <f t="shared" si="58"/>
        <v>10502000000</v>
      </c>
      <c r="O584" s="86">
        <f t="shared" si="59"/>
        <v>7647000000</v>
      </c>
      <c r="P584" s="83">
        <f t="shared" si="55"/>
        <v>5.113066502627743E-2</v>
      </c>
      <c r="Q584" s="83">
        <f t="shared" si="56"/>
        <v>0.1213509140266652</v>
      </c>
    </row>
    <row r="585" spans="1:17">
      <c r="A585" s="87">
        <v>611</v>
      </c>
      <c r="B585" s="87" t="s">
        <v>250</v>
      </c>
      <c r="C585" s="87" t="s">
        <v>23</v>
      </c>
      <c r="D585" s="84">
        <v>41857</v>
      </c>
      <c r="E585" s="88">
        <f t="shared" si="54"/>
        <v>2014</v>
      </c>
      <c r="F585" s="89">
        <v>151800000000</v>
      </c>
      <c r="G585" s="89">
        <v>135488000000</v>
      </c>
      <c r="H585" s="89">
        <v>12196000000</v>
      </c>
      <c r="I585" s="89">
        <v>0</v>
      </c>
      <c r="J585" s="89">
        <v>0</v>
      </c>
      <c r="K585" s="87" t="s">
        <v>25</v>
      </c>
      <c r="L585" s="87" t="s">
        <v>251</v>
      </c>
      <c r="M585" s="90">
        <f t="shared" si="57"/>
        <v>16312000000</v>
      </c>
      <c r="N585" s="89">
        <f t="shared" si="58"/>
        <v>12196000000</v>
      </c>
      <c r="O585" s="89">
        <f t="shared" si="59"/>
        <v>4116000000</v>
      </c>
      <c r="P585" s="87">
        <f t="shared" si="55"/>
        <v>2.7114624505928855E-2</v>
      </c>
      <c r="Q585" s="87">
        <f t="shared" si="56"/>
        <v>0.10745718050065878</v>
      </c>
    </row>
    <row r="586" spans="1:17">
      <c r="A586" s="83">
        <v>612</v>
      </c>
      <c r="B586" s="83" t="s">
        <v>252</v>
      </c>
      <c r="C586" s="83" t="s">
        <v>18</v>
      </c>
      <c r="D586" s="84">
        <v>41858</v>
      </c>
      <c r="E586" s="85">
        <f t="shared" si="54"/>
        <v>2014</v>
      </c>
      <c r="F586" s="86">
        <v>3326106000</v>
      </c>
      <c r="G586" s="86">
        <v>1606661000</v>
      </c>
      <c r="H586" s="86">
        <v>1007431000</v>
      </c>
      <c r="I586" s="86">
        <v>0</v>
      </c>
      <c r="J586" s="86">
        <v>0</v>
      </c>
      <c r="K586" s="83" t="s">
        <v>19</v>
      </c>
      <c r="L586" s="83" t="s">
        <v>70</v>
      </c>
      <c r="M586" s="91">
        <f t="shared" si="57"/>
        <v>1719445000</v>
      </c>
      <c r="N586" s="86">
        <f t="shared" si="58"/>
        <v>1007431000</v>
      </c>
      <c r="O586" s="86">
        <f t="shared" si="59"/>
        <v>712014000</v>
      </c>
      <c r="P586" s="83">
        <f t="shared" si="55"/>
        <v>0.21406834298125196</v>
      </c>
      <c r="Q586" s="83">
        <f t="shared" si="56"/>
        <v>0.51695436044431542</v>
      </c>
    </row>
    <row r="587" spans="1:17">
      <c r="A587" s="87">
        <v>613</v>
      </c>
      <c r="B587" s="87" t="s">
        <v>252</v>
      </c>
      <c r="C587" s="87" t="s">
        <v>21</v>
      </c>
      <c r="D587" s="84">
        <v>41859</v>
      </c>
      <c r="E587" s="88">
        <f t="shared" si="54"/>
        <v>2014</v>
      </c>
      <c r="F587" s="89">
        <v>3733507000</v>
      </c>
      <c r="G587" s="89">
        <v>1836105000</v>
      </c>
      <c r="H587" s="89">
        <v>1110776000</v>
      </c>
      <c r="I587" s="89">
        <v>0</v>
      </c>
      <c r="J587" s="89">
        <v>0</v>
      </c>
      <c r="K587" s="87" t="s">
        <v>19</v>
      </c>
      <c r="L587" s="87" t="s">
        <v>70</v>
      </c>
      <c r="M587" s="90">
        <f t="shared" si="57"/>
        <v>1897402000</v>
      </c>
      <c r="N587" s="89">
        <f t="shared" si="58"/>
        <v>1110776000</v>
      </c>
      <c r="O587" s="89">
        <f t="shared" si="59"/>
        <v>786626000</v>
      </c>
      <c r="P587" s="87">
        <f t="shared" si="55"/>
        <v>0.21069359184273659</v>
      </c>
      <c r="Q587" s="87">
        <f t="shared" si="56"/>
        <v>0.50820903777601067</v>
      </c>
    </row>
    <row r="588" spans="1:17">
      <c r="A588" s="83">
        <v>614</v>
      </c>
      <c r="B588" s="83" t="s">
        <v>252</v>
      </c>
      <c r="C588" s="83" t="s">
        <v>22</v>
      </c>
      <c r="D588" s="84">
        <v>41860</v>
      </c>
      <c r="E588" s="85">
        <f t="shared" si="54"/>
        <v>2014</v>
      </c>
      <c r="F588" s="86">
        <v>3869187000</v>
      </c>
      <c r="G588" s="86">
        <v>1920253000</v>
      </c>
      <c r="H588" s="86">
        <v>1121590000</v>
      </c>
      <c r="I588" s="86">
        <v>0</v>
      </c>
      <c r="J588" s="86">
        <v>0</v>
      </c>
      <c r="K588" s="83" t="s">
        <v>19</v>
      </c>
      <c r="L588" s="83" t="s">
        <v>70</v>
      </c>
      <c r="M588" s="91">
        <f t="shared" si="57"/>
        <v>1948934000</v>
      </c>
      <c r="N588" s="86">
        <f t="shared" si="58"/>
        <v>1121590000</v>
      </c>
      <c r="O588" s="86">
        <f t="shared" si="59"/>
        <v>827344000</v>
      </c>
      <c r="P588" s="83">
        <f t="shared" si="55"/>
        <v>0.21382889997304344</v>
      </c>
      <c r="Q588" s="83">
        <f t="shared" si="56"/>
        <v>0.50370633417304456</v>
      </c>
    </row>
    <row r="589" spans="1:17">
      <c r="A589" s="87">
        <v>615</v>
      </c>
      <c r="B589" s="87" t="s">
        <v>252</v>
      </c>
      <c r="C589" s="87" t="s">
        <v>23</v>
      </c>
      <c r="D589" s="84">
        <v>41861</v>
      </c>
      <c r="E589" s="88">
        <f t="shared" si="54"/>
        <v>2014</v>
      </c>
      <c r="F589" s="89">
        <v>3962036000</v>
      </c>
      <c r="G589" s="89">
        <v>1997259000</v>
      </c>
      <c r="H589" s="89">
        <v>1169470000</v>
      </c>
      <c r="I589" s="89">
        <v>0</v>
      </c>
      <c r="J589" s="89">
        <v>0</v>
      </c>
      <c r="K589" s="87" t="s">
        <v>19</v>
      </c>
      <c r="L589" s="87" t="s">
        <v>70</v>
      </c>
      <c r="M589" s="90">
        <f t="shared" si="57"/>
        <v>1964777000</v>
      </c>
      <c r="N589" s="89">
        <f t="shared" si="58"/>
        <v>1169470000</v>
      </c>
      <c r="O589" s="89">
        <f t="shared" si="59"/>
        <v>795307000</v>
      </c>
      <c r="P589" s="87">
        <f t="shared" si="55"/>
        <v>0.20073189642900771</v>
      </c>
      <c r="Q589" s="87">
        <f t="shared" si="56"/>
        <v>0.49590084491912745</v>
      </c>
    </row>
    <row r="590" spans="1:17">
      <c r="A590" s="83">
        <v>616</v>
      </c>
      <c r="B590" s="83" t="s">
        <v>253</v>
      </c>
      <c r="C590" s="83" t="s">
        <v>18</v>
      </c>
      <c r="D590" s="84">
        <v>41862</v>
      </c>
      <c r="E590" s="85">
        <f t="shared" si="54"/>
        <v>2014</v>
      </c>
      <c r="F590" s="86">
        <v>7872000000</v>
      </c>
      <c r="G590" s="86">
        <v>1875000000</v>
      </c>
      <c r="H590" s="86">
        <v>1778000000</v>
      </c>
      <c r="I590" s="86">
        <v>1415000000</v>
      </c>
      <c r="J590" s="86">
        <v>0</v>
      </c>
      <c r="K590" s="83" t="s">
        <v>28</v>
      </c>
      <c r="L590" s="83" t="s">
        <v>63</v>
      </c>
      <c r="M590" s="91">
        <f t="shared" si="57"/>
        <v>5997000000</v>
      </c>
      <c r="N590" s="86">
        <f t="shared" si="58"/>
        <v>3193000000</v>
      </c>
      <c r="O590" s="86">
        <f t="shared" si="59"/>
        <v>2804000000</v>
      </c>
      <c r="P590" s="83">
        <f t="shared" si="55"/>
        <v>0.35619918699186992</v>
      </c>
      <c r="Q590" s="83">
        <f t="shared" si="56"/>
        <v>0.76181402439024393</v>
      </c>
    </row>
    <row r="591" spans="1:17">
      <c r="A591" s="87">
        <v>617</v>
      </c>
      <c r="B591" s="87" t="s">
        <v>253</v>
      </c>
      <c r="C591" s="87" t="s">
        <v>21</v>
      </c>
      <c r="D591" s="84">
        <v>41863</v>
      </c>
      <c r="E591" s="88">
        <f t="shared" si="54"/>
        <v>2014</v>
      </c>
      <c r="F591" s="89">
        <v>12466000000</v>
      </c>
      <c r="G591" s="89">
        <v>2153000000</v>
      </c>
      <c r="H591" s="89">
        <v>2653000000</v>
      </c>
      <c r="I591" s="89">
        <v>2666000000</v>
      </c>
      <c r="J591" s="89">
        <v>0</v>
      </c>
      <c r="K591" s="87" t="s">
        <v>28</v>
      </c>
      <c r="L591" s="87" t="s">
        <v>63</v>
      </c>
      <c r="M591" s="90">
        <f t="shared" si="57"/>
        <v>10313000000</v>
      </c>
      <c r="N591" s="89">
        <f t="shared" si="58"/>
        <v>5319000000</v>
      </c>
      <c r="O591" s="89">
        <f t="shared" si="59"/>
        <v>4994000000</v>
      </c>
      <c r="P591" s="87">
        <f t="shared" si="55"/>
        <v>0.40060965827049577</v>
      </c>
      <c r="Q591" s="87">
        <f t="shared" si="56"/>
        <v>0.82729022942403341</v>
      </c>
    </row>
    <row r="592" spans="1:17">
      <c r="A592" s="83">
        <v>618</v>
      </c>
      <c r="B592" s="83" t="s">
        <v>253</v>
      </c>
      <c r="C592" s="83" t="s">
        <v>22</v>
      </c>
      <c r="D592" s="84">
        <v>41864</v>
      </c>
      <c r="E592" s="85">
        <f t="shared" si="54"/>
        <v>2014</v>
      </c>
      <c r="F592" s="86">
        <v>17928000000</v>
      </c>
      <c r="G592" s="86">
        <v>2867000000</v>
      </c>
      <c r="H592" s="86">
        <v>4020000000</v>
      </c>
      <c r="I592" s="86">
        <v>4816000000</v>
      </c>
      <c r="J592" s="86">
        <v>0</v>
      </c>
      <c r="K592" s="83" t="s">
        <v>28</v>
      </c>
      <c r="L592" s="83" t="s">
        <v>63</v>
      </c>
      <c r="M592" s="91">
        <f t="shared" si="57"/>
        <v>15061000000</v>
      </c>
      <c r="N592" s="86">
        <f t="shared" si="58"/>
        <v>8836000000</v>
      </c>
      <c r="O592" s="86">
        <f t="shared" si="59"/>
        <v>6225000000</v>
      </c>
      <c r="P592" s="83">
        <f t="shared" si="55"/>
        <v>0.34722222222222221</v>
      </c>
      <c r="Q592" s="83">
        <f t="shared" si="56"/>
        <v>0.84008255243194996</v>
      </c>
    </row>
    <row r="593" spans="1:17">
      <c r="A593" s="87">
        <v>619</v>
      </c>
      <c r="B593" s="87" t="s">
        <v>253</v>
      </c>
      <c r="C593" s="87" t="s">
        <v>23</v>
      </c>
      <c r="D593" s="84">
        <v>41865</v>
      </c>
      <c r="E593" s="88">
        <f t="shared" si="54"/>
        <v>2014</v>
      </c>
      <c r="F593" s="89">
        <v>27638000000</v>
      </c>
      <c r="G593" s="89">
        <v>3789000000</v>
      </c>
      <c r="H593" s="89">
        <v>5503000000</v>
      </c>
      <c r="I593" s="89">
        <v>5919000000</v>
      </c>
      <c r="J593" s="89">
        <v>0</v>
      </c>
      <c r="K593" s="87" t="s">
        <v>28</v>
      </c>
      <c r="L593" s="87" t="s">
        <v>63</v>
      </c>
      <c r="M593" s="90">
        <f t="shared" si="57"/>
        <v>23849000000</v>
      </c>
      <c r="N593" s="89">
        <f t="shared" si="58"/>
        <v>11422000000</v>
      </c>
      <c r="O593" s="89">
        <f t="shared" si="59"/>
        <v>12427000000</v>
      </c>
      <c r="P593" s="87">
        <f t="shared" si="55"/>
        <v>0.44963456111151312</v>
      </c>
      <c r="Q593" s="87">
        <f t="shared" si="56"/>
        <v>0.86290614371517482</v>
      </c>
    </row>
    <row r="594" spans="1:17">
      <c r="A594" s="83">
        <v>620</v>
      </c>
      <c r="B594" s="83" t="s">
        <v>254</v>
      </c>
      <c r="C594" s="83" t="s">
        <v>18</v>
      </c>
      <c r="D594" s="84">
        <v>41866</v>
      </c>
      <c r="E594" s="85">
        <f t="shared" si="54"/>
        <v>2014</v>
      </c>
      <c r="F594" s="86">
        <v>3134800000</v>
      </c>
      <c r="G594" s="86">
        <v>2093200000</v>
      </c>
      <c r="H594" s="86">
        <v>873100000</v>
      </c>
      <c r="I594" s="86">
        <v>0</v>
      </c>
      <c r="J594" s="86">
        <v>7400000</v>
      </c>
      <c r="K594" s="83" t="s">
        <v>19</v>
      </c>
      <c r="L594" s="83" t="s">
        <v>70</v>
      </c>
      <c r="M594" s="91">
        <f t="shared" si="57"/>
        <v>1041600000</v>
      </c>
      <c r="N594" s="86">
        <f t="shared" si="58"/>
        <v>880500000</v>
      </c>
      <c r="O594" s="86">
        <f t="shared" si="59"/>
        <v>161100000</v>
      </c>
      <c r="P594" s="83">
        <f t="shared" si="55"/>
        <v>5.1390838330994004E-2</v>
      </c>
      <c r="Q594" s="83">
        <f t="shared" si="56"/>
        <v>0.33227000127599848</v>
      </c>
    </row>
    <row r="595" spans="1:17">
      <c r="A595" s="87">
        <v>621</v>
      </c>
      <c r="B595" s="87" t="s">
        <v>254</v>
      </c>
      <c r="C595" s="87" t="s">
        <v>21</v>
      </c>
      <c r="D595" s="84">
        <v>41867</v>
      </c>
      <c r="E595" s="88">
        <f t="shared" si="54"/>
        <v>2014</v>
      </c>
      <c r="F595" s="89">
        <v>3703600000</v>
      </c>
      <c r="G595" s="89">
        <v>2408500000</v>
      </c>
      <c r="H595" s="89">
        <v>938700000</v>
      </c>
      <c r="I595" s="89">
        <v>0</v>
      </c>
      <c r="J595" s="89">
        <v>9400000</v>
      </c>
      <c r="K595" s="87" t="s">
        <v>19</v>
      </c>
      <c r="L595" s="87" t="s">
        <v>70</v>
      </c>
      <c r="M595" s="90">
        <f t="shared" si="57"/>
        <v>1295100000</v>
      </c>
      <c r="N595" s="89">
        <f t="shared" si="58"/>
        <v>948100000</v>
      </c>
      <c r="O595" s="89">
        <f t="shared" si="59"/>
        <v>347000000</v>
      </c>
      <c r="P595" s="87">
        <f t="shared" si="55"/>
        <v>9.3692623393455021E-2</v>
      </c>
      <c r="Q595" s="87">
        <f t="shared" si="56"/>
        <v>0.34968679123015445</v>
      </c>
    </row>
    <row r="596" spans="1:17">
      <c r="A596" s="83">
        <v>622</v>
      </c>
      <c r="B596" s="83" t="s">
        <v>254</v>
      </c>
      <c r="C596" s="83" t="s">
        <v>22</v>
      </c>
      <c r="D596" s="84">
        <v>41868</v>
      </c>
      <c r="E596" s="85">
        <f t="shared" si="54"/>
        <v>2014</v>
      </c>
      <c r="F596" s="86">
        <v>4013600000</v>
      </c>
      <c r="G596" s="86">
        <v>2646700000</v>
      </c>
      <c r="H596" s="86">
        <v>943300000</v>
      </c>
      <c r="I596" s="86">
        <v>0</v>
      </c>
      <c r="J596" s="86">
        <v>13100000</v>
      </c>
      <c r="K596" s="83" t="s">
        <v>19</v>
      </c>
      <c r="L596" s="83" t="s">
        <v>70</v>
      </c>
      <c r="M596" s="91">
        <f t="shared" si="57"/>
        <v>1366900000</v>
      </c>
      <c r="N596" s="86">
        <f t="shared" si="58"/>
        <v>956400000</v>
      </c>
      <c r="O596" s="86">
        <f t="shared" si="59"/>
        <v>410500000</v>
      </c>
      <c r="P596" s="83">
        <f t="shared" si="55"/>
        <v>0.10227725732509468</v>
      </c>
      <c r="Q596" s="83">
        <f t="shared" si="56"/>
        <v>0.34056707195535185</v>
      </c>
    </row>
    <row r="597" spans="1:17">
      <c r="A597" s="87">
        <v>623</v>
      </c>
      <c r="B597" s="87" t="s">
        <v>254</v>
      </c>
      <c r="C597" s="87" t="s">
        <v>23</v>
      </c>
      <c r="D597" s="84">
        <v>41869</v>
      </c>
      <c r="E597" s="88">
        <f t="shared" si="54"/>
        <v>2014</v>
      </c>
      <c r="F597" s="89">
        <v>4579400000</v>
      </c>
      <c r="G597" s="89">
        <v>2997500000</v>
      </c>
      <c r="H597" s="89">
        <v>1047600000</v>
      </c>
      <c r="I597" s="89">
        <v>0</v>
      </c>
      <c r="J597" s="89">
        <v>21600000</v>
      </c>
      <c r="K597" s="87" t="s">
        <v>19</v>
      </c>
      <c r="L597" s="87" t="s">
        <v>70</v>
      </c>
      <c r="M597" s="90">
        <f t="shared" si="57"/>
        <v>1581900000</v>
      </c>
      <c r="N597" s="89">
        <f t="shared" si="58"/>
        <v>1069200000</v>
      </c>
      <c r="O597" s="89">
        <f t="shared" si="59"/>
        <v>512700000</v>
      </c>
      <c r="P597" s="87">
        <f t="shared" si="55"/>
        <v>0.11195789841463948</v>
      </c>
      <c r="Q597" s="87">
        <f t="shared" si="56"/>
        <v>0.34543826702188063</v>
      </c>
    </row>
    <row r="598" spans="1:17">
      <c r="A598" s="83">
        <v>624</v>
      </c>
      <c r="B598" s="83" t="s">
        <v>255</v>
      </c>
      <c r="C598" s="83" t="s">
        <v>18</v>
      </c>
      <c r="D598" s="84">
        <v>41870</v>
      </c>
      <c r="E598" s="85">
        <f t="shared" si="54"/>
        <v>2014</v>
      </c>
      <c r="F598" s="86">
        <v>18010000000</v>
      </c>
      <c r="G598" s="86">
        <v>11561000000</v>
      </c>
      <c r="H598" s="86">
        <v>431000000</v>
      </c>
      <c r="I598" s="86">
        <v>285000000</v>
      </c>
      <c r="J598" s="86">
        <v>0</v>
      </c>
      <c r="K598" s="83" t="s">
        <v>65</v>
      </c>
      <c r="L598" s="83" t="s">
        <v>256</v>
      </c>
      <c r="M598" s="91">
        <f t="shared" si="57"/>
        <v>6449000000</v>
      </c>
      <c r="N598" s="86">
        <f t="shared" si="58"/>
        <v>716000000</v>
      </c>
      <c r="O598" s="86">
        <f t="shared" si="59"/>
        <v>5733000000</v>
      </c>
      <c r="P598" s="83">
        <f t="shared" si="55"/>
        <v>0.3183231538034425</v>
      </c>
      <c r="Q598" s="83">
        <f t="shared" si="56"/>
        <v>0.35807884508606325</v>
      </c>
    </row>
    <row r="599" spans="1:17">
      <c r="A599" s="87">
        <v>625</v>
      </c>
      <c r="B599" s="87" t="s">
        <v>255</v>
      </c>
      <c r="C599" s="87" t="s">
        <v>21</v>
      </c>
      <c r="D599" s="84">
        <v>41871</v>
      </c>
      <c r="E599" s="88">
        <f t="shared" si="54"/>
        <v>2014</v>
      </c>
      <c r="F599" s="89">
        <v>20921000000</v>
      </c>
      <c r="G599" s="89">
        <v>14637000000</v>
      </c>
      <c r="H599" s="89">
        <v>657000000</v>
      </c>
      <c r="I599" s="89">
        <v>210000000</v>
      </c>
      <c r="J599" s="89">
        <v>0</v>
      </c>
      <c r="K599" s="87" t="s">
        <v>65</v>
      </c>
      <c r="L599" s="87" t="s">
        <v>256</v>
      </c>
      <c r="M599" s="90">
        <f t="shared" si="57"/>
        <v>6284000000</v>
      </c>
      <c r="N599" s="89">
        <f t="shared" si="58"/>
        <v>867000000</v>
      </c>
      <c r="O599" s="89">
        <f t="shared" si="59"/>
        <v>5417000000</v>
      </c>
      <c r="P599" s="87">
        <f t="shared" si="55"/>
        <v>0.25892643755078631</v>
      </c>
      <c r="Q599" s="87">
        <f t="shared" si="56"/>
        <v>0.30036805124038046</v>
      </c>
    </row>
    <row r="600" spans="1:17">
      <c r="A600" s="83">
        <v>626</v>
      </c>
      <c r="B600" s="83" t="s">
        <v>255</v>
      </c>
      <c r="C600" s="83" t="s">
        <v>22</v>
      </c>
      <c r="D600" s="84">
        <v>41872</v>
      </c>
      <c r="E600" s="85">
        <f t="shared" si="54"/>
        <v>2014</v>
      </c>
      <c r="F600" s="86">
        <v>21438000000</v>
      </c>
      <c r="G600" s="86">
        <v>19504000000</v>
      </c>
      <c r="H600" s="86">
        <v>592000000</v>
      </c>
      <c r="I600" s="86">
        <v>126000000</v>
      </c>
      <c r="J600" s="86">
        <v>0</v>
      </c>
      <c r="K600" s="83" t="s">
        <v>65</v>
      </c>
      <c r="L600" s="83" t="s">
        <v>256</v>
      </c>
      <c r="M600" s="91">
        <f t="shared" si="57"/>
        <v>1934000000</v>
      </c>
      <c r="N600" s="86">
        <f t="shared" si="58"/>
        <v>718000000</v>
      </c>
      <c r="O600" s="86">
        <f t="shared" si="59"/>
        <v>1216000000</v>
      </c>
      <c r="P600" s="83">
        <f t="shared" si="55"/>
        <v>5.6721709114656217E-2</v>
      </c>
      <c r="Q600" s="83">
        <f t="shared" si="56"/>
        <v>9.0213639332027196E-2</v>
      </c>
    </row>
    <row r="601" spans="1:17">
      <c r="A601" s="87">
        <v>627</v>
      </c>
      <c r="B601" s="87" t="s">
        <v>255</v>
      </c>
      <c r="C601" s="87" t="s">
        <v>23</v>
      </c>
      <c r="D601" s="84">
        <v>41873</v>
      </c>
      <c r="E601" s="88">
        <f t="shared" si="54"/>
        <v>2014</v>
      </c>
      <c r="F601" s="89">
        <v>15877000000</v>
      </c>
      <c r="G601" s="89">
        <v>28524000000</v>
      </c>
      <c r="H601" s="89">
        <v>569000000</v>
      </c>
      <c r="I601" s="89">
        <v>127000000</v>
      </c>
      <c r="J601" s="89">
        <v>0</v>
      </c>
      <c r="K601" s="87" t="s">
        <v>65</v>
      </c>
      <c r="L601" s="87" t="s">
        <v>256</v>
      </c>
      <c r="M601" s="90">
        <f t="shared" si="57"/>
        <v>-12647000000</v>
      </c>
      <c r="N601" s="89">
        <f t="shared" si="58"/>
        <v>696000000</v>
      </c>
      <c r="O601" s="89">
        <f t="shared" si="59"/>
        <v>-13343000000</v>
      </c>
      <c r="P601" s="87">
        <f t="shared" si="55"/>
        <v>-0.8403980600869182</v>
      </c>
      <c r="Q601" s="87">
        <f t="shared" si="56"/>
        <v>-0.79656106317314346</v>
      </c>
    </row>
    <row r="602" spans="1:17">
      <c r="A602" s="83">
        <v>628</v>
      </c>
      <c r="B602" s="83" t="s">
        <v>257</v>
      </c>
      <c r="C602" s="83" t="s">
        <v>18</v>
      </c>
      <c r="D602" s="84">
        <v>41874</v>
      </c>
      <c r="E602" s="85">
        <f t="shared" si="54"/>
        <v>2014</v>
      </c>
      <c r="F602" s="86">
        <v>44287000000</v>
      </c>
      <c r="G602" s="86">
        <v>16448000000</v>
      </c>
      <c r="H602" s="86">
        <v>20359000000</v>
      </c>
      <c r="I602" s="86">
        <v>0</v>
      </c>
      <c r="J602" s="86">
        <v>2386000000</v>
      </c>
      <c r="K602" s="83" t="s">
        <v>19</v>
      </c>
      <c r="L602" s="83" t="s">
        <v>152</v>
      </c>
      <c r="M602" s="91">
        <f t="shared" si="57"/>
        <v>27839000000</v>
      </c>
      <c r="N602" s="86">
        <f t="shared" si="58"/>
        <v>22745000000</v>
      </c>
      <c r="O602" s="86">
        <f t="shared" si="59"/>
        <v>5094000000</v>
      </c>
      <c r="P602" s="83">
        <f t="shared" si="55"/>
        <v>0.11502246708966514</v>
      </c>
      <c r="Q602" s="83">
        <f t="shared" si="56"/>
        <v>0.62860433084200773</v>
      </c>
    </row>
    <row r="603" spans="1:17">
      <c r="A603" s="87">
        <v>629</v>
      </c>
      <c r="B603" s="87" t="s">
        <v>257</v>
      </c>
      <c r="C603" s="87" t="s">
        <v>21</v>
      </c>
      <c r="D603" s="84">
        <v>41875</v>
      </c>
      <c r="E603" s="88">
        <f t="shared" si="54"/>
        <v>2014</v>
      </c>
      <c r="F603" s="89">
        <v>45567000000</v>
      </c>
      <c r="G603" s="89">
        <v>17052000000</v>
      </c>
      <c r="H603" s="89">
        <v>22113000000</v>
      </c>
      <c r="I603" s="89">
        <v>0</v>
      </c>
      <c r="J603" s="89">
        <v>2587000000</v>
      </c>
      <c r="K603" s="87" t="s">
        <v>19</v>
      </c>
      <c r="L603" s="87" t="s">
        <v>152</v>
      </c>
      <c r="M603" s="90">
        <f t="shared" si="57"/>
        <v>28515000000</v>
      </c>
      <c r="N603" s="89">
        <f t="shared" si="58"/>
        <v>24700000000</v>
      </c>
      <c r="O603" s="89">
        <f t="shared" si="59"/>
        <v>3815000000</v>
      </c>
      <c r="P603" s="87">
        <f t="shared" si="55"/>
        <v>8.3722869620558735E-2</v>
      </c>
      <c r="Q603" s="87">
        <f t="shared" si="56"/>
        <v>0.62578181578774106</v>
      </c>
    </row>
    <row r="604" spans="1:17">
      <c r="A604" s="83">
        <v>630</v>
      </c>
      <c r="B604" s="83" t="s">
        <v>257</v>
      </c>
      <c r="C604" s="83" t="s">
        <v>22</v>
      </c>
      <c r="D604" s="84">
        <v>41876</v>
      </c>
      <c r="E604" s="85">
        <f t="shared" si="54"/>
        <v>2014</v>
      </c>
      <c r="F604" s="86">
        <v>47453000000</v>
      </c>
      <c r="G604" s="86">
        <v>16984000000</v>
      </c>
      <c r="H604" s="86">
        <v>25715000000</v>
      </c>
      <c r="I604" s="86">
        <v>0</v>
      </c>
      <c r="J604" s="86">
        <v>2611000000</v>
      </c>
      <c r="K604" s="83" t="s">
        <v>19</v>
      </c>
      <c r="L604" s="83" t="s">
        <v>152</v>
      </c>
      <c r="M604" s="91">
        <f t="shared" si="57"/>
        <v>30469000000</v>
      </c>
      <c r="N604" s="86">
        <f t="shared" si="58"/>
        <v>28326000000</v>
      </c>
      <c r="O604" s="86">
        <f t="shared" si="59"/>
        <v>2143000000</v>
      </c>
      <c r="P604" s="83">
        <f t="shared" si="55"/>
        <v>4.5160474574842478E-2</v>
      </c>
      <c r="Q604" s="83">
        <f t="shared" si="56"/>
        <v>0.6420879607190273</v>
      </c>
    </row>
    <row r="605" spans="1:17">
      <c r="A605" s="87">
        <v>631</v>
      </c>
      <c r="B605" s="87" t="s">
        <v>257</v>
      </c>
      <c r="C605" s="87" t="s">
        <v>23</v>
      </c>
      <c r="D605" s="84">
        <v>41877</v>
      </c>
      <c r="E605" s="88">
        <f t="shared" si="54"/>
        <v>2014</v>
      </c>
      <c r="F605" s="89">
        <v>50365000000</v>
      </c>
      <c r="G605" s="89">
        <v>17327000000</v>
      </c>
      <c r="H605" s="89">
        <v>27330000000</v>
      </c>
      <c r="I605" s="89">
        <v>0</v>
      </c>
      <c r="J605" s="89">
        <v>2631000000</v>
      </c>
      <c r="K605" s="87" t="s">
        <v>19</v>
      </c>
      <c r="L605" s="87" t="s">
        <v>152</v>
      </c>
      <c r="M605" s="90">
        <f t="shared" si="57"/>
        <v>33038000000</v>
      </c>
      <c r="N605" s="89">
        <f t="shared" si="58"/>
        <v>29961000000</v>
      </c>
      <c r="O605" s="89">
        <f t="shared" si="59"/>
        <v>3077000000</v>
      </c>
      <c r="P605" s="87">
        <f t="shared" si="55"/>
        <v>6.1094013699990075E-2</v>
      </c>
      <c r="Q605" s="87">
        <f t="shared" si="56"/>
        <v>0.6559714087163705</v>
      </c>
    </row>
    <row r="606" spans="1:17">
      <c r="A606" s="83">
        <v>632</v>
      </c>
      <c r="B606" s="83" t="s">
        <v>258</v>
      </c>
      <c r="C606" s="83" t="s">
        <v>18</v>
      </c>
      <c r="D606" s="84">
        <v>41878</v>
      </c>
      <c r="E606" s="85">
        <f t="shared" si="54"/>
        <v>2014</v>
      </c>
      <c r="F606" s="86">
        <v>15255000000</v>
      </c>
      <c r="G606" s="86">
        <v>6717000000</v>
      </c>
      <c r="H606" s="86">
        <v>5353000000</v>
      </c>
      <c r="I606" s="86">
        <v>0</v>
      </c>
      <c r="J606" s="86">
        <v>1051000000</v>
      </c>
      <c r="K606" s="83" t="s">
        <v>48</v>
      </c>
      <c r="L606" s="83" t="s">
        <v>51</v>
      </c>
      <c r="M606" s="91">
        <f t="shared" si="57"/>
        <v>8538000000</v>
      </c>
      <c r="N606" s="86">
        <f t="shared" si="58"/>
        <v>6404000000</v>
      </c>
      <c r="O606" s="86">
        <f t="shared" si="59"/>
        <v>2134000000</v>
      </c>
      <c r="P606" s="83">
        <f t="shared" si="55"/>
        <v>0.13988856112749917</v>
      </c>
      <c r="Q606" s="83">
        <f t="shared" si="56"/>
        <v>0.55968534906587997</v>
      </c>
    </row>
    <row r="607" spans="1:17">
      <c r="A607" s="87">
        <v>633</v>
      </c>
      <c r="B607" s="87" t="s">
        <v>258</v>
      </c>
      <c r="C607" s="87" t="s">
        <v>21</v>
      </c>
      <c r="D607" s="84">
        <v>41879</v>
      </c>
      <c r="E607" s="88">
        <f t="shared" si="54"/>
        <v>2014</v>
      </c>
      <c r="F607" s="89">
        <v>14892000000</v>
      </c>
      <c r="G607" s="89">
        <v>6459000000</v>
      </c>
      <c r="H607" s="89">
        <v>4315000000</v>
      </c>
      <c r="I607" s="89">
        <v>0</v>
      </c>
      <c r="J607" s="89">
        <v>1741000000</v>
      </c>
      <c r="K607" s="87" t="s">
        <v>48</v>
      </c>
      <c r="L607" s="87" t="s">
        <v>51</v>
      </c>
      <c r="M607" s="90">
        <f t="shared" si="57"/>
        <v>8433000000</v>
      </c>
      <c r="N607" s="89">
        <f t="shared" si="58"/>
        <v>6056000000</v>
      </c>
      <c r="O607" s="89">
        <f t="shared" si="59"/>
        <v>2377000000</v>
      </c>
      <c r="P607" s="87">
        <f t="shared" si="55"/>
        <v>0.15961590115498253</v>
      </c>
      <c r="Q607" s="87">
        <f t="shared" si="56"/>
        <v>0.56627719580983071</v>
      </c>
    </row>
    <row r="608" spans="1:17">
      <c r="A608" s="83">
        <v>634</v>
      </c>
      <c r="B608" s="83" t="s">
        <v>258</v>
      </c>
      <c r="C608" s="83" t="s">
        <v>22</v>
      </c>
      <c r="D608" s="84">
        <v>41880</v>
      </c>
      <c r="E608" s="85">
        <f t="shared" si="54"/>
        <v>2014</v>
      </c>
      <c r="F608" s="86">
        <v>15049000000</v>
      </c>
      <c r="G608" s="86">
        <v>6996000000</v>
      </c>
      <c r="H608" s="86">
        <v>5759000000</v>
      </c>
      <c r="I608" s="86">
        <v>0</v>
      </c>
      <c r="J608" s="86">
        <v>1232000000</v>
      </c>
      <c r="K608" s="83" t="s">
        <v>48</v>
      </c>
      <c r="L608" s="83" t="s">
        <v>51</v>
      </c>
      <c r="M608" s="91">
        <f t="shared" si="57"/>
        <v>8053000000</v>
      </c>
      <c r="N608" s="86">
        <f t="shared" si="58"/>
        <v>6991000000</v>
      </c>
      <c r="O608" s="86">
        <f t="shared" si="59"/>
        <v>1062000000</v>
      </c>
      <c r="P608" s="83">
        <f t="shared" si="55"/>
        <v>7.0569473054688026E-2</v>
      </c>
      <c r="Q608" s="83">
        <f t="shared" si="56"/>
        <v>0.53511861253239412</v>
      </c>
    </row>
    <row r="609" spans="1:17">
      <c r="A609" s="87">
        <v>635</v>
      </c>
      <c r="B609" s="87" t="s">
        <v>258</v>
      </c>
      <c r="C609" s="87" t="s">
        <v>23</v>
      </c>
      <c r="D609" s="84">
        <v>41881</v>
      </c>
      <c r="E609" s="88">
        <f t="shared" si="54"/>
        <v>2014</v>
      </c>
      <c r="F609" s="89">
        <v>15026000000</v>
      </c>
      <c r="G609" s="89">
        <v>6173000000</v>
      </c>
      <c r="H609" s="89">
        <v>4969000000</v>
      </c>
      <c r="I609" s="89">
        <v>0</v>
      </c>
      <c r="J609" s="89">
        <v>1550000000</v>
      </c>
      <c r="K609" s="87" t="s">
        <v>48</v>
      </c>
      <c r="L609" s="87" t="s">
        <v>51</v>
      </c>
      <c r="M609" s="90">
        <f t="shared" si="57"/>
        <v>8853000000</v>
      </c>
      <c r="N609" s="89">
        <f t="shared" si="58"/>
        <v>6519000000</v>
      </c>
      <c r="O609" s="89">
        <f t="shared" si="59"/>
        <v>2334000000</v>
      </c>
      <c r="P609" s="87">
        <f t="shared" si="55"/>
        <v>0.15533076001597232</v>
      </c>
      <c r="Q609" s="87">
        <f t="shared" si="56"/>
        <v>0.58917875682150944</v>
      </c>
    </row>
    <row r="610" spans="1:17">
      <c r="A610" s="83">
        <v>636</v>
      </c>
      <c r="B610" s="83" t="s">
        <v>259</v>
      </c>
      <c r="C610" s="83" t="s">
        <v>18</v>
      </c>
      <c r="D610" s="84">
        <v>41882</v>
      </c>
      <c r="E610" s="85">
        <f t="shared" si="54"/>
        <v>2014</v>
      </c>
      <c r="F610" s="86">
        <v>1481314000</v>
      </c>
      <c r="G610" s="86">
        <v>253047000</v>
      </c>
      <c r="H610" s="86">
        <v>587835000</v>
      </c>
      <c r="I610" s="86">
        <v>209614000</v>
      </c>
      <c r="J610" s="86">
        <v>0</v>
      </c>
      <c r="K610" s="83" t="s">
        <v>28</v>
      </c>
      <c r="L610" s="83" t="s">
        <v>180</v>
      </c>
      <c r="M610" s="91">
        <f t="shared" si="57"/>
        <v>1228267000</v>
      </c>
      <c r="N610" s="86">
        <f t="shared" si="58"/>
        <v>797449000</v>
      </c>
      <c r="O610" s="86">
        <f t="shared" si="59"/>
        <v>430818000</v>
      </c>
      <c r="P610" s="83">
        <f t="shared" si="55"/>
        <v>0.29083502890001717</v>
      </c>
      <c r="Q610" s="83">
        <f t="shared" si="56"/>
        <v>0.82917396311653035</v>
      </c>
    </row>
    <row r="611" spans="1:17">
      <c r="A611" s="87">
        <v>637</v>
      </c>
      <c r="B611" s="87" t="s">
        <v>259</v>
      </c>
      <c r="C611" s="87" t="s">
        <v>21</v>
      </c>
      <c r="D611" s="84">
        <v>41883</v>
      </c>
      <c r="E611" s="88">
        <f t="shared" si="54"/>
        <v>2014</v>
      </c>
      <c r="F611" s="89">
        <v>1732046000</v>
      </c>
      <c r="G611" s="89">
        <v>309959000</v>
      </c>
      <c r="H611" s="89">
        <v>664738000</v>
      </c>
      <c r="I611" s="89">
        <v>263792000</v>
      </c>
      <c r="J611" s="89">
        <v>0</v>
      </c>
      <c r="K611" s="87" t="s">
        <v>28</v>
      </c>
      <c r="L611" s="87" t="s">
        <v>180</v>
      </c>
      <c r="M611" s="90">
        <f t="shared" si="57"/>
        <v>1422087000</v>
      </c>
      <c r="N611" s="89">
        <f t="shared" si="58"/>
        <v>928530000</v>
      </c>
      <c r="O611" s="89">
        <f t="shared" si="59"/>
        <v>493557000</v>
      </c>
      <c r="P611" s="87">
        <f t="shared" si="55"/>
        <v>0.28495605774904359</v>
      </c>
      <c r="Q611" s="87">
        <f t="shared" si="56"/>
        <v>0.82104459119446016</v>
      </c>
    </row>
    <row r="612" spans="1:17">
      <c r="A612" s="83">
        <v>638</v>
      </c>
      <c r="B612" s="83" t="s">
        <v>259</v>
      </c>
      <c r="C612" s="83" t="s">
        <v>22</v>
      </c>
      <c r="D612" s="84">
        <v>41884</v>
      </c>
      <c r="E612" s="85">
        <f t="shared" si="54"/>
        <v>2014</v>
      </c>
      <c r="F612" s="86">
        <v>1919823000</v>
      </c>
      <c r="G612" s="86">
        <v>332261000</v>
      </c>
      <c r="H612" s="86">
        <v>738080000</v>
      </c>
      <c r="I612" s="86">
        <v>296583000</v>
      </c>
      <c r="J612" s="86">
        <v>0</v>
      </c>
      <c r="K612" s="83" t="s">
        <v>28</v>
      </c>
      <c r="L612" s="83" t="s">
        <v>180</v>
      </c>
      <c r="M612" s="91">
        <f t="shared" si="57"/>
        <v>1587562000</v>
      </c>
      <c r="N612" s="86">
        <f t="shared" si="58"/>
        <v>1034663000</v>
      </c>
      <c r="O612" s="86">
        <f t="shared" si="59"/>
        <v>552899000</v>
      </c>
      <c r="P612" s="83">
        <f t="shared" si="55"/>
        <v>0.28799477868532675</v>
      </c>
      <c r="Q612" s="83">
        <f t="shared" si="56"/>
        <v>0.82693144107555749</v>
      </c>
    </row>
    <row r="613" spans="1:17">
      <c r="A613" s="87">
        <v>639</v>
      </c>
      <c r="B613" s="87" t="s">
        <v>259</v>
      </c>
      <c r="C613" s="87" t="s">
        <v>23</v>
      </c>
      <c r="D613" s="84">
        <v>41885</v>
      </c>
      <c r="E613" s="88">
        <f t="shared" si="54"/>
        <v>2014</v>
      </c>
      <c r="F613" s="89">
        <v>1995034000</v>
      </c>
      <c r="G613" s="89">
        <v>337205000</v>
      </c>
      <c r="H613" s="89">
        <v>767174000</v>
      </c>
      <c r="I613" s="89">
        <v>334227000</v>
      </c>
      <c r="J613" s="89">
        <v>0</v>
      </c>
      <c r="K613" s="87" t="s">
        <v>28</v>
      </c>
      <c r="L613" s="87" t="s">
        <v>180</v>
      </c>
      <c r="M613" s="90">
        <f t="shared" si="57"/>
        <v>1657829000</v>
      </c>
      <c r="N613" s="89">
        <f t="shared" si="58"/>
        <v>1101401000</v>
      </c>
      <c r="O613" s="89">
        <f t="shared" si="59"/>
        <v>556428000</v>
      </c>
      <c r="P613" s="87">
        <f t="shared" si="55"/>
        <v>0.27890652490133</v>
      </c>
      <c r="Q613" s="87">
        <f t="shared" si="56"/>
        <v>0.83097781792190006</v>
      </c>
    </row>
    <row r="614" spans="1:17">
      <c r="A614" s="83">
        <v>640</v>
      </c>
      <c r="B614" s="83" t="s">
        <v>260</v>
      </c>
      <c r="C614" s="83" t="s">
        <v>18</v>
      </c>
      <c r="D614" s="84">
        <v>41886</v>
      </c>
      <c r="E614" s="85">
        <f t="shared" si="54"/>
        <v>2014</v>
      </c>
      <c r="F614" s="86">
        <v>5795800000</v>
      </c>
      <c r="G614" s="86">
        <v>3956200000</v>
      </c>
      <c r="H614" s="86">
        <v>763300000</v>
      </c>
      <c r="I614" s="86">
        <v>0</v>
      </c>
      <c r="J614" s="86">
        <v>0</v>
      </c>
      <c r="K614" s="83" t="s">
        <v>28</v>
      </c>
      <c r="L614" s="83" t="s">
        <v>63</v>
      </c>
      <c r="M614" s="91">
        <f t="shared" si="57"/>
        <v>1839600000</v>
      </c>
      <c r="N614" s="86">
        <f t="shared" si="58"/>
        <v>763300000</v>
      </c>
      <c r="O614" s="86">
        <f t="shared" si="59"/>
        <v>1076300000</v>
      </c>
      <c r="P614" s="83">
        <f t="shared" si="55"/>
        <v>0.18570344042237483</v>
      </c>
      <c r="Q614" s="83">
        <f t="shared" si="56"/>
        <v>0.31740225680665313</v>
      </c>
    </row>
    <row r="615" spans="1:17">
      <c r="A615" s="87">
        <v>641</v>
      </c>
      <c r="B615" s="87" t="s">
        <v>260</v>
      </c>
      <c r="C615" s="87" t="s">
        <v>21</v>
      </c>
      <c r="D615" s="84">
        <v>41887</v>
      </c>
      <c r="E615" s="88">
        <f t="shared" si="54"/>
        <v>2014</v>
      </c>
      <c r="F615" s="89">
        <v>6063400000</v>
      </c>
      <c r="G615" s="89">
        <v>4092700000</v>
      </c>
      <c r="H615" s="89">
        <v>907800000</v>
      </c>
      <c r="I615" s="89">
        <v>0</v>
      </c>
      <c r="J615" s="89">
        <v>0</v>
      </c>
      <c r="K615" s="87" t="s">
        <v>28</v>
      </c>
      <c r="L615" s="87" t="s">
        <v>63</v>
      </c>
      <c r="M615" s="90">
        <f t="shared" si="57"/>
        <v>1970700000</v>
      </c>
      <c r="N615" s="89">
        <f t="shared" si="58"/>
        <v>907800000</v>
      </c>
      <c r="O615" s="89">
        <f t="shared" si="59"/>
        <v>1062900000</v>
      </c>
      <c r="P615" s="87">
        <f t="shared" si="55"/>
        <v>0.1752976877659399</v>
      </c>
      <c r="Q615" s="87">
        <f t="shared" si="56"/>
        <v>0.32501566777715474</v>
      </c>
    </row>
    <row r="616" spans="1:17">
      <c r="A616" s="83">
        <v>642</v>
      </c>
      <c r="B616" s="83" t="s">
        <v>260</v>
      </c>
      <c r="C616" s="83" t="s">
        <v>22</v>
      </c>
      <c r="D616" s="84">
        <v>41888</v>
      </c>
      <c r="E616" s="85">
        <f t="shared" si="54"/>
        <v>2014</v>
      </c>
      <c r="F616" s="86">
        <v>6413800000</v>
      </c>
      <c r="G616" s="86">
        <v>4328300000</v>
      </c>
      <c r="H616" s="86">
        <v>814900000</v>
      </c>
      <c r="I616" s="86">
        <v>0</v>
      </c>
      <c r="J616" s="86">
        <v>0</v>
      </c>
      <c r="K616" s="83" t="s">
        <v>28</v>
      </c>
      <c r="L616" s="83" t="s">
        <v>63</v>
      </c>
      <c r="M616" s="91">
        <f t="shared" si="57"/>
        <v>2085500000</v>
      </c>
      <c r="N616" s="86">
        <f t="shared" si="58"/>
        <v>814900000</v>
      </c>
      <c r="O616" s="86">
        <f t="shared" si="59"/>
        <v>1270600000</v>
      </c>
      <c r="P616" s="83">
        <f t="shared" si="55"/>
        <v>0.19810408806012036</v>
      </c>
      <c r="Q616" s="83">
        <f t="shared" si="56"/>
        <v>0.32515825251800801</v>
      </c>
    </row>
    <row r="617" spans="1:17">
      <c r="A617" s="87">
        <v>643</v>
      </c>
      <c r="B617" s="87" t="s">
        <v>260</v>
      </c>
      <c r="C617" s="87" t="s">
        <v>23</v>
      </c>
      <c r="D617" s="84">
        <v>41889</v>
      </c>
      <c r="E617" s="88">
        <f t="shared" si="54"/>
        <v>2014</v>
      </c>
      <c r="F617" s="89">
        <v>6595200000</v>
      </c>
      <c r="G617" s="89">
        <v>4393200000</v>
      </c>
      <c r="H617" s="89">
        <v>1102800000</v>
      </c>
      <c r="I617" s="89">
        <v>0</v>
      </c>
      <c r="J617" s="89">
        <v>0</v>
      </c>
      <c r="K617" s="87" t="s">
        <v>28</v>
      </c>
      <c r="L617" s="87" t="s">
        <v>63</v>
      </c>
      <c r="M617" s="90">
        <f t="shared" si="57"/>
        <v>2202000000</v>
      </c>
      <c r="N617" s="89">
        <f t="shared" si="58"/>
        <v>1102800000</v>
      </c>
      <c r="O617" s="89">
        <f t="shared" si="59"/>
        <v>1099200000</v>
      </c>
      <c r="P617" s="87">
        <f t="shared" si="55"/>
        <v>0.16666666666666666</v>
      </c>
      <c r="Q617" s="87">
        <f t="shared" si="56"/>
        <v>0.33387918486171764</v>
      </c>
    </row>
    <row r="618" spans="1:17">
      <c r="A618" s="83">
        <v>644</v>
      </c>
      <c r="B618" s="83" t="s">
        <v>261</v>
      </c>
      <c r="C618" s="83" t="s">
        <v>18</v>
      </c>
      <c r="D618" s="84">
        <v>41890</v>
      </c>
      <c r="E618" s="85">
        <f t="shared" si="54"/>
        <v>2014</v>
      </c>
      <c r="F618" s="86">
        <v>4436000000</v>
      </c>
      <c r="G618" s="86">
        <v>2564000000</v>
      </c>
      <c r="H618" s="86">
        <v>824000000</v>
      </c>
      <c r="I618" s="86">
        <v>0</v>
      </c>
      <c r="J618" s="86">
        <v>0</v>
      </c>
      <c r="K618" s="83" t="s">
        <v>28</v>
      </c>
      <c r="L618" s="83" t="s">
        <v>63</v>
      </c>
      <c r="M618" s="91">
        <f t="shared" si="57"/>
        <v>1872000000</v>
      </c>
      <c r="N618" s="86">
        <f t="shared" si="58"/>
        <v>824000000</v>
      </c>
      <c r="O618" s="86">
        <f t="shared" si="59"/>
        <v>1048000000</v>
      </c>
      <c r="P618" s="83">
        <f t="shared" si="55"/>
        <v>0.23624887285843102</v>
      </c>
      <c r="Q618" s="83">
        <f t="shared" si="56"/>
        <v>0.42200180342651039</v>
      </c>
    </row>
    <row r="619" spans="1:17">
      <c r="A619" s="87">
        <v>645</v>
      </c>
      <c r="B619" s="87" t="s">
        <v>261</v>
      </c>
      <c r="C619" s="87" t="s">
        <v>21</v>
      </c>
      <c r="D619" s="84">
        <v>41891</v>
      </c>
      <c r="E619" s="88">
        <f t="shared" si="54"/>
        <v>2014</v>
      </c>
      <c r="F619" s="89">
        <v>4814000000</v>
      </c>
      <c r="G619" s="89">
        <v>2776000000</v>
      </c>
      <c r="H619" s="89">
        <v>977000000</v>
      </c>
      <c r="I619" s="89">
        <v>0</v>
      </c>
      <c r="J619" s="89">
        <v>0</v>
      </c>
      <c r="K619" s="87" t="s">
        <v>28</v>
      </c>
      <c r="L619" s="87" t="s">
        <v>63</v>
      </c>
      <c r="M619" s="90">
        <f t="shared" si="57"/>
        <v>2038000000</v>
      </c>
      <c r="N619" s="89">
        <f t="shared" si="58"/>
        <v>977000000</v>
      </c>
      <c r="O619" s="89">
        <f t="shared" si="59"/>
        <v>1061000000</v>
      </c>
      <c r="P619" s="87">
        <f t="shared" si="55"/>
        <v>0.22039883672621521</v>
      </c>
      <c r="Q619" s="87">
        <f t="shared" si="56"/>
        <v>0.42334856668051513</v>
      </c>
    </row>
    <row r="620" spans="1:17">
      <c r="A620" s="83">
        <v>646</v>
      </c>
      <c r="B620" s="83" t="s">
        <v>261</v>
      </c>
      <c r="C620" s="83" t="s">
        <v>22</v>
      </c>
      <c r="D620" s="84">
        <v>41892</v>
      </c>
      <c r="E620" s="85">
        <f t="shared" si="54"/>
        <v>2014</v>
      </c>
      <c r="F620" s="86">
        <v>5066000000</v>
      </c>
      <c r="G620" s="86">
        <v>2881000000</v>
      </c>
      <c r="H620" s="86">
        <v>975000000</v>
      </c>
      <c r="I620" s="86">
        <v>0</v>
      </c>
      <c r="J620" s="86">
        <v>0</v>
      </c>
      <c r="K620" s="83" t="s">
        <v>28</v>
      </c>
      <c r="L620" s="83" t="s">
        <v>63</v>
      </c>
      <c r="M620" s="91">
        <f t="shared" si="57"/>
        <v>2185000000</v>
      </c>
      <c r="N620" s="86">
        <f t="shared" si="58"/>
        <v>975000000</v>
      </c>
      <c r="O620" s="86">
        <f t="shared" si="59"/>
        <v>1210000000</v>
      </c>
      <c r="P620" s="83">
        <f t="shared" si="55"/>
        <v>0.2388472167390446</v>
      </c>
      <c r="Q620" s="83">
        <f t="shared" si="56"/>
        <v>0.43130675088827475</v>
      </c>
    </row>
    <row r="621" spans="1:17">
      <c r="A621" s="87">
        <v>647</v>
      </c>
      <c r="B621" s="87" t="s">
        <v>261</v>
      </c>
      <c r="C621" s="87" t="s">
        <v>23</v>
      </c>
      <c r="D621" s="84">
        <v>41893</v>
      </c>
      <c r="E621" s="88">
        <f t="shared" si="54"/>
        <v>2014</v>
      </c>
      <c r="F621" s="89">
        <v>5254000000</v>
      </c>
      <c r="G621" s="89">
        <v>2909000000</v>
      </c>
      <c r="H621" s="89">
        <v>1034000000</v>
      </c>
      <c r="I621" s="89">
        <v>0</v>
      </c>
      <c r="J621" s="89">
        <v>0</v>
      </c>
      <c r="K621" s="87" t="s">
        <v>28</v>
      </c>
      <c r="L621" s="87" t="s">
        <v>63</v>
      </c>
      <c r="M621" s="90">
        <f t="shared" si="57"/>
        <v>2345000000</v>
      </c>
      <c r="N621" s="89">
        <f t="shared" si="58"/>
        <v>1034000000</v>
      </c>
      <c r="O621" s="89">
        <f t="shared" si="59"/>
        <v>1311000000</v>
      </c>
      <c r="P621" s="87">
        <f t="shared" si="55"/>
        <v>0.24952417205938332</v>
      </c>
      <c r="Q621" s="87">
        <f t="shared" si="56"/>
        <v>0.44632660829843929</v>
      </c>
    </row>
    <row r="622" spans="1:17">
      <c r="A622" s="83">
        <v>648</v>
      </c>
      <c r="B622" s="83" t="s">
        <v>262</v>
      </c>
      <c r="C622" s="83" t="s">
        <v>18</v>
      </c>
      <c r="D622" s="84">
        <v>41894</v>
      </c>
      <c r="E622" s="85">
        <f t="shared" si="54"/>
        <v>2014</v>
      </c>
      <c r="F622" s="86">
        <v>6182000000</v>
      </c>
      <c r="G622" s="86">
        <v>4148000000</v>
      </c>
      <c r="H622" s="86">
        <v>1294000000</v>
      </c>
      <c r="I622" s="86">
        <v>0</v>
      </c>
      <c r="J622" s="86">
        <v>118000000</v>
      </c>
      <c r="K622" s="83" t="s">
        <v>25</v>
      </c>
      <c r="L622" s="83" t="s">
        <v>263</v>
      </c>
      <c r="M622" s="91">
        <f t="shared" si="57"/>
        <v>2034000000</v>
      </c>
      <c r="N622" s="86">
        <f t="shared" si="58"/>
        <v>1412000000</v>
      </c>
      <c r="O622" s="86">
        <f t="shared" si="59"/>
        <v>622000000</v>
      </c>
      <c r="P622" s="83">
        <f t="shared" si="55"/>
        <v>0.10061468780329991</v>
      </c>
      <c r="Q622" s="83">
        <f t="shared" si="56"/>
        <v>0.32901973471368484</v>
      </c>
    </row>
    <row r="623" spans="1:17">
      <c r="A623" s="87">
        <v>649</v>
      </c>
      <c r="B623" s="87" t="s">
        <v>262</v>
      </c>
      <c r="C623" s="87" t="s">
        <v>21</v>
      </c>
      <c r="D623" s="84">
        <v>41895</v>
      </c>
      <c r="E623" s="88">
        <f t="shared" si="54"/>
        <v>2014</v>
      </c>
      <c r="F623" s="89">
        <v>6505000000</v>
      </c>
      <c r="G623" s="89">
        <v>4372000000</v>
      </c>
      <c r="H623" s="89">
        <v>1334000000</v>
      </c>
      <c r="I623" s="89">
        <v>0</v>
      </c>
      <c r="J623" s="89">
        <v>133000000</v>
      </c>
      <c r="K623" s="87" t="s">
        <v>25</v>
      </c>
      <c r="L623" s="87" t="s">
        <v>263</v>
      </c>
      <c r="M623" s="90">
        <f t="shared" si="57"/>
        <v>2133000000</v>
      </c>
      <c r="N623" s="89">
        <f t="shared" si="58"/>
        <v>1467000000</v>
      </c>
      <c r="O623" s="89">
        <f t="shared" si="59"/>
        <v>666000000</v>
      </c>
      <c r="P623" s="87">
        <f t="shared" si="55"/>
        <v>0.10238278247501921</v>
      </c>
      <c r="Q623" s="87">
        <f t="shared" si="56"/>
        <v>0.32790161414296692</v>
      </c>
    </row>
    <row r="624" spans="1:17">
      <c r="A624" s="83">
        <v>650</v>
      </c>
      <c r="B624" s="83" t="s">
        <v>262</v>
      </c>
      <c r="C624" s="83" t="s">
        <v>22</v>
      </c>
      <c r="D624" s="84">
        <v>41896</v>
      </c>
      <c r="E624" s="85">
        <f t="shared" si="54"/>
        <v>2014</v>
      </c>
      <c r="F624" s="86">
        <v>7151000000</v>
      </c>
      <c r="G624" s="86">
        <v>4777000000</v>
      </c>
      <c r="H624" s="86">
        <v>1426000000</v>
      </c>
      <c r="I624" s="86">
        <v>0</v>
      </c>
      <c r="J624" s="86">
        <v>139000000</v>
      </c>
      <c r="K624" s="83" t="s">
        <v>25</v>
      </c>
      <c r="L624" s="83" t="s">
        <v>263</v>
      </c>
      <c r="M624" s="91">
        <f t="shared" si="57"/>
        <v>2374000000</v>
      </c>
      <c r="N624" s="86">
        <f t="shared" si="58"/>
        <v>1565000000</v>
      </c>
      <c r="O624" s="86">
        <f t="shared" si="59"/>
        <v>809000000</v>
      </c>
      <c r="P624" s="83">
        <f t="shared" si="55"/>
        <v>0.11313103062508741</v>
      </c>
      <c r="Q624" s="83">
        <f t="shared" si="56"/>
        <v>0.33198154104321076</v>
      </c>
    </row>
    <row r="625" spans="1:17">
      <c r="A625" s="87">
        <v>651</v>
      </c>
      <c r="B625" s="87" t="s">
        <v>262</v>
      </c>
      <c r="C625" s="87" t="s">
        <v>23</v>
      </c>
      <c r="D625" s="84">
        <v>41897</v>
      </c>
      <c r="E625" s="88">
        <f t="shared" si="54"/>
        <v>2014</v>
      </c>
      <c r="F625" s="89">
        <v>7412000000</v>
      </c>
      <c r="G625" s="89">
        <v>4907000000</v>
      </c>
      <c r="H625" s="89">
        <v>1415000000</v>
      </c>
      <c r="I625" s="89">
        <v>0</v>
      </c>
      <c r="J625" s="89">
        <v>148000000</v>
      </c>
      <c r="K625" s="87" t="s">
        <v>25</v>
      </c>
      <c r="L625" s="87" t="s">
        <v>263</v>
      </c>
      <c r="M625" s="90">
        <f t="shared" si="57"/>
        <v>2505000000</v>
      </c>
      <c r="N625" s="89">
        <f t="shared" si="58"/>
        <v>1563000000</v>
      </c>
      <c r="O625" s="89">
        <f t="shared" si="59"/>
        <v>942000000</v>
      </c>
      <c r="P625" s="87">
        <f t="shared" si="55"/>
        <v>0.1270912034538586</v>
      </c>
      <c r="Q625" s="87">
        <f t="shared" si="56"/>
        <v>0.33796546141392336</v>
      </c>
    </row>
    <row r="626" spans="1:17">
      <c r="A626" s="83">
        <v>652</v>
      </c>
      <c r="B626" s="83" t="s">
        <v>264</v>
      </c>
      <c r="C626" s="83" t="s">
        <v>18</v>
      </c>
      <c r="D626" s="84">
        <v>41898</v>
      </c>
      <c r="E626" s="85">
        <f t="shared" si="54"/>
        <v>2014</v>
      </c>
      <c r="F626" s="86">
        <v>1405358000</v>
      </c>
      <c r="G626" s="86">
        <v>670174000</v>
      </c>
      <c r="H626" s="86">
        <v>292500000</v>
      </c>
      <c r="I626" s="86">
        <v>137354000</v>
      </c>
      <c r="J626" s="86">
        <v>0</v>
      </c>
      <c r="K626" s="83" t="s">
        <v>28</v>
      </c>
      <c r="L626" s="83" t="s">
        <v>265</v>
      </c>
      <c r="M626" s="91">
        <f t="shared" si="57"/>
        <v>735184000</v>
      </c>
      <c r="N626" s="86">
        <f t="shared" si="58"/>
        <v>429854000</v>
      </c>
      <c r="O626" s="86">
        <f t="shared" si="59"/>
        <v>305330000</v>
      </c>
      <c r="P626" s="83">
        <f t="shared" si="55"/>
        <v>0.2172613668545666</v>
      </c>
      <c r="Q626" s="83">
        <f t="shared" si="56"/>
        <v>0.52312933786266558</v>
      </c>
    </row>
    <row r="627" spans="1:17">
      <c r="A627" s="87">
        <v>653</v>
      </c>
      <c r="B627" s="87" t="s">
        <v>264</v>
      </c>
      <c r="C627" s="87" t="s">
        <v>21</v>
      </c>
      <c r="D627" s="84">
        <v>41899</v>
      </c>
      <c r="E627" s="88">
        <f t="shared" si="54"/>
        <v>2014</v>
      </c>
      <c r="F627" s="89">
        <v>1496372000</v>
      </c>
      <c r="G627" s="89">
        <v>759362000</v>
      </c>
      <c r="H627" s="89">
        <v>322739000</v>
      </c>
      <c r="I627" s="89">
        <v>147696000</v>
      </c>
      <c r="J627" s="89">
        <v>0</v>
      </c>
      <c r="K627" s="87" t="s">
        <v>28</v>
      </c>
      <c r="L627" s="87" t="s">
        <v>265</v>
      </c>
      <c r="M627" s="90">
        <f t="shared" si="57"/>
        <v>737010000</v>
      </c>
      <c r="N627" s="89">
        <f t="shared" si="58"/>
        <v>470435000</v>
      </c>
      <c r="O627" s="89">
        <f t="shared" si="59"/>
        <v>266575000</v>
      </c>
      <c r="P627" s="87">
        <f t="shared" si="55"/>
        <v>0.1781475461984052</v>
      </c>
      <c r="Q627" s="87">
        <f t="shared" si="56"/>
        <v>0.49253126896253074</v>
      </c>
    </row>
    <row r="628" spans="1:17">
      <c r="A628" s="83">
        <v>654</v>
      </c>
      <c r="B628" s="83" t="s">
        <v>264</v>
      </c>
      <c r="C628" s="83" t="s">
        <v>22</v>
      </c>
      <c r="D628" s="84">
        <v>41900</v>
      </c>
      <c r="E628" s="85">
        <f t="shared" si="54"/>
        <v>2014</v>
      </c>
      <c r="F628" s="86">
        <v>1530654000</v>
      </c>
      <c r="G628" s="86">
        <v>780281000</v>
      </c>
      <c r="H628" s="86">
        <v>331995000</v>
      </c>
      <c r="I628" s="86">
        <v>142751000</v>
      </c>
      <c r="J628" s="86">
        <v>0</v>
      </c>
      <c r="K628" s="83" t="s">
        <v>28</v>
      </c>
      <c r="L628" s="83" t="s">
        <v>265</v>
      </c>
      <c r="M628" s="91">
        <f t="shared" si="57"/>
        <v>750373000</v>
      </c>
      <c r="N628" s="86">
        <f t="shared" si="58"/>
        <v>474746000</v>
      </c>
      <c r="O628" s="86">
        <f t="shared" si="59"/>
        <v>275627000</v>
      </c>
      <c r="P628" s="83">
        <f t="shared" si="55"/>
        <v>0.18007139431902963</v>
      </c>
      <c r="Q628" s="83">
        <f t="shared" si="56"/>
        <v>0.49023031985020782</v>
      </c>
    </row>
    <row r="629" spans="1:17">
      <c r="A629" s="87">
        <v>655</v>
      </c>
      <c r="B629" s="87" t="s">
        <v>264</v>
      </c>
      <c r="C629" s="87" t="s">
        <v>23</v>
      </c>
      <c r="D629" s="84">
        <v>41901</v>
      </c>
      <c r="E629" s="88">
        <f t="shared" si="54"/>
        <v>2014</v>
      </c>
      <c r="F629" s="89">
        <v>1557067000</v>
      </c>
      <c r="G629" s="89">
        <v>803506000</v>
      </c>
      <c r="H629" s="89">
        <v>313544000</v>
      </c>
      <c r="I629" s="89">
        <v>132892000</v>
      </c>
      <c r="J629" s="89">
        <v>0</v>
      </c>
      <c r="K629" s="87" t="s">
        <v>28</v>
      </c>
      <c r="L629" s="87" t="s">
        <v>265</v>
      </c>
      <c r="M629" s="90">
        <f t="shared" si="57"/>
        <v>753561000</v>
      </c>
      <c r="N629" s="89">
        <f t="shared" si="58"/>
        <v>446436000</v>
      </c>
      <c r="O629" s="89">
        <f t="shared" si="59"/>
        <v>307125000</v>
      </c>
      <c r="P629" s="87">
        <f t="shared" si="55"/>
        <v>0.19724584748119381</v>
      </c>
      <c r="Q629" s="87">
        <f t="shared" si="56"/>
        <v>0.48396183337004761</v>
      </c>
    </row>
    <row r="630" spans="1:17">
      <c r="A630" s="83">
        <v>656</v>
      </c>
      <c r="B630" s="83" t="s">
        <v>266</v>
      </c>
      <c r="C630" s="83" t="s">
        <v>18</v>
      </c>
      <c r="D630" s="84">
        <v>41902</v>
      </c>
      <c r="E630" s="85">
        <f t="shared" si="54"/>
        <v>2014</v>
      </c>
      <c r="F630" s="86">
        <v>27351573000</v>
      </c>
      <c r="G630" s="86">
        <v>25986382000</v>
      </c>
      <c r="H630" s="86">
        <v>175148000</v>
      </c>
      <c r="I630" s="86">
        <v>0</v>
      </c>
      <c r="J630" s="86">
        <v>0</v>
      </c>
      <c r="K630" s="83" t="s">
        <v>19</v>
      </c>
      <c r="L630" s="83" t="s">
        <v>267</v>
      </c>
      <c r="M630" s="91">
        <f t="shared" si="57"/>
        <v>1365191000</v>
      </c>
      <c r="N630" s="86">
        <f t="shared" si="58"/>
        <v>175148000</v>
      </c>
      <c r="O630" s="86">
        <f t="shared" si="59"/>
        <v>1190043000</v>
      </c>
      <c r="P630" s="83">
        <f t="shared" si="55"/>
        <v>4.3509124685443136E-2</v>
      </c>
      <c r="Q630" s="83">
        <f t="shared" si="56"/>
        <v>4.9912705203463026E-2</v>
      </c>
    </row>
    <row r="631" spans="1:17">
      <c r="A631" s="87">
        <v>657</v>
      </c>
      <c r="B631" s="87" t="s">
        <v>266</v>
      </c>
      <c r="C631" s="87" t="s">
        <v>21</v>
      </c>
      <c r="D631" s="84">
        <v>41903</v>
      </c>
      <c r="E631" s="88">
        <f t="shared" si="54"/>
        <v>2014</v>
      </c>
      <c r="F631" s="89">
        <v>21531577000</v>
      </c>
      <c r="G631" s="89">
        <v>20132544000</v>
      </c>
      <c r="H631" s="89">
        <v>182711000</v>
      </c>
      <c r="I631" s="89">
        <v>0</v>
      </c>
      <c r="J631" s="89">
        <v>0</v>
      </c>
      <c r="K631" s="87" t="s">
        <v>19</v>
      </c>
      <c r="L631" s="87" t="s">
        <v>267</v>
      </c>
      <c r="M631" s="90">
        <f t="shared" si="57"/>
        <v>1399033000</v>
      </c>
      <c r="N631" s="89">
        <f t="shared" si="58"/>
        <v>182711000</v>
      </c>
      <c r="O631" s="89">
        <f t="shared" si="59"/>
        <v>1216322000</v>
      </c>
      <c r="P631" s="87">
        <f t="shared" si="55"/>
        <v>5.649014932812399E-2</v>
      </c>
      <c r="Q631" s="87">
        <f t="shared" si="56"/>
        <v>6.497587241287528E-2</v>
      </c>
    </row>
    <row r="632" spans="1:17">
      <c r="A632" s="83">
        <v>658</v>
      </c>
      <c r="B632" s="83" t="s">
        <v>266</v>
      </c>
      <c r="C632" s="83" t="s">
        <v>22</v>
      </c>
      <c r="D632" s="84">
        <v>41904</v>
      </c>
      <c r="E632" s="85">
        <f t="shared" si="54"/>
        <v>2014</v>
      </c>
      <c r="F632" s="86">
        <v>18114048000</v>
      </c>
      <c r="G632" s="86">
        <v>17019352000</v>
      </c>
      <c r="H632" s="86">
        <v>408225000</v>
      </c>
      <c r="I632" s="86">
        <v>0</v>
      </c>
      <c r="J632" s="86">
        <v>0</v>
      </c>
      <c r="K632" s="83" t="s">
        <v>19</v>
      </c>
      <c r="L632" s="83" t="s">
        <v>267</v>
      </c>
      <c r="M632" s="91">
        <f t="shared" si="57"/>
        <v>1094696000</v>
      </c>
      <c r="N632" s="86">
        <f t="shared" si="58"/>
        <v>408225000</v>
      </c>
      <c r="O632" s="86">
        <f t="shared" si="59"/>
        <v>686471000</v>
      </c>
      <c r="P632" s="83">
        <f t="shared" si="55"/>
        <v>3.7897161363379409E-2</v>
      </c>
      <c r="Q632" s="83">
        <f t="shared" si="56"/>
        <v>6.0433537550524274E-2</v>
      </c>
    </row>
    <row r="633" spans="1:17">
      <c r="A633" s="87">
        <v>659</v>
      </c>
      <c r="B633" s="87" t="s">
        <v>266</v>
      </c>
      <c r="C633" s="87" t="s">
        <v>23</v>
      </c>
      <c r="D633" s="84">
        <v>41905</v>
      </c>
      <c r="E633" s="88">
        <f t="shared" si="54"/>
        <v>2014</v>
      </c>
      <c r="F633" s="89">
        <v>19036525000</v>
      </c>
      <c r="G633" s="89">
        <v>18246209000</v>
      </c>
      <c r="H633" s="89">
        <v>191073000</v>
      </c>
      <c r="I633" s="89">
        <v>0</v>
      </c>
      <c r="J633" s="89">
        <v>0</v>
      </c>
      <c r="K633" s="87" t="s">
        <v>19</v>
      </c>
      <c r="L633" s="87" t="s">
        <v>267</v>
      </c>
      <c r="M633" s="90">
        <f t="shared" si="57"/>
        <v>790316000</v>
      </c>
      <c r="N633" s="89">
        <f t="shared" si="58"/>
        <v>191073000</v>
      </c>
      <c r="O633" s="89">
        <f t="shared" si="59"/>
        <v>599243000</v>
      </c>
      <c r="P633" s="87">
        <f t="shared" si="55"/>
        <v>3.1478591812318685E-2</v>
      </c>
      <c r="Q633" s="87">
        <f t="shared" si="56"/>
        <v>4.1515770341488234E-2</v>
      </c>
    </row>
    <row r="634" spans="1:17">
      <c r="A634" s="83">
        <v>660</v>
      </c>
      <c r="B634" s="83" t="s">
        <v>268</v>
      </c>
      <c r="C634" s="83" t="s">
        <v>18</v>
      </c>
      <c r="D634" s="84">
        <v>41906</v>
      </c>
      <c r="E634" s="85">
        <f t="shared" si="54"/>
        <v>2014</v>
      </c>
      <c r="F634" s="86">
        <v>4954619000</v>
      </c>
      <c r="G634" s="86">
        <v>3266524000</v>
      </c>
      <c r="H634" s="86">
        <v>966829000</v>
      </c>
      <c r="I634" s="86">
        <v>0</v>
      </c>
      <c r="J634" s="86">
        <v>0</v>
      </c>
      <c r="K634" s="83" t="s">
        <v>19</v>
      </c>
      <c r="L634" s="83" t="s">
        <v>163</v>
      </c>
      <c r="M634" s="91">
        <f t="shared" si="57"/>
        <v>1688095000</v>
      </c>
      <c r="N634" s="86">
        <f t="shared" si="58"/>
        <v>966829000</v>
      </c>
      <c r="O634" s="86">
        <f t="shared" si="59"/>
        <v>721266000</v>
      </c>
      <c r="P634" s="83">
        <f t="shared" si="55"/>
        <v>0.14557446294054094</v>
      </c>
      <c r="Q634" s="83">
        <f t="shared" si="56"/>
        <v>0.34071136448635098</v>
      </c>
    </row>
    <row r="635" spans="1:17">
      <c r="A635" s="87">
        <v>661</v>
      </c>
      <c r="B635" s="87" t="s">
        <v>268</v>
      </c>
      <c r="C635" s="87" t="s">
        <v>21</v>
      </c>
      <c r="D635" s="84">
        <v>41907</v>
      </c>
      <c r="E635" s="88">
        <f t="shared" si="54"/>
        <v>2014</v>
      </c>
      <c r="F635" s="89">
        <v>4877885000</v>
      </c>
      <c r="G635" s="89">
        <v>3163268000</v>
      </c>
      <c r="H635" s="89">
        <v>936900000</v>
      </c>
      <c r="I635" s="89">
        <v>0</v>
      </c>
      <c r="J635" s="89">
        <v>0</v>
      </c>
      <c r="K635" s="87" t="s">
        <v>19</v>
      </c>
      <c r="L635" s="87" t="s">
        <v>163</v>
      </c>
      <c r="M635" s="90">
        <f t="shared" si="57"/>
        <v>1714617000</v>
      </c>
      <c r="N635" s="89">
        <f t="shared" si="58"/>
        <v>936900000</v>
      </c>
      <c r="O635" s="89">
        <f t="shared" si="59"/>
        <v>777717000</v>
      </c>
      <c r="P635" s="87">
        <f t="shared" si="55"/>
        <v>0.15943733810862701</v>
      </c>
      <c r="Q635" s="87">
        <f t="shared" si="56"/>
        <v>0.35150828689073232</v>
      </c>
    </row>
    <row r="636" spans="1:17">
      <c r="A636" s="83">
        <v>662</v>
      </c>
      <c r="B636" s="83" t="s">
        <v>268</v>
      </c>
      <c r="C636" s="83" t="s">
        <v>22</v>
      </c>
      <c r="D636" s="84">
        <v>41908</v>
      </c>
      <c r="E636" s="85">
        <f t="shared" si="54"/>
        <v>2014</v>
      </c>
      <c r="F636" s="86">
        <v>4561030000</v>
      </c>
      <c r="G636" s="86">
        <v>3073712000</v>
      </c>
      <c r="H636" s="86">
        <v>971611000</v>
      </c>
      <c r="I636" s="86">
        <v>0</v>
      </c>
      <c r="J636" s="86">
        <v>0</v>
      </c>
      <c r="K636" s="83" t="s">
        <v>19</v>
      </c>
      <c r="L636" s="83" t="s">
        <v>163</v>
      </c>
      <c r="M636" s="91">
        <f t="shared" si="57"/>
        <v>1487318000</v>
      </c>
      <c r="N636" s="86">
        <f t="shared" si="58"/>
        <v>971611000</v>
      </c>
      <c r="O636" s="86">
        <f t="shared" si="59"/>
        <v>515707000</v>
      </c>
      <c r="P636" s="83">
        <f t="shared" si="55"/>
        <v>0.11306810084564232</v>
      </c>
      <c r="Q636" s="83">
        <f t="shared" si="56"/>
        <v>0.32609257119554136</v>
      </c>
    </row>
    <row r="637" spans="1:17">
      <c r="A637" s="87">
        <v>663</v>
      </c>
      <c r="B637" s="87" t="s">
        <v>268</v>
      </c>
      <c r="C637" s="87" t="s">
        <v>23</v>
      </c>
      <c r="D637" s="84">
        <v>41909</v>
      </c>
      <c r="E637" s="88">
        <f t="shared" si="54"/>
        <v>2014</v>
      </c>
      <c r="F637" s="89">
        <v>3991462000</v>
      </c>
      <c r="G637" s="89">
        <v>2759908000</v>
      </c>
      <c r="H637" s="89">
        <v>965322000</v>
      </c>
      <c r="I637" s="89">
        <v>0</v>
      </c>
      <c r="J637" s="89">
        <v>0</v>
      </c>
      <c r="K637" s="87" t="s">
        <v>19</v>
      </c>
      <c r="L637" s="87" t="s">
        <v>163</v>
      </c>
      <c r="M637" s="90">
        <f t="shared" si="57"/>
        <v>1231554000</v>
      </c>
      <c r="N637" s="89">
        <f t="shared" si="58"/>
        <v>965322000</v>
      </c>
      <c r="O637" s="89">
        <f t="shared" si="59"/>
        <v>266232000</v>
      </c>
      <c r="P637" s="87">
        <f t="shared" si="55"/>
        <v>6.6700371943914288E-2</v>
      </c>
      <c r="Q637" s="87">
        <f t="shared" si="56"/>
        <v>0.30854709377165557</v>
      </c>
    </row>
    <row r="638" spans="1:17">
      <c r="A638" s="83">
        <v>664</v>
      </c>
      <c r="B638" s="83" t="s">
        <v>269</v>
      </c>
      <c r="C638" s="83" t="s">
        <v>18</v>
      </c>
      <c r="D638" s="84">
        <v>41910</v>
      </c>
      <c r="E638" s="85">
        <f t="shared" si="54"/>
        <v>2014</v>
      </c>
      <c r="F638" s="86">
        <v>3409900000</v>
      </c>
      <c r="G638" s="86">
        <v>2141600000</v>
      </c>
      <c r="H638" s="86">
        <v>489700000</v>
      </c>
      <c r="I638" s="86">
        <v>112000000</v>
      </c>
      <c r="J638" s="86">
        <v>0</v>
      </c>
      <c r="K638" s="83" t="s">
        <v>65</v>
      </c>
      <c r="L638" s="83" t="s">
        <v>199</v>
      </c>
      <c r="M638" s="91">
        <f t="shared" si="57"/>
        <v>1268300000</v>
      </c>
      <c r="N638" s="86">
        <f t="shared" si="58"/>
        <v>601700000</v>
      </c>
      <c r="O638" s="86">
        <f t="shared" si="59"/>
        <v>666600000</v>
      </c>
      <c r="P638" s="83">
        <f t="shared" si="55"/>
        <v>0.19548960380069796</v>
      </c>
      <c r="Q638" s="83">
        <f t="shared" si="56"/>
        <v>0.37194639138977681</v>
      </c>
    </row>
    <row r="639" spans="1:17">
      <c r="A639" s="87">
        <v>665</v>
      </c>
      <c r="B639" s="87" t="s">
        <v>269</v>
      </c>
      <c r="C639" s="87" t="s">
        <v>21</v>
      </c>
      <c r="D639" s="84">
        <v>41911</v>
      </c>
      <c r="E639" s="88">
        <f t="shared" ref="E639:E702" si="60">YEAR(D639)</f>
        <v>2014</v>
      </c>
      <c r="F639" s="89">
        <v>3130700000</v>
      </c>
      <c r="G639" s="89">
        <v>1929800000</v>
      </c>
      <c r="H639" s="89">
        <v>496100000</v>
      </c>
      <c r="I639" s="89">
        <v>115600000</v>
      </c>
      <c r="J639" s="89">
        <v>0</v>
      </c>
      <c r="K639" s="87" t="s">
        <v>65</v>
      </c>
      <c r="L639" s="87" t="s">
        <v>199</v>
      </c>
      <c r="M639" s="90">
        <f t="shared" si="57"/>
        <v>1200900000</v>
      </c>
      <c r="N639" s="89">
        <f t="shared" si="58"/>
        <v>611700000</v>
      </c>
      <c r="O639" s="89">
        <f t="shared" si="59"/>
        <v>589200000</v>
      </c>
      <c r="P639" s="87">
        <f t="shared" si="55"/>
        <v>0.18820072188328488</v>
      </c>
      <c r="Q639" s="87">
        <f t="shared" si="56"/>
        <v>0.38358833487718402</v>
      </c>
    </row>
    <row r="640" spans="1:17">
      <c r="A640" s="83">
        <v>666</v>
      </c>
      <c r="B640" s="83" t="s">
        <v>269</v>
      </c>
      <c r="C640" s="83" t="s">
        <v>22</v>
      </c>
      <c r="D640" s="84">
        <v>41912</v>
      </c>
      <c r="E640" s="85">
        <f t="shared" si="60"/>
        <v>2014</v>
      </c>
      <c r="F640" s="86">
        <v>3258700000</v>
      </c>
      <c r="G640" s="86">
        <v>2047800000</v>
      </c>
      <c r="H640" s="86">
        <v>589800000</v>
      </c>
      <c r="I640" s="86">
        <v>126300000</v>
      </c>
      <c r="J640" s="86">
        <v>0</v>
      </c>
      <c r="K640" s="83" t="s">
        <v>65</v>
      </c>
      <c r="L640" s="83" t="s">
        <v>199</v>
      </c>
      <c r="M640" s="91">
        <f t="shared" si="57"/>
        <v>1210900000</v>
      </c>
      <c r="N640" s="86">
        <f t="shared" si="58"/>
        <v>716100000</v>
      </c>
      <c r="O640" s="86">
        <f t="shared" si="59"/>
        <v>494800000</v>
      </c>
      <c r="P640" s="83">
        <f t="shared" si="55"/>
        <v>0.15183969067419523</v>
      </c>
      <c r="Q640" s="83">
        <f t="shared" si="56"/>
        <v>0.37158989781201091</v>
      </c>
    </row>
    <row r="641" spans="1:17">
      <c r="A641" s="87">
        <v>667</v>
      </c>
      <c r="B641" s="87" t="s">
        <v>269</v>
      </c>
      <c r="C641" s="87" t="s">
        <v>23</v>
      </c>
      <c r="D641" s="84">
        <v>41913</v>
      </c>
      <c r="E641" s="88">
        <f t="shared" si="60"/>
        <v>2014</v>
      </c>
      <c r="F641" s="89">
        <v>3276500000</v>
      </c>
      <c r="G641" s="89">
        <v>2201100000</v>
      </c>
      <c r="H641" s="89">
        <v>737900000</v>
      </c>
      <c r="I641" s="89">
        <v>143700000</v>
      </c>
      <c r="J641" s="89">
        <v>0</v>
      </c>
      <c r="K641" s="87" t="s">
        <v>65</v>
      </c>
      <c r="L641" s="87" t="s">
        <v>199</v>
      </c>
      <c r="M641" s="90">
        <f t="shared" si="57"/>
        <v>1075400000</v>
      </c>
      <c r="N641" s="89">
        <f t="shared" si="58"/>
        <v>881600000</v>
      </c>
      <c r="O641" s="89">
        <f t="shared" si="59"/>
        <v>193800000</v>
      </c>
      <c r="P641" s="87">
        <f t="shared" si="55"/>
        <v>5.9148481611475658E-2</v>
      </c>
      <c r="Q641" s="87">
        <f t="shared" si="56"/>
        <v>0.32821608423622772</v>
      </c>
    </row>
    <row r="642" spans="1:17">
      <c r="A642" s="83">
        <v>668</v>
      </c>
      <c r="B642" s="83" t="s">
        <v>270</v>
      </c>
      <c r="C642" s="83" t="s">
        <v>18</v>
      </c>
      <c r="D642" s="84">
        <v>41914</v>
      </c>
      <c r="E642" s="85">
        <f t="shared" si="60"/>
        <v>2014</v>
      </c>
      <c r="F642" s="86">
        <v>637413000</v>
      </c>
      <c r="G642" s="86">
        <v>190454000</v>
      </c>
      <c r="H642" s="86">
        <v>31970000</v>
      </c>
      <c r="I642" s="86">
        <v>0</v>
      </c>
      <c r="J642" s="86">
        <v>160828000</v>
      </c>
      <c r="K642" s="83" t="s">
        <v>58</v>
      </c>
      <c r="L642" s="83" t="s">
        <v>271</v>
      </c>
      <c r="M642" s="91">
        <f t="shared" si="57"/>
        <v>446959000</v>
      </c>
      <c r="N642" s="86">
        <f t="shared" si="58"/>
        <v>192798000</v>
      </c>
      <c r="O642" s="86">
        <f t="shared" si="59"/>
        <v>254161000</v>
      </c>
      <c r="P642" s="83">
        <f t="shared" ref="P642:P705" si="61">O642/F642</f>
        <v>0.39873833762411498</v>
      </c>
      <c r="Q642" s="83">
        <f t="shared" ref="Q642:Q705" si="62">1-G642/F642</f>
        <v>0.70120785111066142</v>
      </c>
    </row>
    <row r="643" spans="1:17">
      <c r="A643" s="87">
        <v>669</v>
      </c>
      <c r="B643" s="87" t="s">
        <v>270</v>
      </c>
      <c r="C643" s="87" t="s">
        <v>21</v>
      </c>
      <c r="D643" s="84">
        <v>41915</v>
      </c>
      <c r="E643" s="88">
        <f t="shared" si="60"/>
        <v>2014</v>
      </c>
      <c r="F643" s="89">
        <v>686090000</v>
      </c>
      <c r="G643" s="89">
        <v>211923000</v>
      </c>
      <c r="H643" s="89">
        <v>32316000</v>
      </c>
      <c r="I643" s="89">
        <v>0</v>
      </c>
      <c r="J643" s="89">
        <v>170814000</v>
      </c>
      <c r="K643" s="87" t="s">
        <v>58</v>
      </c>
      <c r="L643" s="87" t="s">
        <v>271</v>
      </c>
      <c r="M643" s="90">
        <f t="shared" ref="M643:M706" si="63">F643-G643</f>
        <v>474167000</v>
      </c>
      <c r="N643" s="89">
        <f t="shared" ref="N643:N706" si="64">H643+I643+J643</f>
        <v>203130000</v>
      </c>
      <c r="O643" s="89">
        <f t="shared" ref="O643:O706" si="65">M643-N643</f>
        <v>271037000</v>
      </c>
      <c r="P643" s="87">
        <f t="shared" si="61"/>
        <v>0.39504583946712529</v>
      </c>
      <c r="Q643" s="87">
        <f t="shared" si="62"/>
        <v>0.69111486831173752</v>
      </c>
    </row>
    <row r="644" spans="1:17">
      <c r="A644" s="83">
        <v>670</v>
      </c>
      <c r="B644" s="83" t="s">
        <v>270</v>
      </c>
      <c r="C644" s="83" t="s">
        <v>22</v>
      </c>
      <c r="D644" s="84">
        <v>41916</v>
      </c>
      <c r="E644" s="85">
        <f t="shared" si="60"/>
        <v>2014</v>
      </c>
      <c r="F644" s="86">
        <v>744012000</v>
      </c>
      <c r="G644" s="86">
        <v>233417000</v>
      </c>
      <c r="H644" s="86">
        <v>35645000</v>
      </c>
      <c r="I644" s="86">
        <v>0</v>
      </c>
      <c r="J644" s="86">
        <v>174796000</v>
      </c>
      <c r="K644" s="83" t="s">
        <v>58</v>
      </c>
      <c r="L644" s="83" t="s">
        <v>271</v>
      </c>
      <c r="M644" s="91">
        <f t="shared" si="63"/>
        <v>510595000</v>
      </c>
      <c r="N644" s="86">
        <f t="shared" si="64"/>
        <v>210441000</v>
      </c>
      <c r="O644" s="86">
        <f t="shared" si="65"/>
        <v>300154000</v>
      </c>
      <c r="P644" s="83">
        <f t="shared" si="61"/>
        <v>0.40342628882329856</v>
      </c>
      <c r="Q644" s="83">
        <f t="shared" si="62"/>
        <v>0.68627253323871118</v>
      </c>
    </row>
    <row r="645" spans="1:17">
      <c r="A645" s="87">
        <v>671</v>
      </c>
      <c r="B645" s="87" t="s">
        <v>270</v>
      </c>
      <c r="C645" s="87" t="s">
        <v>23</v>
      </c>
      <c r="D645" s="84">
        <v>41917</v>
      </c>
      <c r="E645" s="88">
        <f t="shared" si="60"/>
        <v>2014</v>
      </c>
      <c r="F645" s="89">
        <v>801591000</v>
      </c>
      <c r="G645" s="89">
        <v>253612000</v>
      </c>
      <c r="H645" s="89">
        <v>33399000</v>
      </c>
      <c r="I645" s="89">
        <v>0</v>
      </c>
      <c r="J645" s="89">
        <v>193585000</v>
      </c>
      <c r="K645" s="87" t="s">
        <v>58</v>
      </c>
      <c r="L645" s="87" t="s">
        <v>271</v>
      </c>
      <c r="M645" s="90">
        <f t="shared" si="63"/>
        <v>547979000</v>
      </c>
      <c r="N645" s="89">
        <f t="shared" si="64"/>
        <v>226984000</v>
      </c>
      <c r="O645" s="89">
        <f t="shared" si="65"/>
        <v>320995000</v>
      </c>
      <c r="P645" s="87">
        <f t="shared" si="61"/>
        <v>0.40044736031217915</v>
      </c>
      <c r="Q645" s="87">
        <f t="shared" si="62"/>
        <v>0.68361421223541674</v>
      </c>
    </row>
    <row r="646" spans="1:17">
      <c r="A646" s="83">
        <v>672</v>
      </c>
      <c r="B646" s="83" t="s">
        <v>272</v>
      </c>
      <c r="C646" s="83" t="s">
        <v>18</v>
      </c>
      <c r="D646" s="84">
        <v>41918</v>
      </c>
      <c r="E646" s="85">
        <f t="shared" si="60"/>
        <v>2014</v>
      </c>
      <c r="F646" s="86">
        <v>3368545000</v>
      </c>
      <c r="G646" s="86">
        <v>2515796000</v>
      </c>
      <c r="H646" s="86">
        <v>280928000</v>
      </c>
      <c r="I646" s="86">
        <v>132460000</v>
      </c>
      <c r="J646" s="86">
        <v>0</v>
      </c>
      <c r="K646" s="83" t="s">
        <v>28</v>
      </c>
      <c r="L646" s="83" t="s">
        <v>40</v>
      </c>
      <c r="M646" s="91">
        <f t="shared" si="63"/>
        <v>852749000</v>
      </c>
      <c r="N646" s="86">
        <f t="shared" si="64"/>
        <v>413388000</v>
      </c>
      <c r="O646" s="86">
        <f t="shared" si="65"/>
        <v>439361000</v>
      </c>
      <c r="P646" s="83">
        <f t="shared" si="61"/>
        <v>0.13043049744028951</v>
      </c>
      <c r="Q646" s="83">
        <f t="shared" si="62"/>
        <v>0.25315054422606798</v>
      </c>
    </row>
    <row r="647" spans="1:17">
      <c r="A647" s="87">
        <v>673</v>
      </c>
      <c r="B647" s="87" t="s">
        <v>272</v>
      </c>
      <c r="C647" s="87" t="s">
        <v>21</v>
      </c>
      <c r="D647" s="84">
        <v>41919</v>
      </c>
      <c r="E647" s="88">
        <f t="shared" si="60"/>
        <v>2014</v>
      </c>
      <c r="F647" s="89">
        <v>3309616000</v>
      </c>
      <c r="G647" s="89">
        <v>2444984000</v>
      </c>
      <c r="H647" s="89">
        <v>270261000</v>
      </c>
      <c r="I647" s="89">
        <v>134300000</v>
      </c>
      <c r="J647" s="89">
        <v>0</v>
      </c>
      <c r="K647" s="87" t="s">
        <v>28</v>
      </c>
      <c r="L647" s="87" t="s">
        <v>40</v>
      </c>
      <c r="M647" s="90">
        <f t="shared" si="63"/>
        <v>864632000</v>
      </c>
      <c r="N647" s="89">
        <f t="shared" si="64"/>
        <v>404561000</v>
      </c>
      <c r="O647" s="89">
        <f t="shared" si="65"/>
        <v>460071000</v>
      </c>
      <c r="P647" s="87">
        <f t="shared" si="61"/>
        <v>0.13901038670347254</v>
      </c>
      <c r="Q647" s="87">
        <f t="shared" si="62"/>
        <v>0.2612484348637425</v>
      </c>
    </row>
    <row r="648" spans="1:17">
      <c r="A648" s="83">
        <v>674</v>
      </c>
      <c r="B648" s="83" t="s">
        <v>272</v>
      </c>
      <c r="C648" s="83" t="s">
        <v>22</v>
      </c>
      <c r="D648" s="84">
        <v>41920</v>
      </c>
      <c r="E648" s="85">
        <f t="shared" si="60"/>
        <v>2014</v>
      </c>
      <c r="F648" s="86">
        <v>3391187000</v>
      </c>
      <c r="G648" s="86">
        <v>2566246000</v>
      </c>
      <c r="H648" s="86">
        <v>253827000</v>
      </c>
      <c r="I648" s="86">
        <v>143969000</v>
      </c>
      <c r="J648" s="86">
        <v>0</v>
      </c>
      <c r="K648" s="83" t="s">
        <v>28</v>
      </c>
      <c r="L648" s="83" t="s">
        <v>40</v>
      </c>
      <c r="M648" s="91">
        <f t="shared" si="63"/>
        <v>824941000</v>
      </c>
      <c r="N648" s="86">
        <f t="shared" si="64"/>
        <v>397796000</v>
      </c>
      <c r="O648" s="86">
        <f t="shared" si="65"/>
        <v>427145000</v>
      </c>
      <c r="P648" s="83">
        <f t="shared" si="61"/>
        <v>0.12595737126852632</v>
      </c>
      <c r="Q648" s="83">
        <f t="shared" si="62"/>
        <v>0.24326025076175395</v>
      </c>
    </row>
    <row r="649" spans="1:17">
      <c r="A649" s="87">
        <v>675</v>
      </c>
      <c r="B649" s="87" t="s">
        <v>272</v>
      </c>
      <c r="C649" s="87" t="s">
        <v>23</v>
      </c>
      <c r="D649" s="84">
        <v>41921</v>
      </c>
      <c r="E649" s="88">
        <f t="shared" si="60"/>
        <v>2014</v>
      </c>
      <c r="F649" s="89">
        <v>3578995000</v>
      </c>
      <c r="G649" s="89">
        <v>2659728000</v>
      </c>
      <c r="H649" s="89">
        <v>255192000</v>
      </c>
      <c r="I649" s="89">
        <v>130593000</v>
      </c>
      <c r="J649" s="89">
        <v>0</v>
      </c>
      <c r="K649" s="87" t="s">
        <v>28</v>
      </c>
      <c r="L649" s="87" t="s">
        <v>40</v>
      </c>
      <c r="M649" s="90">
        <f t="shared" si="63"/>
        <v>919267000</v>
      </c>
      <c r="N649" s="89">
        <f t="shared" si="64"/>
        <v>385785000</v>
      </c>
      <c r="O649" s="89">
        <f t="shared" si="65"/>
        <v>533482000</v>
      </c>
      <c r="P649" s="87">
        <f t="shared" si="61"/>
        <v>0.1490591632567243</v>
      </c>
      <c r="Q649" s="87">
        <f t="shared" si="62"/>
        <v>0.25685059632662244</v>
      </c>
    </row>
    <row r="650" spans="1:17">
      <c r="A650" s="83">
        <v>676</v>
      </c>
      <c r="B650" s="83" t="s">
        <v>273</v>
      </c>
      <c r="C650" s="83" t="s">
        <v>18</v>
      </c>
      <c r="D650" s="84">
        <v>41922</v>
      </c>
      <c r="E650" s="85">
        <f t="shared" si="60"/>
        <v>2014</v>
      </c>
      <c r="F650" s="86">
        <v>5011853000</v>
      </c>
      <c r="G650" s="86">
        <v>0</v>
      </c>
      <c r="H650" s="86">
        <v>2676141000</v>
      </c>
      <c r="I650" s="86">
        <v>0</v>
      </c>
      <c r="J650" s="86">
        <v>1266807000</v>
      </c>
      <c r="K650" s="83" t="s">
        <v>188</v>
      </c>
      <c r="L650" s="83" t="s">
        <v>189</v>
      </c>
      <c r="M650" s="91">
        <f t="shared" si="63"/>
        <v>5011853000</v>
      </c>
      <c r="N650" s="86">
        <f t="shared" si="64"/>
        <v>3942948000</v>
      </c>
      <c r="O650" s="86">
        <f t="shared" si="65"/>
        <v>1068905000</v>
      </c>
      <c r="P650" s="83">
        <f t="shared" si="61"/>
        <v>0.21327540931467862</v>
      </c>
      <c r="Q650" s="83">
        <f t="shared" si="62"/>
        <v>1</v>
      </c>
    </row>
    <row r="651" spans="1:17">
      <c r="A651" s="87">
        <v>677</v>
      </c>
      <c r="B651" s="87" t="s">
        <v>273</v>
      </c>
      <c r="C651" s="87" t="s">
        <v>21</v>
      </c>
      <c r="D651" s="84">
        <v>41923</v>
      </c>
      <c r="E651" s="88">
        <f t="shared" si="60"/>
        <v>2014</v>
      </c>
      <c r="F651" s="89">
        <v>4762000000</v>
      </c>
      <c r="G651" s="89">
        <v>0</v>
      </c>
      <c r="H651" s="89">
        <v>2616000000</v>
      </c>
      <c r="I651" s="89">
        <v>0</v>
      </c>
      <c r="J651" s="89">
        <v>1170000000</v>
      </c>
      <c r="K651" s="87" t="s">
        <v>188</v>
      </c>
      <c r="L651" s="87" t="s">
        <v>189</v>
      </c>
      <c r="M651" s="90">
        <f t="shared" si="63"/>
        <v>4762000000</v>
      </c>
      <c r="N651" s="89">
        <f t="shared" si="64"/>
        <v>3786000000</v>
      </c>
      <c r="O651" s="89">
        <f t="shared" si="65"/>
        <v>976000000</v>
      </c>
      <c r="P651" s="87">
        <f t="shared" si="61"/>
        <v>0.20495590088198237</v>
      </c>
      <c r="Q651" s="87">
        <f t="shared" si="62"/>
        <v>1</v>
      </c>
    </row>
    <row r="652" spans="1:17">
      <c r="A652" s="83">
        <v>678</v>
      </c>
      <c r="B652" s="83" t="s">
        <v>273</v>
      </c>
      <c r="C652" s="83" t="s">
        <v>22</v>
      </c>
      <c r="D652" s="84">
        <v>41924</v>
      </c>
      <c r="E652" s="85">
        <f t="shared" si="60"/>
        <v>2014</v>
      </c>
      <c r="F652" s="86">
        <v>4772000000</v>
      </c>
      <c r="G652" s="86">
        <v>0</v>
      </c>
      <c r="H652" s="86">
        <v>2671000000</v>
      </c>
      <c r="I652" s="86">
        <v>0</v>
      </c>
      <c r="J652" s="86">
        <v>1139000000</v>
      </c>
      <c r="K652" s="83" t="s">
        <v>188</v>
      </c>
      <c r="L652" s="83" t="s">
        <v>189</v>
      </c>
      <c r="M652" s="91">
        <f t="shared" si="63"/>
        <v>4772000000</v>
      </c>
      <c r="N652" s="86">
        <f t="shared" si="64"/>
        <v>3810000000</v>
      </c>
      <c r="O652" s="86">
        <f t="shared" si="65"/>
        <v>962000000</v>
      </c>
      <c r="P652" s="83">
        <f t="shared" si="61"/>
        <v>0.20159262363788769</v>
      </c>
      <c r="Q652" s="83">
        <f t="shared" si="62"/>
        <v>1</v>
      </c>
    </row>
    <row r="653" spans="1:17">
      <c r="A653" s="87">
        <v>679</v>
      </c>
      <c r="B653" s="87" t="s">
        <v>273</v>
      </c>
      <c r="C653" s="87" t="s">
        <v>23</v>
      </c>
      <c r="D653" s="84">
        <v>41925</v>
      </c>
      <c r="E653" s="88">
        <f t="shared" si="60"/>
        <v>2014</v>
      </c>
      <c r="F653" s="89">
        <v>5576000000</v>
      </c>
      <c r="G653" s="89">
        <v>0</v>
      </c>
      <c r="H653" s="89">
        <v>3275000000</v>
      </c>
      <c r="I653" s="89">
        <v>0</v>
      </c>
      <c r="J653" s="89">
        <v>1320000000</v>
      </c>
      <c r="K653" s="87" t="s">
        <v>188</v>
      </c>
      <c r="L653" s="87" t="s">
        <v>189</v>
      </c>
      <c r="M653" s="90">
        <f t="shared" si="63"/>
        <v>5576000000</v>
      </c>
      <c r="N653" s="89">
        <f t="shared" si="64"/>
        <v>4595000000</v>
      </c>
      <c r="O653" s="89">
        <f t="shared" si="65"/>
        <v>981000000</v>
      </c>
      <c r="P653" s="87">
        <f t="shared" si="61"/>
        <v>0.17593256814921091</v>
      </c>
      <c r="Q653" s="87">
        <f t="shared" si="62"/>
        <v>1</v>
      </c>
    </row>
    <row r="654" spans="1:17">
      <c r="A654" s="83">
        <v>680</v>
      </c>
      <c r="B654" s="83" t="s">
        <v>274</v>
      </c>
      <c r="C654" s="83" t="s">
        <v>18</v>
      </c>
      <c r="D654" s="84">
        <v>41926</v>
      </c>
      <c r="E654" s="85">
        <f t="shared" si="60"/>
        <v>2014</v>
      </c>
      <c r="F654" s="86">
        <v>30930000000</v>
      </c>
      <c r="G654" s="86">
        <v>25202000000</v>
      </c>
      <c r="H654" s="86">
        <v>2039000000</v>
      </c>
      <c r="I654" s="86">
        <v>0</v>
      </c>
      <c r="J654" s="86">
        <v>0</v>
      </c>
      <c r="K654" s="83" t="s">
        <v>19</v>
      </c>
      <c r="L654" s="83" t="s">
        <v>97</v>
      </c>
      <c r="M654" s="91">
        <f t="shared" si="63"/>
        <v>5728000000</v>
      </c>
      <c r="N654" s="86">
        <f t="shared" si="64"/>
        <v>2039000000</v>
      </c>
      <c r="O654" s="86">
        <f t="shared" si="65"/>
        <v>3689000000</v>
      </c>
      <c r="P654" s="83">
        <f t="shared" si="61"/>
        <v>0.11926931781441966</v>
      </c>
      <c r="Q654" s="83">
        <f t="shared" si="62"/>
        <v>0.18519236986744259</v>
      </c>
    </row>
    <row r="655" spans="1:17">
      <c r="A655" s="87">
        <v>681</v>
      </c>
      <c r="B655" s="87" t="s">
        <v>274</v>
      </c>
      <c r="C655" s="87" t="s">
        <v>21</v>
      </c>
      <c r="D655" s="84">
        <v>41927</v>
      </c>
      <c r="E655" s="88">
        <f t="shared" si="60"/>
        <v>2014</v>
      </c>
      <c r="F655" s="89">
        <v>30852000000</v>
      </c>
      <c r="G655" s="89">
        <v>24979000000</v>
      </c>
      <c r="H655" s="89">
        <v>1984000000</v>
      </c>
      <c r="I655" s="89">
        <v>0</v>
      </c>
      <c r="J655" s="89">
        <v>0</v>
      </c>
      <c r="K655" s="87" t="s">
        <v>19</v>
      </c>
      <c r="L655" s="87" t="s">
        <v>97</v>
      </c>
      <c r="M655" s="90">
        <f t="shared" si="63"/>
        <v>5873000000</v>
      </c>
      <c r="N655" s="89">
        <f t="shared" si="64"/>
        <v>1984000000</v>
      </c>
      <c r="O655" s="89">
        <f t="shared" si="65"/>
        <v>3889000000</v>
      </c>
      <c r="P655" s="87">
        <f t="shared" si="61"/>
        <v>0.12605341631012576</v>
      </c>
      <c r="Q655" s="87">
        <f t="shared" si="62"/>
        <v>0.19036043044211071</v>
      </c>
    </row>
    <row r="656" spans="1:17">
      <c r="A656" s="83">
        <v>682</v>
      </c>
      <c r="B656" s="83" t="s">
        <v>274</v>
      </c>
      <c r="C656" s="83" t="s">
        <v>22</v>
      </c>
      <c r="D656" s="84">
        <v>41928</v>
      </c>
      <c r="E656" s="85">
        <f t="shared" si="60"/>
        <v>2014</v>
      </c>
      <c r="F656" s="86">
        <v>31469000000</v>
      </c>
      <c r="G656" s="86">
        <v>25339000000</v>
      </c>
      <c r="H656" s="86">
        <v>1952000000</v>
      </c>
      <c r="I656" s="86">
        <v>0</v>
      </c>
      <c r="J656" s="86">
        <v>0</v>
      </c>
      <c r="K656" s="83" t="s">
        <v>19</v>
      </c>
      <c r="L656" s="83" t="s">
        <v>97</v>
      </c>
      <c r="M656" s="91">
        <f t="shared" si="63"/>
        <v>6130000000</v>
      </c>
      <c r="N656" s="86">
        <f t="shared" si="64"/>
        <v>1952000000</v>
      </c>
      <c r="O656" s="86">
        <f t="shared" si="65"/>
        <v>4178000000</v>
      </c>
      <c r="P656" s="83">
        <f t="shared" si="61"/>
        <v>0.13276557882360418</v>
      </c>
      <c r="Q656" s="83">
        <f t="shared" si="62"/>
        <v>0.19479487749849056</v>
      </c>
    </row>
    <row r="657" spans="1:17">
      <c r="A657" s="87">
        <v>683</v>
      </c>
      <c r="B657" s="87" t="s">
        <v>274</v>
      </c>
      <c r="C657" s="87" t="s">
        <v>23</v>
      </c>
      <c r="D657" s="84">
        <v>41929</v>
      </c>
      <c r="E657" s="88">
        <f t="shared" si="60"/>
        <v>2014</v>
      </c>
      <c r="F657" s="89">
        <v>31353000000</v>
      </c>
      <c r="G657" s="89">
        <v>25104000000</v>
      </c>
      <c r="H657" s="89">
        <v>1940000000</v>
      </c>
      <c r="I657" s="89">
        <v>0</v>
      </c>
      <c r="J657" s="89">
        <v>0</v>
      </c>
      <c r="K657" s="87" t="s">
        <v>19</v>
      </c>
      <c r="L657" s="87" t="s">
        <v>97</v>
      </c>
      <c r="M657" s="90">
        <f t="shared" si="63"/>
        <v>6249000000</v>
      </c>
      <c r="N657" s="89">
        <f t="shared" si="64"/>
        <v>1940000000</v>
      </c>
      <c r="O657" s="89">
        <f t="shared" si="65"/>
        <v>4309000000</v>
      </c>
      <c r="P657" s="87">
        <f t="shared" si="61"/>
        <v>0.13743501419321916</v>
      </c>
      <c r="Q657" s="87">
        <f t="shared" si="62"/>
        <v>0.19931107071093679</v>
      </c>
    </row>
    <row r="658" spans="1:17">
      <c r="A658" s="83">
        <v>684</v>
      </c>
      <c r="B658" s="83" t="s">
        <v>275</v>
      </c>
      <c r="C658" s="83" t="s">
        <v>18</v>
      </c>
      <c r="D658" s="84">
        <v>41930</v>
      </c>
      <c r="E658" s="85">
        <f t="shared" si="60"/>
        <v>2014</v>
      </c>
      <c r="F658" s="86">
        <v>2426301000</v>
      </c>
      <c r="G658" s="86">
        <v>800336000</v>
      </c>
      <c r="H658" s="86">
        <v>72163000</v>
      </c>
      <c r="I658" s="86">
        <v>0</v>
      </c>
      <c r="J658" s="86">
        <v>768820000</v>
      </c>
      <c r="K658" s="83" t="s">
        <v>58</v>
      </c>
      <c r="L658" s="83" t="s">
        <v>271</v>
      </c>
      <c r="M658" s="91">
        <f t="shared" si="63"/>
        <v>1625965000</v>
      </c>
      <c r="N658" s="86">
        <f t="shared" si="64"/>
        <v>840983000</v>
      </c>
      <c r="O658" s="86">
        <f t="shared" si="65"/>
        <v>784982000</v>
      </c>
      <c r="P658" s="83">
        <f t="shared" si="61"/>
        <v>0.32353034516327528</v>
      </c>
      <c r="Q658" s="83">
        <f t="shared" si="62"/>
        <v>0.67014150346556345</v>
      </c>
    </row>
    <row r="659" spans="1:17">
      <c r="A659" s="87">
        <v>685</v>
      </c>
      <c r="B659" s="87" t="s">
        <v>275</v>
      </c>
      <c r="C659" s="87" t="s">
        <v>21</v>
      </c>
      <c r="D659" s="84">
        <v>41931</v>
      </c>
      <c r="E659" s="88">
        <f t="shared" si="60"/>
        <v>2014</v>
      </c>
      <c r="F659" s="89">
        <v>2486017000</v>
      </c>
      <c r="G659" s="89">
        <v>815095000</v>
      </c>
      <c r="H659" s="89">
        <v>76864000</v>
      </c>
      <c r="I659" s="89">
        <v>0</v>
      </c>
      <c r="J659" s="89">
        <v>749722000</v>
      </c>
      <c r="K659" s="87" t="s">
        <v>58</v>
      </c>
      <c r="L659" s="87" t="s">
        <v>271</v>
      </c>
      <c r="M659" s="90">
        <f t="shared" si="63"/>
        <v>1670922000</v>
      </c>
      <c r="N659" s="89">
        <f t="shared" si="64"/>
        <v>826586000</v>
      </c>
      <c r="O659" s="89">
        <f t="shared" si="65"/>
        <v>844336000</v>
      </c>
      <c r="P659" s="87">
        <f t="shared" si="61"/>
        <v>0.33963404111878559</v>
      </c>
      <c r="Q659" s="87">
        <f t="shared" si="62"/>
        <v>0.67212814715265423</v>
      </c>
    </row>
    <row r="660" spans="1:17">
      <c r="A660" s="83">
        <v>686</v>
      </c>
      <c r="B660" s="83" t="s">
        <v>275</v>
      </c>
      <c r="C660" s="83" t="s">
        <v>22</v>
      </c>
      <c r="D660" s="84">
        <v>41932</v>
      </c>
      <c r="E660" s="85">
        <f t="shared" si="60"/>
        <v>2014</v>
      </c>
      <c r="F660" s="86">
        <v>2535559000</v>
      </c>
      <c r="G660" s="86">
        <v>783602000</v>
      </c>
      <c r="H660" s="86">
        <v>88705000</v>
      </c>
      <c r="I660" s="86">
        <v>0</v>
      </c>
      <c r="J660" s="86">
        <v>708406000</v>
      </c>
      <c r="K660" s="83" t="s">
        <v>58</v>
      </c>
      <c r="L660" s="83" t="s">
        <v>271</v>
      </c>
      <c r="M660" s="91">
        <f t="shared" si="63"/>
        <v>1751957000</v>
      </c>
      <c r="N660" s="86">
        <f t="shared" si="64"/>
        <v>797111000</v>
      </c>
      <c r="O660" s="86">
        <f t="shared" si="65"/>
        <v>954846000</v>
      </c>
      <c r="P660" s="83">
        <f t="shared" si="61"/>
        <v>0.37658204758792835</v>
      </c>
      <c r="Q660" s="83">
        <f t="shared" si="62"/>
        <v>0.69095493340916148</v>
      </c>
    </row>
    <row r="661" spans="1:17">
      <c r="A661" s="87">
        <v>687</v>
      </c>
      <c r="B661" s="87" t="s">
        <v>275</v>
      </c>
      <c r="C661" s="87" t="s">
        <v>23</v>
      </c>
      <c r="D661" s="84">
        <v>41933</v>
      </c>
      <c r="E661" s="88">
        <f t="shared" si="60"/>
        <v>2014</v>
      </c>
      <c r="F661" s="89">
        <v>2403906000</v>
      </c>
      <c r="G661" s="89">
        <v>747276000</v>
      </c>
      <c r="H661" s="89">
        <v>72363000</v>
      </c>
      <c r="I661" s="89">
        <v>0</v>
      </c>
      <c r="J661" s="89">
        <v>643689000</v>
      </c>
      <c r="K661" s="87" t="s">
        <v>58</v>
      </c>
      <c r="L661" s="87" t="s">
        <v>271</v>
      </c>
      <c r="M661" s="90">
        <f t="shared" si="63"/>
        <v>1656630000</v>
      </c>
      <c r="N661" s="89">
        <f t="shared" si="64"/>
        <v>716052000</v>
      </c>
      <c r="O661" s="89">
        <f t="shared" si="65"/>
        <v>940578000</v>
      </c>
      <c r="P661" s="87">
        <f t="shared" si="61"/>
        <v>0.3912707069244804</v>
      </c>
      <c r="Q661" s="87">
        <f t="shared" si="62"/>
        <v>0.68914092314757736</v>
      </c>
    </row>
    <row r="662" spans="1:17">
      <c r="A662" s="83">
        <v>688</v>
      </c>
      <c r="B662" s="83" t="s">
        <v>276</v>
      </c>
      <c r="C662" s="83" t="s">
        <v>18</v>
      </c>
      <c r="D662" s="84">
        <v>41934</v>
      </c>
      <c r="E662" s="85">
        <f t="shared" si="60"/>
        <v>2014</v>
      </c>
      <c r="F662" s="86">
        <v>9702000000</v>
      </c>
      <c r="G662" s="86">
        <v>2471000000</v>
      </c>
      <c r="H662" s="86">
        <v>1461000000</v>
      </c>
      <c r="I662" s="86">
        <v>1760000000</v>
      </c>
      <c r="J662" s="86">
        <v>0</v>
      </c>
      <c r="K662" s="83" t="s">
        <v>31</v>
      </c>
      <c r="L662" s="83" t="s">
        <v>72</v>
      </c>
      <c r="M662" s="91">
        <f t="shared" si="63"/>
        <v>7231000000</v>
      </c>
      <c r="N662" s="86">
        <f t="shared" si="64"/>
        <v>3221000000</v>
      </c>
      <c r="O662" s="86">
        <f t="shared" si="65"/>
        <v>4010000000</v>
      </c>
      <c r="P662" s="83">
        <f t="shared" si="61"/>
        <v>0.41331684188827045</v>
      </c>
      <c r="Q662" s="83">
        <f t="shared" si="62"/>
        <v>0.74531024531024537</v>
      </c>
    </row>
    <row r="663" spans="1:17">
      <c r="A663" s="87">
        <v>689</v>
      </c>
      <c r="B663" s="87" t="s">
        <v>276</v>
      </c>
      <c r="C663" s="87" t="s">
        <v>21</v>
      </c>
      <c r="D663" s="84">
        <v>41935</v>
      </c>
      <c r="E663" s="88">
        <f t="shared" si="60"/>
        <v>2014</v>
      </c>
      <c r="F663" s="89">
        <v>11202000000</v>
      </c>
      <c r="G663" s="89">
        <v>2859000000</v>
      </c>
      <c r="H663" s="89">
        <v>1699000000</v>
      </c>
      <c r="I663" s="89">
        <v>2120000000</v>
      </c>
      <c r="J663" s="89">
        <v>0</v>
      </c>
      <c r="K663" s="87" t="s">
        <v>31</v>
      </c>
      <c r="L663" s="87" t="s">
        <v>72</v>
      </c>
      <c r="M663" s="90">
        <f t="shared" si="63"/>
        <v>8343000000</v>
      </c>
      <c r="N663" s="89">
        <f t="shared" si="64"/>
        <v>3819000000</v>
      </c>
      <c r="O663" s="89">
        <f t="shared" si="65"/>
        <v>4524000000</v>
      </c>
      <c r="P663" s="87">
        <f t="shared" si="61"/>
        <v>0.40385645420460631</v>
      </c>
      <c r="Q663" s="87">
        <f t="shared" si="62"/>
        <v>0.7447777182645956</v>
      </c>
    </row>
    <row r="664" spans="1:17">
      <c r="A664" s="83">
        <v>690</v>
      </c>
      <c r="B664" s="83" t="s">
        <v>276</v>
      </c>
      <c r="C664" s="83" t="s">
        <v>22</v>
      </c>
      <c r="D664" s="84">
        <v>41936</v>
      </c>
      <c r="E664" s="85">
        <f t="shared" si="60"/>
        <v>2014</v>
      </c>
      <c r="F664" s="86">
        <v>24890000000</v>
      </c>
      <c r="G664" s="86">
        <v>3788000000</v>
      </c>
      <c r="H664" s="86">
        <v>2983000000</v>
      </c>
      <c r="I664" s="86">
        <v>2854000000</v>
      </c>
      <c r="J664" s="86">
        <v>0</v>
      </c>
      <c r="K664" s="83" t="s">
        <v>31</v>
      </c>
      <c r="L664" s="83" t="s">
        <v>72</v>
      </c>
      <c r="M664" s="91">
        <f t="shared" si="63"/>
        <v>21102000000</v>
      </c>
      <c r="N664" s="86">
        <f t="shared" si="64"/>
        <v>5837000000</v>
      </c>
      <c r="O664" s="86">
        <f t="shared" si="65"/>
        <v>15265000000</v>
      </c>
      <c r="P664" s="83">
        <f t="shared" si="61"/>
        <v>0.6132985134592206</v>
      </c>
      <c r="Q664" s="83">
        <f t="shared" si="62"/>
        <v>0.84781036560867817</v>
      </c>
    </row>
    <row r="665" spans="1:17">
      <c r="A665" s="87">
        <v>691</v>
      </c>
      <c r="B665" s="87" t="s">
        <v>276</v>
      </c>
      <c r="C665" s="87" t="s">
        <v>23</v>
      </c>
      <c r="D665" s="84">
        <v>41937</v>
      </c>
      <c r="E665" s="88">
        <f t="shared" si="60"/>
        <v>2014</v>
      </c>
      <c r="F665" s="89">
        <v>32639000000</v>
      </c>
      <c r="G665" s="89">
        <v>4006000000</v>
      </c>
      <c r="H665" s="89">
        <v>3426000000</v>
      </c>
      <c r="I665" s="89">
        <v>3014000000</v>
      </c>
      <c r="J665" s="89">
        <v>0</v>
      </c>
      <c r="K665" s="87" t="s">
        <v>31</v>
      </c>
      <c r="L665" s="87" t="s">
        <v>72</v>
      </c>
      <c r="M665" s="90">
        <f t="shared" si="63"/>
        <v>28633000000</v>
      </c>
      <c r="N665" s="89">
        <f t="shared" si="64"/>
        <v>6440000000</v>
      </c>
      <c r="O665" s="89">
        <f t="shared" si="65"/>
        <v>22193000000</v>
      </c>
      <c r="P665" s="87">
        <f t="shared" si="61"/>
        <v>0.67995342994577035</v>
      </c>
      <c r="Q665" s="87">
        <f t="shared" si="62"/>
        <v>0.87726339655013941</v>
      </c>
    </row>
    <row r="666" spans="1:17">
      <c r="A666" s="83">
        <v>692</v>
      </c>
      <c r="B666" s="83" t="s">
        <v>277</v>
      </c>
      <c r="C666" s="83" t="s">
        <v>18</v>
      </c>
      <c r="D666" s="84">
        <v>41938</v>
      </c>
      <c r="E666" s="85">
        <f t="shared" si="60"/>
        <v>2014</v>
      </c>
      <c r="F666" s="86">
        <v>17774100000</v>
      </c>
      <c r="G666" s="86">
        <v>11350200000</v>
      </c>
      <c r="H666" s="86">
        <v>3552300000</v>
      </c>
      <c r="I666" s="86">
        <v>0</v>
      </c>
      <c r="J666" s="86">
        <v>0</v>
      </c>
      <c r="K666" s="83" t="s">
        <v>42</v>
      </c>
      <c r="L666" s="83" t="s">
        <v>130</v>
      </c>
      <c r="M666" s="91">
        <f t="shared" si="63"/>
        <v>6423900000</v>
      </c>
      <c r="N666" s="86">
        <f t="shared" si="64"/>
        <v>3552300000</v>
      </c>
      <c r="O666" s="86">
        <f t="shared" si="65"/>
        <v>2871600000</v>
      </c>
      <c r="P666" s="83">
        <f t="shared" si="61"/>
        <v>0.16156092291592825</v>
      </c>
      <c r="Q666" s="83">
        <f t="shared" si="62"/>
        <v>0.36141914358532923</v>
      </c>
    </row>
    <row r="667" spans="1:17">
      <c r="A667" s="87">
        <v>693</v>
      </c>
      <c r="B667" s="87" t="s">
        <v>277</v>
      </c>
      <c r="C667" s="87" t="s">
        <v>21</v>
      </c>
      <c r="D667" s="84">
        <v>41939</v>
      </c>
      <c r="E667" s="88">
        <f t="shared" si="60"/>
        <v>2014</v>
      </c>
      <c r="F667" s="89">
        <v>17909600000</v>
      </c>
      <c r="G667" s="89">
        <v>11539800000</v>
      </c>
      <c r="H667" s="89">
        <v>3474300000</v>
      </c>
      <c r="I667" s="89">
        <v>0</v>
      </c>
      <c r="J667" s="89">
        <v>0</v>
      </c>
      <c r="K667" s="87" t="s">
        <v>42</v>
      </c>
      <c r="L667" s="87" t="s">
        <v>130</v>
      </c>
      <c r="M667" s="90">
        <f t="shared" si="63"/>
        <v>6369800000</v>
      </c>
      <c r="N667" s="89">
        <f t="shared" si="64"/>
        <v>3474300000</v>
      </c>
      <c r="O667" s="89">
        <f t="shared" si="65"/>
        <v>2895500000</v>
      </c>
      <c r="P667" s="87">
        <f t="shared" si="61"/>
        <v>0.16167306919194174</v>
      </c>
      <c r="Q667" s="87">
        <f t="shared" si="62"/>
        <v>0.35566400142940102</v>
      </c>
    </row>
    <row r="668" spans="1:17">
      <c r="A668" s="83">
        <v>694</v>
      </c>
      <c r="B668" s="83" t="s">
        <v>277</v>
      </c>
      <c r="C668" s="83" t="s">
        <v>22</v>
      </c>
      <c r="D668" s="84">
        <v>41940</v>
      </c>
      <c r="E668" s="85">
        <f t="shared" si="60"/>
        <v>2014</v>
      </c>
      <c r="F668" s="86">
        <v>17630300000</v>
      </c>
      <c r="G668" s="86">
        <v>11681100000</v>
      </c>
      <c r="H668" s="86">
        <v>3328000000</v>
      </c>
      <c r="I668" s="86">
        <v>0</v>
      </c>
      <c r="J668" s="86">
        <v>0</v>
      </c>
      <c r="K668" s="83" t="s">
        <v>42</v>
      </c>
      <c r="L668" s="83" t="s">
        <v>130</v>
      </c>
      <c r="M668" s="91">
        <f t="shared" si="63"/>
        <v>5949200000</v>
      </c>
      <c r="N668" s="86">
        <f t="shared" si="64"/>
        <v>3328000000</v>
      </c>
      <c r="O668" s="86">
        <f t="shared" si="65"/>
        <v>2621200000</v>
      </c>
      <c r="P668" s="83">
        <f t="shared" si="61"/>
        <v>0.14867585917426249</v>
      </c>
      <c r="Q668" s="83">
        <f t="shared" si="62"/>
        <v>0.33744179055376256</v>
      </c>
    </row>
    <row r="669" spans="1:17">
      <c r="A669" s="87">
        <v>695</v>
      </c>
      <c r="B669" s="87" t="s">
        <v>277</v>
      </c>
      <c r="C669" s="87" t="s">
        <v>23</v>
      </c>
      <c r="D669" s="84">
        <v>41941</v>
      </c>
      <c r="E669" s="88">
        <f t="shared" si="60"/>
        <v>2014</v>
      </c>
      <c r="F669" s="89">
        <v>16563100000</v>
      </c>
      <c r="G669" s="89">
        <v>10733600000</v>
      </c>
      <c r="H669" s="89">
        <v>3118900000</v>
      </c>
      <c r="I669" s="89">
        <v>0</v>
      </c>
      <c r="J669" s="89">
        <v>0</v>
      </c>
      <c r="K669" s="87" t="s">
        <v>42</v>
      </c>
      <c r="L669" s="87" t="s">
        <v>130</v>
      </c>
      <c r="M669" s="90">
        <f t="shared" si="63"/>
        <v>5829500000</v>
      </c>
      <c r="N669" s="89">
        <f t="shared" si="64"/>
        <v>3118900000</v>
      </c>
      <c r="O669" s="89">
        <f t="shared" si="65"/>
        <v>2710600000</v>
      </c>
      <c r="P669" s="87">
        <f t="shared" si="61"/>
        <v>0.16365293936521544</v>
      </c>
      <c r="Q669" s="87">
        <f t="shared" si="62"/>
        <v>0.35195706117816106</v>
      </c>
    </row>
    <row r="670" spans="1:17">
      <c r="A670" s="83">
        <v>696</v>
      </c>
      <c r="B670" s="83" t="s">
        <v>278</v>
      </c>
      <c r="C670" s="83" t="s">
        <v>18</v>
      </c>
      <c r="D670" s="84">
        <v>41942</v>
      </c>
      <c r="E670" s="85">
        <f t="shared" si="60"/>
        <v>2014</v>
      </c>
      <c r="F670" s="86">
        <v>7819000000</v>
      </c>
      <c r="G670" s="86">
        <v>4495000000</v>
      </c>
      <c r="H670" s="86">
        <v>1126000000</v>
      </c>
      <c r="I670" s="86">
        <v>710000000</v>
      </c>
      <c r="J670" s="86">
        <v>31000000</v>
      </c>
      <c r="K670" s="83" t="s">
        <v>28</v>
      </c>
      <c r="L670" s="83" t="s">
        <v>95</v>
      </c>
      <c r="M670" s="91">
        <f t="shared" si="63"/>
        <v>3324000000</v>
      </c>
      <c r="N670" s="86">
        <f t="shared" si="64"/>
        <v>1867000000</v>
      </c>
      <c r="O670" s="86">
        <f t="shared" si="65"/>
        <v>1457000000</v>
      </c>
      <c r="P670" s="83">
        <f t="shared" si="61"/>
        <v>0.18634096431768768</v>
      </c>
      <c r="Q670" s="83">
        <f t="shared" si="62"/>
        <v>0.42511830157309116</v>
      </c>
    </row>
    <row r="671" spans="1:17">
      <c r="A671" s="87">
        <v>697</v>
      </c>
      <c r="B671" s="87" t="s">
        <v>278</v>
      </c>
      <c r="C671" s="87" t="s">
        <v>21</v>
      </c>
      <c r="D671" s="84">
        <v>41943</v>
      </c>
      <c r="E671" s="88">
        <f t="shared" si="60"/>
        <v>2014</v>
      </c>
      <c r="F671" s="89">
        <v>9715000000</v>
      </c>
      <c r="G671" s="89">
        <v>5663000000</v>
      </c>
      <c r="H671" s="89">
        <v>1202000000</v>
      </c>
      <c r="I671" s="89">
        <v>815000000</v>
      </c>
      <c r="J671" s="89">
        <v>33000000</v>
      </c>
      <c r="K671" s="87" t="s">
        <v>28</v>
      </c>
      <c r="L671" s="87" t="s">
        <v>95</v>
      </c>
      <c r="M671" s="90">
        <f t="shared" si="63"/>
        <v>4052000000</v>
      </c>
      <c r="N671" s="89">
        <f t="shared" si="64"/>
        <v>2050000000</v>
      </c>
      <c r="O671" s="89">
        <f t="shared" si="65"/>
        <v>2002000000</v>
      </c>
      <c r="P671" s="87">
        <f t="shared" si="61"/>
        <v>0.20607308286155429</v>
      </c>
      <c r="Q671" s="87">
        <f t="shared" si="62"/>
        <v>0.41708697889861035</v>
      </c>
    </row>
    <row r="672" spans="1:17">
      <c r="A672" s="83">
        <v>698</v>
      </c>
      <c r="B672" s="83" t="s">
        <v>278</v>
      </c>
      <c r="C672" s="83" t="s">
        <v>22</v>
      </c>
      <c r="D672" s="84">
        <v>41944</v>
      </c>
      <c r="E672" s="85">
        <f t="shared" si="60"/>
        <v>2014</v>
      </c>
      <c r="F672" s="86">
        <v>9111000000</v>
      </c>
      <c r="G672" s="86">
        <v>5458000000</v>
      </c>
      <c r="H672" s="86">
        <v>1508000000</v>
      </c>
      <c r="I672" s="86">
        <v>769000000</v>
      </c>
      <c r="J672" s="86">
        <v>54000000</v>
      </c>
      <c r="K672" s="83" t="s">
        <v>28</v>
      </c>
      <c r="L672" s="83" t="s">
        <v>95</v>
      </c>
      <c r="M672" s="91">
        <f t="shared" si="63"/>
        <v>3653000000</v>
      </c>
      <c r="N672" s="86">
        <f t="shared" si="64"/>
        <v>2331000000</v>
      </c>
      <c r="O672" s="86">
        <f t="shared" si="65"/>
        <v>1322000000</v>
      </c>
      <c r="P672" s="83">
        <f t="shared" si="61"/>
        <v>0.14509933047963999</v>
      </c>
      <c r="Q672" s="83">
        <f t="shared" si="62"/>
        <v>0.40094391395017015</v>
      </c>
    </row>
    <row r="673" spans="1:17">
      <c r="A673" s="87">
        <v>699</v>
      </c>
      <c r="B673" s="87" t="s">
        <v>278</v>
      </c>
      <c r="C673" s="87" t="s">
        <v>23</v>
      </c>
      <c r="D673" s="84">
        <v>41945</v>
      </c>
      <c r="E673" s="88">
        <f t="shared" si="60"/>
        <v>2014</v>
      </c>
      <c r="F673" s="89">
        <v>9390000000</v>
      </c>
      <c r="G673" s="89">
        <v>5644000000</v>
      </c>
      <c r="H673" s="89">
        <v>1472000000</v>
      </c>
      <c r="I673" s="89">
        <v>742000000</v>
      </c>
      <c r="J673" s="89">
        <v>64000000</v>
      </c>
      <c r="K673" s="87" t="s">
        <v>28</v>
      </c>
      <c r="L673" s="87" t="s">
        <v>95</v>
      </c>
      <c r="M673" s="90">
        <f t="shared" si="63"/>
        <v>3746000000</v>
      </c>
      <c r="N673" s="89">
        <f t="shared" si="64"/>
        <v>2278000000</v>
      </c>
      <c r="O673" s="89">
        <f t="shared" si="65"/>
        <v>1468000000</v>
      </c>
      <c r="P673" s="87">
        <f t="shared" si="61"/>
        <v>0.15633652822151226</v>
      </c>
      <c r="Q673" s="87">
        <f t="shared" si="62"/>
        <v>0.39893503727369539</v>
      </c>
    </row>
    <row r="674" spans="1:17">
      <c r="A674" s="83">
        <v>700</v>
      </c>
      <c r="B674" s="83" t="s">
        <v>279</v>
      </c>
      <c r="C674" s="83" t="s">
        <v>18</v>
      </c>
      <c r="D674" s="84">
        <v>41946</v>
      </c>
      <c r="E674" s="85">
        <f t="shared" si="60"/>
        <v>2014</v>
      </c>
      <c r="F674" s="86">
        <v>155427000000</v>
      </c>
      <c r="G674" s="86">
        <v>137373000000</v>
      </c>
      <c r="H674" s="86">
        <v>12382000000</v>
      </c>
      <c r="I674" s="86">
        <v>0</v>
      </c>
      <c r="J674" s="86">
        <v>0</v>
      </c>
      <c r="K674" s="83" t="s">
        <v>25</v>
      </c>
      <c r="L674" s="83" t="s">
        <v>251</v>
      </c>
      <c r="M674" s="91">
        <f t="shared" si="63"/>
        <v>18054000000</v>
      </c>
      <c r="N674" s="86">
        <f t="shared" si="64"/>
        <v>12382000000</v>
      </c>
      <c r="O674" s="86">
        <f t="shared" si="65"/>
        <v>5672000000</v>
      </c>
      <c r="P674" s="83">
        <f t="shared" si="61"/>
        <v>3.6493016013948672E-2</v>
      </c>
      <c r="Q674" s="83">
        <f t="shared" si="62"/>
        <v>0.11615742438572452</v>
      </c>
    </row>
    <row r="675" spans="1:17">
      <c r="A675" s="87">
        <v>701</v>
      </c>
      <c r="B675" s="87" t="s">
        <v>279</v>
      </c>
      <c r="C675" s="87" t="s">
        <v>21</v>
      </c>
      <c r="D675" s="84">
        <v>41947</v>
      </c>
      <c r="E675" s="88">
        <f t="shared" si="60"/>
        <v>2014</v>
      </c>
      <c r="F675" s="89">
        <v>155929000000</v>
      </c>
      <c r="G675" s="89">
        <v>142121000000</v>
      </c>
      <c r="H675" s="89">
        <v>12158000000</v>
      </c>
      <c r="I675" s="89">
        <v>0</v>
      </c>
      <c r="J675" s="89">
        <v>0</v>
      </c>
      <c r="K675" s="87" t="s">
        <v>25</v>
      </c>
      <c r="L675" s="87" t="s">
        <v>251</v>
      </c>
      <c r="M675" s="90">
        <f t="shared" si="63"/>
        <v>13808000000</v>
      </c>
      <c r="N675" s="89">
        <f t="shared" si="64"/>
        <v>12158000000</v>
      </c>
      <c r="O675" s="89">
        <f t="shared" si="65"/>
        <v>1650000000</v>
      </c>
      <c r="P675" s="87">
        <f t="shared" si="61"/>
        <v>1.0581739124858108E-2</v>
      </c>
      <c r="Q675" s="87">
        <f t="shared" si="62"/>
        <v>8.8553123536994405E-2</v>
      </c>
    </row>
    <row r="676" spans="1:17">
      <c r="A676" s="83">
        <v>702</v>
      </c>
      <c r="B676" s="83" t="s">
        <v>279</v>
      </c>
      <c r="C676" s="83" t="s">
        <v>22</v>
      </c>
      <c r="D676" s="84">
        <v>41948</v>
      </c>
      <c r="E676" s="85">
        <f t="shared" si="60"/>
        <v>2014</v>
      </c>
      <c r="F676" s="86">
        <v>152356000000</v>
      </c>
      <c r="G676" s="86">
        <v>134054000000</v>
      </c>
      <c r="H676" s="86">
        <v>13405000000</v>
      </c>
      <c r="I676" s="86">
        <v>0</v>
      </c>
      <c r="J676" s="86">
        <v>0</v>
      </c>
      <c r="K676" s="83" t="s">
        <v>25</v>
      </c>
      <c r="L676" s="83" t="s">
        <v>251</v>
      </c>
      <c r="M676" s="91">
        <f t="shared" si="63"/>
        <v>18302000000</v>
      </c>
      <c r="N676" s="86">
        <f t="shared" si="64"/>
        <v>13405000000</v>
      </c>
      <c r="O676" s="86">
        <f t="shared" si="65"/>
        <v>4897000000</v>
      </c>
      <c r="P676" s="83">
        <f t="shared" si="61"/>
        <v>3.2141825723962299E-2</v>
      </c>
      <c r="Q676" s="83">
        <f t="shared" si="62"/>
        <v>0.12012654572186199</v>
      </c>
    </row>
    <row r="677" spans="1:17">
      <c r="A677" s="87">
        <v>703</v>
      </c>
      <c r="B677" s="87" t="s">
        <v>279</v>
      </c>
      <c r="C677" s="87" t="s">
        <v>23</v>
      </c>
      <c r="D677" s="84">
        <v>41949</v>
      </c>
      <c r="E677" s="88">
        <f t="shared" si="60"/>
        <v>2014</v>
      </c>
      <c r="F677" s="89">
        <v>166380000000</v>
      </c>
      <c r="G677" s="89">
        <v>145125000000</v>
      </c>
      <c r="H677" s="89">
        <v>11710000000</v>
      </c>
      <c r="I677" s="89">
        <v>0</v>
      </c>
      <c r="J677" s="89">
        <v>0</v>
      </c>
      <c r="K677" s="87" t="s">
        <v>25</v>
      </c>
      <c r="L677" s="87" t="s">
        <v>251</v>
      </c>
      <c r="M677" s="90">
        <f t="shared" si="63"/>
        <v>21255000000</v>
      </c>
      <c r="N677" s="89">
        <f t="shared" si="64"/>
        <v>11710000000</v>
      </c>
      <c r="O677" s="89">
        <f t="shared" si="65"/>
        <v>9545000000</v>
      </c>
      <c r="P677" s="87">
        <f t="shared" si="61"/>
        <v>5.7368674119485513E-2</v>
      </c>
      <c r="Q677" s="87">
        <f t="shared" si="62"/>
        <v>0.12774972953479991</v>
      </c>
    </row>
    <row r="678" spans="1:17">
      <c r="A678" s="83">
        <v>704</v>
      </c>
      <c r="B678" s="83" t="s">
        <v>280</v>
      </c>
      <c r="C678" s="83" t="s">
        <v>18</v>
      </c>
      <c r="D678" s="84">
        <v>41950</v>
      </c>
      <c r="E678" s="85">
        <f t="shared" si="60"/>
        <v>2014</v>
      </c>
      <c r="F678" s="86">
        <v>13013868000</v>
      </c>
      <c r="G678" s="86">
        <v>9235777000</v>
      </c>
      <c r="H678" s="86">
        <v>2656530000</v>
      </c>
      <c r="I678" s="86">
        <v>0</v>
      </c>
      <c r="J678" s="86">
        <v>98383000</v>
      </c>
      <c r="K678" s="83" t="s">
        <v>25</v>
      </c>
      <c r="L678" s="83" t="s">
        <v>85</v>
      </c>
      <c r="M678" s="91">
        <f t="shared" si="63"/>
        <v>3778091000</v>
      </c>
      <c r="N678" s="86">
        <f t="shared" si="64"/>
        <v>2754913000</v>
      </c>
      <c r="O678" s="86">
        <f t="shared" si="65"/>
        <v>1023178000</v>
      </c>
      <c r="P678" s="83">
        <f t="shared" si="61"/>
        <v>7.8622128332637153E-2</v>
      </c>
      <c r="Q678" s="83">
        <f t="shared" si="62"/>
        <v>0.29031268797255361</v>
      </c>
    </row>
    <row r="679" spans="1:17">
      <c r="A679" s="87">
        <v>705</v>
      </c>
      <c r="B679" s="87" t="s">
        <v>280</v>
      </c>
      <c r="C679" s="87" t="s">
        <v>21</v>
      </c>
      <c r="D679" s="84">
        <v>41951</v>
      </c>
      <c r="E679" s="88">
        <f t="shared" si="60"/>
        <v>2014</v>
      </c>
      <c r="F679" s="89">
        <v>14077843000</v>
      </c>
      <c r="G679" s="89">
        <v>9857923000</v>
      </c>
      <c r="H679" s="89">
        <v>3028028000</v>
      </c>
      <c r="I679" s="89">
        <v>0</v>
      </c>
      <c r="J679" s="89">
        <v>133957000</v>
      </c>
      <c r="K679" s="87" t="s">
        <v>25</v>
      </c>
      <c r="L679" s="87" t="s">
        <v>85</v>
      </c>
      <c r="M679" s="90">
        <f t="shared" si="63"/>
        <v>4219920000</v>
      </c>
      <c r="N679" s="89">
        <f t="shared" si="64"/>
        <v>3161985000</v>
      </c>
      <c r="O679" s="89">
        <f t="shared" si="65"/>
        <v>1057935000</v>
      </c>
      <c r="P679" s="87">
        <f t="shared" si="61"/>
        <v>7.5148941496222116E-2</v>
      </c>
      <c r="Q679" s="87">
        <f t="shared" si="62"/>
        <v>0.29975614872249956</v>
      </c>
    </row>
    <row r="680" spans="1:17">
      <c r="A680" s="83">
        <v>706</v>
      </c>
      <c r="B680" s="83" t="s">
        <v>280</v>
      </c>
      <c r="C680" s="83" t="s">
        <v>22</v>
      </c>
      <c r="D680" s="84">
        <v>41952</v>
      </c>
      <c r="E680" s="85">
        <f t="shared" si="60"/>
        <v>2014</v>
      </c>
      <c r="F680" s="86">
        <v>15341647000</v>
      </c>
      <c r="G680" s="86">
        <v>10747886000</v>
      </c>
      <c r="H680" s="86">
        <v>3314030000</v>
      </c>
      <c r="I680" s="86">
        <v>0</v>
      </c>
      <c r="J680" s="86">
        <v>148313000</v>
      </c>
      <c r="K680" s="83" t="s">
        <v>25</v>
      </c>
      <c r="L680" s="83" t="s">
        <v>85</v>
      </c>
      <c r="M680" s="91">
        <f t="shared" si="63"/>
        <v>4593761000</v>
      </c>
      <c r="N680" s="86">
        <f t="shared" si="64"/>
        <v>3462343000</v>
      </c>
      <c r="O680" s="86">
        <f t="shared" si="65"/>
        <v>1131418000</v>
      </c>
      <c r="P680" s="83">
        <f t="shared" si="61"/>
        <v>7.3748144511472588E-2</v>
      </c>
      <c r="Q680" s="83">
        <f t="shared" si="62"/>
        <v>0.29943075864019031</v>
      </c>
    </row>
    <row r="681" spans="1:17">
      <c r="A681" s="87">
        <v>707</v>
      </c>
      <c r="B681" s="87" t="s">
        <v>280</v>
      </c>
      <c r="C681" s="87" t="s">
        <v>23</v>
      </c>
      <c r="D681" s="84">
        <v>41953</v>
      </c>
      <c r="E681" s="88">
        <f t="shared" si="60"/>
        <v>2014</v>
      </c>
      <c r="F681" s="89">
        <v>15280044000</v>
      </c>
      <c r="G681" s="89">
        <v>10724192000</v>
      </c>
      <c r="H681" s="89">
        <v>3277390000</v>
      </c>
      <c r="I681" s="89">
        <v>0</v>
      </c>
      <c r="J681" s="89">
        <v>141675000</v>
      </c>
      <c r="K681" s="87" t="s">
        <v>25</v>
      </c>
      <c r="L681" s="87" t="s">
        <v>85</v>
      </c>
      <c r="M681" s="90">
        <f t="shared" si="63"/>
        <v>4555852000</v>
      </c>
      <c r="N681" s="89">
        <f t="shared" si="64"/>
        <v>3419065000</v>
      </c>
      <c r="O681" s="89">
        <f t="shared" si="65"/>
        <v>1136787000</v>
      </c>
      <c r="P681" s="87">
        <f t="shared" si="61"/>
        <v>7.4396840742081638E-2</v>
      </c>
      <c r="Q681" s="87">
        <f t="shared" si="62"/>
        <v>0.29815699483587876</v>
      </c>
    </row>
    <row r="682" spans="1:17">
      <c r="A682" s="83">
        <v>708</v>
      </c>
      <c r="B682" s="83" t="s">
        <v>281</v>
      </c>
      <c r="C682" s="83" t="s">
        <v>18</v>
      </c>
      <c r="D682" s="84">
        <v>41954</v>
      </c>
      <c r="E682" s="85">
        <f t="shared" si="60"/>
        <v>2014</v>
      </c>
      <c r="F682" s="86">
        <v>2375923000</v>
      </c>
      <c r="G682" s="86">
        <v>862075000</v>
      </c>
      <c r="H682" s="86">
        <v>1156635000</v>
      </c>
      <c r="I682" s="86">
        <v>0</v>
      </c>
      <c r="J682" s="86">
        <v>0</v>
      </c>
      <c r="K682" s="83" t="s">
        <v>28</v>
      </c>
      <c r="L682" s="83" t="s">
        <v>45</v>
      </c>
      <c r="M682" s="91">
        <f t="shared" si="63"/>
        <v>1513848000</v>
      </c>
      <c r="N682" s="86">
        <f t="shared" si="64"/>
        <v>1156635000</v>
      </c>
      <c r="O682" s="86">
        <f t="shared" si="65"/>
        <v>357213000</v>
      </c>
      <c r="P682" s="83">
        <f t="shared" si="61"/>
        <v>0.15034704407508157</v>
      </c>
      <c r="Q682" s="83">
        <f t="shared" si="62"/>
        <v>0.63716206291197142</v>
      </c>
    </row>
    <row r="683" spans="1:17">
      <c r="A683" s="87">
        <v>709</v>
      </c>
      <c r="B683" s="87" t="s">
        <v>281</v>
      </c>
      <c r="C683" s="87" t="s">
        <v>21</v>
      </c>
      <c r="D683" s="84">
        <v>41955</v>
      </c>
      <c r="E683" s="88">
        <f t="shared" si="60"/>
        <v>2014</v>
      </c>
      <c r="F683" s="89">
        <v>2554236000</v>
      </c>
      <c r="G683" s="89">
        <v>952225000</v>
      </c>
      <c r="H683" s="89">
        <v>1196512000</v>
      </c>
      <c r="I683" s="89">
        <v>0</v>
      </c>
      <c r="J683" s="89">
        <v>0</v>
      </c>
      <c r="K683" s="87" t="s">
        <v>28</v>
      </c>
      <c r="L683" s="87" t="s">
        <v>45</v>
      </c>
      <c r="M683" s="90">
        <f t="shared" si="63"/>
        <v>1602011000</v>
      </c>
      <c r="N683" s="89">
        <f t="shared" si="64"/>
        <v>1196512000</v>
      </c>
      <c r="O683" s="89">
        <f t="shared" si="65"/>
        <v>405499000</v>
      </c>
      <c r="P683" s="87">
        <f t="shared" si="61"/>
        <v>0.15875549479374654</v>
      </c>
      <c r="Q683" s="87">
        <f t="shared" si="62"/>
        <v>0.62719772174536725</v>
      </c>
    </row>
    <row r="684" spans="1:17">
      <c r="A684" s="83">
        <v>710</v>
      </c>
      <c r="B684" s="83" t="s">
        <v>281</v>
      </c>
      <c r="C684" s="83" t="s">
        <v>22</v>
      </c>
      <c r="D684" s="84">
        <v>41956</v>
      </c>
      <c r="E684" s="85">
        <f t="shared" si="60"/>
        <v>2014</v>
      </c>
      <c r="F684" s="86">
        <v>2773718000</v>
      </c>
      <c r="G684" s="86">
        <v>1022107000</v>
      </c>
      <c r="H684" s="86">
        <v>1295014000</v>
      </c>
      <c r="I684" s="86">
        <v>0</v>
      </c>
      <c r="J684" s="86">
        <v>0</v>
      </c>
      <c r="K684" s="83" t="s">
        <v>28</v>
      </c>
      <c r="L684" s="83" t="s">
        <v>45</v>
      </c>
      <c r="M684" s="91">
        <f t="shared" si="63"/>
        <v>1751611000</v>
      </c>
      <c r="N684" s="86">
        <f t="shared" si="64"/>
        <v>1295014000</v>
      </c>
      <c r="O684" s="86">
        <f t="shared" si="65"/>
        <v>456597000</v>
      </c>
      <c r="P684" s="83">
        <f t="shared" si="61"/>
        <v>0.1646155088585069</v>
      </c>
      <c r="Q684" s="83">
        <f t="shared" si="62"/>
        <v>0.63150291413907256</v>
      </c>
    </row>
    <row r="685" spans="1:17">
      <c r="A685" s="87">
        <v>711</v>
      </c>
      <c r="B685" s="87" t="s">
        <v>281</v>
      </c>
      <c r="C685" s="87" t="s">
        <v>23</v>
      </c>
      <c r="D685" s="84">
        <v>41957</v>
      </c>
      <c r="E685" s="88">
        <f t="shared" si="60"/>
        <v>2014</v>
      </c>
      <c r="F685" s="89">
        <v>2898150000</v>
      </c>
      <c r="G685" s="89">
        <v>1147639000</v>
      </c>
      <c r="H685" s="89">
        <v>1325567000</v>
      </c>
      <c r="I685" s="89">
        <v>0</v>
      </c>
      <c r="J685" s="89">
        <v>0</v>
      </c>
      <c r="K685" s="87" t="s">
        <v>28</v>
      </c>
      <c r="L685" s="87" t="s">
        <v>45</v>
      </c>
      <c r="M685" s="90">
        <f t="shared" si="63"/>
        <v>1750511000</v>
      </c>
      <c r="N685" s="89">
        <f t="shared" si="64"/>
        <v>1325567000</v>
      </c>
      <c r="O685" s="89">
        <f t="shared" si="65"/>
        <v>424944000</v>
      </c>
      <c r="P685" s="87">
        <f t="shared" si="61"/>
        <v>0.14662595103773096</v>
      </c>
      <c r="Q685" s="87">
        <f t="shared" si="62"/>
        <v>0.60400979935476085</v>
      </c>
    </row>
    <row r="686" spans="1:17">
      <c r="A686" s="83">
        <v>712</v>
      </c>
      <c r="B686" s="83" t="s">
        <v>282</v>
      </c>
      <c r="C686" s="83" t="s">
        <v>18</v>
      </c>
      <c r="D686" s="84">
        <v>41958</v>
      </c>
      <c r="E686" s="85">
        <f t="shared" si="60"/>
        <v>2014</v>
      </c>
      <c r="F686" s="86">
        <v>15651000000</v>
      </c>
      <c r="G686" s="86">
        <v>9480000000</v>
      </c>
      <c r="H686" s="86">
        <v>0</v>
      </c>
      <c r="I686" s="86">
        <v>0</v>
      </c>
      <c r="J686" s="86">
        <v>0</v>
      </c>
      <c r="K686" s="83" t="s">
        <v>25</v>
      </c>
      <c r="L686" s="83" t="s">
        <v>263</v>
      </c>
      <c r="M686" s="91">
        <f t="shared" si="63"/>
        <v>6171000000</v>
      </c>
      <c r="N686" s="86">
        <f t="shared" si="64"/>
        <v>0</v>
      </c>
      <c r="O686" s="86">
        <f t="shared" si="65"/>
        <v>6171000000</v>
      </c>
      <c r="P686" s="83">
        <f t="shared" si="61"/>
        <v>0.3942879049262028</v>
      </c>
      <c r="Q686" s="83">
        <f t="shared" si="62"/>
        <v>0.3942879049262028</v>
      </c>
    </row>
    <row r="687" spans="1:17">
      <c r="A687" s="87">
        <v>713</v>
      </c>
      <c r="B687" s="87" t="s">
        <v>282</v>
      </c>
      <c r="C687" s="87" t="s">
        <v>21</v>
      </c>
      <c r="D687" s="84">
        <v>41959</v>
      </c>
      <c r="E687" s="88">
        <f t="shared" si="60"/>
        <v>2014</v>
      </c>
      <c r="F687" s="89">
        <v>16148000000</v>
      </c>
      <c r="G687" s="89">
        <v>9855000000</v>
      </c>
      <c r="H687" s="89">
        <v>0</v>
      </c>
      <c r="I687" s="89">
        <v>0</v>
      </c>
      <c r="J687" s="89">
        <v>0</v>
      </c>
      <c r="K687" s="87" t="s">
        <v>25</v>
      </c>
      <c r="L687" s="87" t="s">
        <v>263</v>
      </c>
      <c r="M687" s="90">
        <f t="shared" si="63"/>
        <v>6293000000</v>
      </c>
      <c r="N687" s="89">
        <f t="shared" si="64"/>
        <v>0</v>
      </c>
      <c r="O687" s="89">
        <f t="shared" si="65"/>
        <v>6293000000</v>
      </c>
      <c r="P687" s="87">
        <f t="shared" si="61"/>
        <v>0.38970770374040131</v>
      </c>
      <c r="Q687" s="87">
        <f t="shared" si="62"/>
        <v>0.38970770374040131</v>
      </c>
    </row>
    <row r="688" spans="1:17">
      <c r="A688" s="83">
        <v>714</v>
      </c>
      <c r="B688" s="83" t="s">
        <v>282</v>
      </c>
      <c r="C688" s="83" t="s">
        <v>22</v>
      </c>
      <c r="D688" s="84">
        <v>41960</v>
      </c>
      <c r="E688" s="85">
        <f t="shared" si="60"/>
        <v>2014</v>
      </c>
      <c r="F688" s="86">
        <v>16435000000</v>
      </c>
      <c r="G688" s="86">
        <v>10146000000</v>
      </c>
      <c r="H688" s="86">
        <v>0</v>
      </c>
      <c r="I688" s="86">
        <v>0</v>
      </c>
      <c r="J688" s="86">
        <v>0</v>
      </c>
      <c r="K688" s="83" t="s">
        <v>25</v>
      </c>
      <c r="L688" s="83" t="s">
        <v>263</v>
      </c>
      <c r="M688" s="91">
        <f t="shared" si="63"/>
        <v>6289000000</v>
      </c>
      <c r="N688" s="86">
        <f t="shared" si="64"/>
        <v>0</v>
      </c>
      <c r="O688" s="86">
        <f t="shared" si="65"/>
        <v>6289000000</v>
      </c>
      <c r="P688" s="83">
        <f t="shared" si="61"/>
        <v>0.38265895953757223</v>
      </c>
      <c r="Q688" s="83">
        <f t="shared" si="62"/>
        <v>0.38265895953757223</v>
      </c>
    </row>
    <row r="689" spans="1:17">
      <c r="A689" s="87">
        <v>715</v>
      </c>
      <c r="B689" s="87" t="s">
        <v>282</v>
      </c>
      <c r="C689" s="87" t="s">
        <v>23</v>
      </c>
      <c r="D689" s="84">
        <v>41961</v>
      </c>
      <c r="E689" s="88">
        <f t="shared" si="60"/>
        <v>2014</v>
      </c>
      <c r="F689" s="89">
        <v>15797000000</v>
      </c>
      <c r="G689" s="89">
        <v>10077000000</v>
      </c>
      <c r="H689" s="89">
        <v>0</v>
      </c>
      <c r="I689" s="89">
        <v>0</v>
      </c>
      <c r="J689" s="89">
        <v>0</v>
      </c>
      <c r="K689" s="87" t="s">
        <v>25</v>
      </c>
      <c r="L689" s="87" t="s">
        <v>263</v>
      </c>
      <c r="M689" s="90">
        <f t="shared" si="63"/>
        <v>5720000000</v>
      </c>
      <c r="N689" s="89">
        <f t="shared" si="64"/>
        <v>0</v>
      </c>
      <c r="O689" s="89">
        <f t="shared" si="65"/>
        <v>5720000000</v>
      </c>
      <c r="P689" s="87">
        <f t="shared" si="61"/>
        <v>0.36209406849401787</v>
      </c>
      <c r="Q689" s="87">
        <f t="shared" si="62"/>
        <v>0.36209406849401782</v>
      </c>
    </row>
    <row r="690" spans="1:17">
      <c r="A690" s="83">
        <v>716</v>
      </c>
      <c r="B690" s="83" t="s">
        <v>283</v>
      </c>
      <c r="C690" s="83" t="s">
        <v>18</v>
      </c>
      <c r="D690" s="84">
        <v>41962</v>
      </c>
      <c r="E690" s="85">
        <f t="shared" si="60"/>
        <v>2014</v>
      </c>
      <c r="F690" s="86">
        <v>2715675000</v>
      </c>
      <c r="G690" s="86">
        <v>1277195000</v>
      </c>
      <c r="H690" s="86">
        <v>508547000</v>
      </c>
      <c r="I690" s="86">
        <v>325773000</v>
      </c>
      <c r="J690" s="86">
        <v>0</v>
      </c>
      <c r="K690" s="83" t="s">
        <v>25</v>
      </c>
      <c r="L690" s="83" t="s">
        <v>284</v>
      </c>
      <c r="M690" s="91">
        <f t="shared" si="63"/>
        <v>1438480000</v>
      </c>
      <c r="N690" s="86">
        <f t="shared" si="64"/>
        <v>834320000</v>
      </c>
      <c r="O690" s="86">
        <f t="shared" si="65"/>
        <v>604160000</v>
      </c>
      <c r="P690" s="83">
        <f t="shared" si="61"/>
        <v>0.2224713929317757</v>
      </c>
      <c r="Q690" s="83">
        <f t="shared" si="62"/>
        <v>0.52969519548546862</v>
      </c>
    </row>
    <row r="691" spans="1:17">
      <c r="A691" s="87">
        <v>717</v>
      </c>
      <c r="B691" s="87" t="s">
        <v>283</v>
      </c>
      <c r="C691" s="87" t="s">
        <v>21</v>
      </c>
      <c r="D691" s="84">
        <v>41963</v>
      </c>
      <c r="E691" s="88">
        <f t="shared" si="60"/>
        <v>2014</v>
      </c>
      <c r="F691" s="89">
        <v>2631851000</v>
      </c>
      <c r="G691" s="89">
        <v>1224551000</v>
      </c>
      <c r="H691" s="89">
        <v>468345000</v>
      </c>
      <c r="I691" s="89">
        <v>364923000</v>
      </c>
      <c r="J691" s="89">
        <v>0</v>
      </c>
      <c r="K691" s="87" t="s">
        <v>25</v>
      </c>
      <c r="L691" s="87" t="s">
        <v>284</v>
      </c>
      <c r="M691" s="90">
        <f t="shared" si="63"/>
        <v>1407300000</v>
      </c>
      <c r="N691" s="89">
        <f t="shared" si="64"/>
        <v>833268000</v>
      </c>
      <c r="O691" s="89">
        <f t="shared" si="65"/>
        <v>574032000</v>
      </c>
      <c r="P691" s="87">
        <f t="shared" si="61"/>
        <v>0.21810961182832919</v>
      </c>
      <c r="Q691" s="87">
        <f t="shared" si="62"/>
        <v>0.53471872077864591</v>
      </c>
    </row>
    <row r="692" spans="1:17">
      <c r="A692" s="83">
        <v>718</v>
      </c>
      <c r="B692" s="83" t="s">
        <v>283</v>
      </c>
      <c r="C692" s="83" t="s">
        <v>22</v>
      </c>
      <c r="D692" s="84">
        <v>41964</v>
      </c>
      <c r="E692" s="85">
        <f t="shared" si="60"/>
        <v>2014</v>
      </c>
      <c r="F692" s="86">
        <v>2870658000</v>
      </c>
      <c r="G692" s="86">
        <v>1266246000</v>
      </c>
      <c r="H692" s="86">
        <v>518665000</v>
      </c>
      <c r="I692" s="86">
        <v>395121000</v>
      </c>
      <c r="J692" s="86">
        <v>0</v>
      </c>
      <c r="K692" s="83" t="s">
        <v>25</v>
      </c>
      <c r="L692" s="83" t="s">
        <v>284</v>
      </c>
      <c r="M692" s="91">
        <f t="shared" si="63"/>
        <v>1604412000</v>
      </c>
      <c r="N692" s="86">
        <f t="shared" si="64"/>
        <v>913786000</v>
      </c>
      <c r="O692" s="86">
        <f t="shared" si="65"/>
        <v>690626000</v>
      </c>
      <c r="P692" s="83">
        <f t="shared" si="61"/>
        <v>0.24058107932049028</v>
      </c>
      <c r="Q692" s="83">
        <f t="shared" si="62"/>
        <v>0.55890043328045347</v>
      </c>
    </row>
    <row r="693" spans="1:17">
      <c r="A693" s="87">
        <v>719</v>
      </c>
      <c r="B693" s="87" t="s">
        <v>283</v>
      </c>
      <c r="C693" s="87" t="s">
        <v>23</v>
      </c>
      <c r="D693" s="84">
        <v>41965</v>
      </c>
      <c r="E693" s="88">
        <f t="shared" si="60"/>
        <v>2014</v>
      </c>
      <c r="F693" s="89">
        <v>2820270000</v>
      </c>
      <c r="G693" s="89">
        <v>1281566000</v>
      </c>
      <c r="H693" s="89">
        <v>562080000</v>
      </c>
      <c r="I693" s="89">
        <v>427043000</v>
      </c>
      <c r="J693" s="89">
        <v>0</v>
      </c>
      <c r="K693" s="87" t="s">
        <v>25</v>
      </c>
      <c r="L693" s="87" t="s">
        <v>284</v>
      </c>
      <c r="M693" s="90">
        <f t="shared" si="63"/>
        <v>1538704000</v>
      </c>
      <c r="N693" s="89">
        <f t="shared" si="64"/>
        <v>989123000</v>
      </c>
      <c r="O693" s="89">
        <f t="shared" si="65"/>
        <v>549581000</v>
      </c>
      <c r="P693" s="87">
        <f t="shared" si="61"/>
        <v>0.19486822183691632</v>
      </c>
      <c r="Q693" s="87">
        <f t="shared" si="62"/>
        <v>0.54558747921298312</v>
      </c>
    </row>
    <row r="694" spans="1:17">
      <c r="A694" s="83">
        <v>720</v>
      </c>
      <c r="B694" s="83" t="s">
        <v>285</v>
      </c>
      <c r="C694" s="83" t="s">
        <v>18</v>
      </c>
      <c r="D694" s="84">
        <v>41966</v>
      </c>
      <c r="E694" s="85">
        <f t="shared" si="60"/>
        <v>2014</v>
      </c>
      <c r="F694" s="86">
        <v>19540000000</v>
      </c>
      <c r="G694" s="86">
        <v>15422000000</v>
      </c>
      <c r="H694" s="86">
        <v>2816000000</v>
      </c>
      <c r="I694" s="86">
        <v>0</v>
      </c>
      <c r="J694" s="86">
        <v>0</v>
      </c>
      <c r="K694" s="83" t="s">
        <v>25</v>
      </c>
      <c r="L694" s="83" t="s">
        <v>286</v>
      </c>
      <c r="M694" s="91">
        <f t="shared" si="63"/>
        <v>4118000000</v>
      </c>
      <c r="N694" s="86">
        <f t="shared" si="64"/>
        <v>2816000000</v>
      </c>
      <c r="O694" s="86">
        <f t="shared" si="65"/>
        <v>1302000000</v>
      </c>
      <c r="P694" s="83">
        <f t="shared" si="61"/>
        <v>6.6632548618219031E-2</v>
      </c>
      <c r="Q694" s="83">
        <f t="shared" si="62"/>
        <v>0.21074718526100311</v>
      </c>
    </row>
    <row r="695" spans="1:17">
      <c r="A695" s="87">
        <v>721</v>
      </c>
      <c r="B695" s="87" t="s">
        <v>285</v>
      </c>
      <c r="C695" s="87" t="s">
        <v>21</v>
      </c>
      <c r="D695" s="84">
        <v>41967</v>
      </c>
      <c r="E695" s="88">
        <f t="shared" si="60"/>
        <v>2014</v>
      </c>
      <c r="F695" s="89">
        <v>18138000000</v>
      </c>
      <c r="G695" s="89">
        <v>13906000000</v>
      </c>
      <c r="H695" s="89">
        <v>2815000000</v>
      </c>
      <c r="I695" s="89">
        <v>0</v>
      </c>
      <c r="J695" s="89">
        <v>0</v>
      </c>
      <c r="K695" s="87" t="s">
        <v>25</v>
      </c>
      <c r="L695" s="87" t="s">
        <v>286</v>
      </c>
      <c r="M695" s="90">
        <f t="shared" si="63"/>
        <v>4232000000</v>
      </c>
      <c r="N695" s="89">
        <f t="shared" si="64"/>
        <v>2815000000</v>
      </c>
      <c r="O695" s="89">
        <f t="shared" si="65"/>
        <v>1417000000</v>
      </c>
      <c r="P695" s="87">
        <f t="shared" si="61"/>
        <v>7.8123277097805713E-2</v>
      </c>
      <c r="Q695" s="87">
        <f t="shared" si="62"/>
        <v>0.23332230675928989</v>
      </c>
    </row>
    <row r="696" spans="1:17">
      <c r="A696" s="83">
        <v>722</v>
      </c>
      <c r="B696" s="83" t="s">
        <v>285</v>
      </c>
      <c r="C696" s="83" t="s">
        <v>22</v>
      </c>
      <c r="D696" s="84">
        <v>41968</v>
      </c>
      <c r="E696" s="85">
        <f t="shared" si="60"/>
        <v>2014</v>
      </c>
      <c r="F696" s="86">
        <v>16443000000</v>
      </c>
      <c r="G696" s="86">
        <v>12164000000</v>
      </c>
      <c r="H696" s="86">
        <v>2728000000</v>
      </c>
      <c r="I696" s="86">
        <v>0</v>
      </c>
      <c r="J696" s="86">
        <v>0</v>
      </c>
      <c r="K696" s="83" t="s">
        <v>25</v>
      </c>
      <c r="L696" s="83" t="s">
        <v>286</v>
      </c>
      <c r="M696" s="91">
        <f t="shared" si="63"/>
        <v>4279000000</v>
      </c>
      <c r="N696" s="86">
        <f t="shared" si="64"/>
        <v>2728000000</v>
      </c>
      <c r="O696" s="86">
        <f t="shared" si="65"/>
        <v>1551000000</v>
      </c>
      <c r="P696" s="83">
        <f t="shared" si="61"/>
        <v>9.4325852946542596E-2</v>
      </c>
      <c r="Q696" s="83">
        <f t="shared" si="62"/>
        <v>0.26023231770358202</v>
      </c>
    </row>
    <row r="697" spans="1:17">
      <c r="A697" s="87">
        <v>723</v>
      </c>
      <c r="B697" s="87" t="s">
        <v>285</v>
      </c>
      <c r="C697" s="87" t="s">
        <v>23</v>
      </c>
      <c r="D697" s="84">
        <v>41969</v>
      </c>
      <c r="E697" s="88">
        <f t="shared" si="60"/>
        <v>2014</v>
      </c>
      <c r="F697" s="89">
        <v>15158000000</v>
      </c>
      <c r="G697" s="89">
        <v>10972000000</v>
      </c>
      <c r="H697" s="89">
        <v>2617000000</v>
      </c>
      <c r="I697" s="89">
        <v>0</v>
      </c>
      <c r="J697" s="89">
        <v>0</v>
      </c>
      <c r="K697" s="87" t="s">
        <v>25</v>
      </c>
      <c r="L697" s="87" t="s">
        <v>286</v>
      </c>
      <c r="M697" s="90">
        <f t="shared" si="63"/>
        <v>4186000000</v>
      </c>
      <c r="N697" s="89">
        <f t="shared" si="64"/>
        <v>2617000000</v>
      </c>
      <c r="O697" s="89">
        <f t="shared" si="65"/>
        <v>1569000000</v>
      </c>
      <c r="P697" s="87">
        <f t="shared" si="61"/>
        <v>0.10350969784932049</v>
      </c>
      <c r="Q697" s="87">
        <f t="shared" si="62"/>
        <v>0.27615780445969129</v>
      </c>
    </row>
    <row r="698" spans="1:17">
      <c r="A698" s="83">
        <v>724</v>
      </c>
      <c r="B698" s="83" t="s">
        <v>287</v>
      </c>
      <c r="C698" s="83" t="s">
        <v>18</v>
      </c>
      <c r="D698" s="84">
        <v>41970</v>
      </c>
      <c r="E698" s="85">
        <f t="shared" si="60"/>
        <v>2014</v>
      </c>
      <c r="F698" s="86">
        <v>8950045000</v>
      </c>
      <c r="G698" s="86">
        <v>5033885000</v>
      </c>
      <c r="H698" s="86">
        <v>2785035000</v>
      </c>
      <c r="I698" s="86">
        <v>0</v>
      </c>
      <c r="J698" s="86">
        <v>0</v>
      </c>
      <c r="K698" s="83" t="s">
        <v>19</v>
      </c>
      <c r="L698" s="83" t="s">
        <v>288</v>
      </c>
      <c r="M698" s="91">
        <f t="shared" si="63"/>
        <v>3916160000</v>
      </c>
      <c r="N698" s="86">
        <f t="shared" si="64"/>
        <v>2785035000</v>
      </c>
      <c r="O698" s="86">
        <f t="shared" si="65"/>
        <v>1131125000</v>
      </c>
      <c r="P698" s="83">
        <f t="shared" si="61"/>
        <v>0.12638204612379045</v>
      </c>
      <c r="Q698" s="83">
        <f t="shared" si="62"/>
        <v>0.43755757652615157</v>
      </c>
    </row>
    <row r="699" spans="1:17">
      <c r="A699" s="87">
        <v>725</v>
      </c>
      <c r="B699" s="87" t="s">
        <v>287</v>
      </c>
      <c r="C699" s="87" t="s">
        <v>21</v>
      </c>
      <c r="D699" s="84">
        <v>41971</v>
      </c>
      <c r="E699" s="88">
        <f t="shared" si="60"/>
        <v>2014</v>
      </c>
      <c r="F699" s="89">
        <v>9437758000</v>
      </c>
      <c r="G699" s="89">
        <v>5301275000</v>
      </c>
      <c r="H699" s="89">
        <v>2839629000</v>
      </c>
      <c r="I699" s="89">
        <v>0</v>
      </c>
      <c r="J699" s="89">
        <v>0</v>
      </c>
      <c r="K699" s="87" t="s">
        <v>19</v>
      </c>
      <c r="L699" s="87" t="s">
        <v>288</v>
      </c>
      <c r="M699" s="90">
        <f t="shared" si="63"/>
        <v>4136483000</v>
      </c>
      <c r="N699" s="89">
        <f t="shared" si="64"/>
        <v>2839629000</v>
      </c>
      <c r="O699" s="89">
        <f t="shared" si="65"/>
        <v>1296854000</v>
      </c>
      <c r="P699" s="87">
        <f t="shared" si="61"/>
        <v>0.13741123686367038</v>
      </c>
      <c r="Q699" s="87">
        <f t="shared" si="62"/>
        <v>0.43829085255205735</v>
      </c>
    </row>
    <row r="700" spans="1:17">
      <c r="A700" s="83">
        <v>726</v>
      </c>
      <c r="B700" s="83" t="s">
        <v>287</v>
      </c>
      <c r="C700" s="83" t="s">
        <v>22</v>
      </c>
      <c r="D700" s="84">
        <v>41972</v>
      </c>
      <c r="E700" s="85">
        <f t="shared" si="60"/>
        <v>2014</v>
      </c>
      <c r="F700" s="86">
        <v>9964953000</v>
      </c>
      <c r="G700" s="86">
        <v>5650711000</v>
      </c>
      <c r="H700" s="86">
        <v>2967125000</v>
      </c>
      <c r="I700" s="86">
        <v>0</v>
      </c>
      <c r="J700" s="86">
        <v>0</v>
      </c>
      <c r="K700" s="83" t="s">
        <v>19</v>
      </c>
      <c r="L700" s="83" t="s">
        <v>288</v>
      </c>
      <c r="M700" s="91">
        <f t="shared" si="63"/>
        <v>4314242000</v>
      </c>
      <c r="N700" s="86">
        <f t="shared" si="64"/>
        <v>2967125000</v>
      </c>
      <c r="O700" s="86">
        <f t="shared" si="65"/>
        <v>1347117000</v>
      </c>
      <c r="P700" s="83">
        <f t="shared" si="61"/>
        <v>0.13518548456776464</v>
      </c>
      <c r="Q700" s="83">
        <f t="shared" si="62"/>
        <v>0.43294153018082471</v>
      </c>
    </row>
    <row r="701" spans="1:17">
      <c r="A701" s="87">
        <v>727</v>
      </c>
      <c r="B701" s="87" t="s">
        <v>287</v>
      </c>
      <c r="C701" s="87" t="s">
        <v>23</v>
      </c>
      <c r="D701" s="84">
        <v>41973</v>
      </c>
      <c r="E701" s="88">
        <f t="shared" si="60"/>
        <v>2014</v>
      </c>
      <c r="F701" s="89">
        <v>9973384000</v>
      </c>
      <c r="G701" s="89">
        <v>5741956000</v>
      </c>
      <c r="H701" s="89">
        <v>2931108000</v>
      </c>
      <c r="I701" s="89">
        <v>0</v>
      </c>
      <c r="J701" s="89">
        <v>0</v>
      </c>
      <c r="K701" s="87" t="s">
        <v>19</v>
      </c>
      <c r="L701" s="87" t="s">
        <v>288</v>
      </c>
      <c r="M701" s="90">
        <f t="shared" si="63"/>
        <v>4231428000</v>
      </c>
      <c r="N701" s="89">
        <f t="shared" si="64"/>
        <v>2931108000</v>
      </c>
      <c r="O701" s="89">
        <f t="shared" si="65"/>
        <v>1300320000</v>
      </c>
      <c r="P701" s="87">
        <f t="shared" si="61"/>
        <v>0.13037901679109118</v>
      </c>
      <c r="Q701" s="87">
        <f t="shared" si="62"/>
        <v>0.42427204246823347</v>
      </c>
    </row>
    <row r="702" spans="1:17">
      <c r="A702" s="83">
        <v>728</v>
      </c>
      <c r="B702" s="83" t="s">
        <v>289</v>
      </c>
      <c r="C702" s="83" t="s">
        <v>18</v>
      </c>
      <c r="D702" s="84">
        <v>41974</v>
      </c>
      <c r="E702" s="85">
        <f t="shared" si="60"/>
        <v>2014</v>
      </c>
      <c r="F702" s="86">
        <v>29402000000</v>
      </c>
      <c r="G702" s="86">
        <v>24931000000</v>
      </c>
      <c r="H702" s="86">
        <v>1333000000</v>
      </c>
      <c r="I702" s="86">
        <v>0</v>
      </c>
      <c r="J702" s="86">
        <v>0</v>
      </c>
      <c r="K702" s="83" t="s">
        <v>89</v>
      </c>
      <c r="L702" s="83" t="s">
        <v>120</v>
      </c>
      <c r="M702" s="91">
        <f t="shared" si="63"/>
        <v>4471000000</v>
      </c>
      <c r="N702" s="86">
        <f t="shared" si="64"/>
        <v>1333000000</v>
      </c>
      <c r="O702" s="86">
        <f t="shared" si="65"/>
        <v>3138000000</v>
      </c>
      <c r="P702" s="83">
        <f t="shared" si="61"/>
        <v>0.10672743350792463</v>
      </c>
      <c r="Q702" s="83">
        <f t="shared" si="62"/>
        <v>0.15206448540915585</v>
      </c>
    </row>
    <row r="703" spans="1:17">
      <c r="A703" s="87">
        <v>729</v>
      </c>
      <c r="B703" s="87" t="s">
        <v>289</v>
      </c>
      <c r="C703" s="87" t="s">
        <v>21</v>
      </c>
      <c r="D703" s="84">
        <v>41975</v>
      </c>
      <c r="E703" s="88">
        <f t="shared" ref="E703:E766" si="66">YEAR(D703)</f>
        <v>2014</v>
      </c>
      <c r="F703" s="89">
        <v>32870000000</v>
      </c>
      <c r="G703" s="89">
        <v>27334000000</v>
      </c>
      <c r="H703" s="89">
        <v>293000000</v>
      </c>
      <c r="I703" s="89">
        <v>0</v>
      </c>
      <c r="J703" s="89">
        <v>0</v>
      </c>
      <c r="K703" s="87" t="s">
        <v>89</v>
      </c>
      <c r="L703" s="87" t="s">
        <v>120</v>
      </c>
      <c r="M703" s="90">
        <f t="shared" si="63"/>
        <v>5536000000</v>
      </c>
      <c r="N703" s="89">
        <f t="shared" si="64"/>
        <v>293000000</v>
      </c>
      <c r="O703" s="89">
        <f t="shared" si="65"/>
        <v>5243000000</v>
      </c>
      <c r="P703" s="87">
        <f t="shared" si="61"/>
        <v>0.15950714937633101</v>
      </c>
      <c r="Q703" s="87">
        <f t="shared" si="62"/>
        <v>0.16842105263157892</v>
      </c>
    </row>
    <row r="704" spans="1:17">
      <c r="A704" s="83">
        <v>730</v>
      </c>
      <c r="B704" s="83" t="s">
        <v>289</v>
      </c>
      <c r="C704" s="83" t="s">
        <v>22</v>
      </c>
      <c r="D704" s="84">
        <v>41976</v>
      </c>
      <c r="E704" s="85">
        <f t="shared" si="66"/>
        <v>2014</v>
      </c>
      <c r="F704" s="86">
        <v>23633000000</v>
      </c>
      <c r="G704" s="86">
        <v>21113000000</v>
      </c>
      <c r="H704" s="86">
        <v>200000000</v>
      </c>
      <c r="I704" s="86">
        <v>0</v>
      </c>
      <c r="J704" s="86">
        <v>0</v>
      </c>
      <c r="K704" s="83" t="s">
        <v>89</v>
      </c>
      <c r="L704" s="83" t="s">
        <v>120</v>
      </c>
      <c r="M704" s="91">
        <f t="shared" si="63"/>
        <v>2520000000</v>
      </c>
      <c r="N704" s="86">
        <f t="shared" si="64"/>
        <v>200000000</v>
      </c>
      <c r="O704" s="86">
        <f t="shared" si="65"/>
        <v>2320000000</v>
      </c>
      <c r="P704" s="83">
        <f t="shared" si="61"/>
        <v>9.8167816189226931E-2</v>
      </c>
      <c r="Q704" s="83">
        <f t="shared" si="62"/>
        <v>0.10663055896416029</v>
      </c>
    </row>
    <row r="705" spans="1:17">
      <c r="A705" s="87">
        <v>731</v>
      </c>
      <c r="B705" s="87" t="s">
        <v>289</v>
      </c>
      <c r="C705" s="87" t="s">
        <v>23</v>
      </c>
      <c r="D705" s="84">
        <v>41977</v>
      </c>
      <c r="E705" s="88">
        <f t="shared" si="66"/>
        <v>2014</v>
      </c>
      <c r="F705" s="89">
        <v>15887000000</v>
      </c>
      <c r="G705" s="89">
        <v>15023000000</v>
      </c>
      <c r="H705" s="89">
        <v>228000000</v>
      </c>
      <c r="I705" s="89">
        <v>0</v>
      </c>
      <c r="J705" s="89">
        <v>0</v>
      </c>
      <c r="K705" s="87" t="s">
        <v>89</v>
      </c>
      <c r="L705" s="87" t="s">
        <v>120</v>
      </c>
      <c r="M705" s="90">
        <f t="shared" si="63"/>
        <v>864000000</v>
      </c>
      <c r="N705" s="89">
        <f t="shared" si="64"/>
        <v>228000000</v>
      </c>
      <c r="O705" s="89">
        <f t="shared" si="65"/>
        <v>636000000</v>
      </c>
      <c r="P705" s="87">
        <f t="shared" si="61"/>
        <v>4.0032731163844655E-2</v>
      </c>
      <c r="Q705" s="87">
        <f t="shared" si="62"/>
        <v>5.4384087618807864E-2</v>
      </c>
    </row>
    <row r="706" spans="1:17">
      <c r="A706" s="83">
        <v>732</v>
      </c>
      <c r="B706" s="83" t="s">
        <v>290</v>
      </c>
      <c r="C706" s="83" t="s">
        <v>18</v>
      </c>
      <c r="D706" s="84">
        <v>41978</v>
      </c>
      <c r="E706" s="85">
        <f t="shared" si="66"/>
        <v>2014</v>
      </c>
      <c r="F706" s="86">
        <v>4297842000</v>
      </c>
      <c r="G706" s="86">
        <v>3193722000</v>
      </c>
      <c r="H706" s="86">
        <v>902869000</v>
      </c>
      <c r="I706" s="86">
        <v>0</v>
      </c>
      <c r="J706" s="86">
        <v>0</v>
      </c>
      <c r="K706" s="83" t="s">
        <v>25</v>
      </c>
      <c r="L706" s="83" t="s">
        <v>284</v>
      </c>
      <c r="M706" s="91">
        <f t="shared" si="63"/>
        <v>1104120000</v>
      </c>
      <c r="N706" s="86">
        <f t="shared" si="64"/>
        <v>902869000</v>
      </c>
      <c r="O706" s="86">
        <f t="shared" si="65"/>
        <v>201251000</v>
      </c>
      <c r="P706" s="83">
        <f t="shared" ref="P706:P769" si="67">O706/F706</f>
        <v>4.682605828692632E-2</v>
      </c>
      <c r="Q706" s="83">
        <f t="shared" ref="Q706:Q769" si="68">1-G706/F706</f>
        <v>0.25690102148938931</v>
      </c>
    </row>
    <row r="707" spans="1:17">
      <c r="A707" s="87">
        <v>733</v>
      </c>
      <c r="B707" s="87" t="s">
        <v>290</v>
      </c>
      <c r="C707" s="87" t="s">
        <v>21</v>
      </c>
      <c r="D707" s="84">
        <v>41979</v>
      </c>
      <c r="E707" s="88">
        <f t="shared" si="66"/>
        <v>2014</v>
      </c>
      <c r="F707" s="89">
        <v>5348483000</v>
      </c>
      <c r="G707" s="89">
        <v>3891816000</v>
      </c>
      <c r="H707" s="89">
        <v>1126940000</v>
      </c>
      <c r="I707" s="89">
        <v>0</v>
      </c>
      <c r="J707" s="89">
        <v>0</v>
      </c>
      <c r="K707" s="87" t="s">
        <v>25</v>
      </c>
      <c r="L707" s="87" t="s">
        <v>284</v>
      </c>
      <c r="M707" s="90">
        <f t="shared" ref="M707:M770" si="69">F707-G707</f>
        <v>1456667000</v>
      </c>
      <c r="N707" s="89">
        <f t="shared" ref="N707:N770" si="70">H707+I707+J707</f>
        <v>1126940000</v>
      </c>
      <c r="O707" s="89">
        <f t="shared" ref="O707:O770" si="71">M707-N707</f>
        <v>329727000</v>
      </c>
      <c r="P707" s="87">
        <f t="shared" si="67"/>
        <v>6.1648695527311205E-2</v>
      </c>
      <c r="Q707" s="87">
        <f t="shared" si="68"/>
        <v>0.27235143123760508</v>
      </c>
    </row>
    <row r="708" spans="1:17">
      <c r="A708" s="83">
        <v>734</v>
      </c>
      <c r="B708" s="83" t="s">
        <v>290</v>
      </c>
      <c r="C708" s="83" t="s">
        <v>22</v>
      </c>
      <c r="D708" s="84">
        <v>41980</v>
      </c>
      <c r="E708" s="85">
        <f t="shared" si="66"/>
        <v>2014</v>
      </c>
      <c r="F708" s="86">
        <v>6155297000</v>
      </c>
      <c r="G708" s="86">
        <v>4338193000</v>
      </c>
      <c r="H708" s="86">
        <v>1347510000</v>
      </c>
      <c r="I708" s="86">
        <v>0</v>
      </c>
      <c r="J708" s="86">
        <v>0</v>
      </c>
      <c r="K708" s="83" t="s">
        <v>25</v>
      </c>
      <c r="L708" s="83" t="s">
        <v>284</v>
      </c>
      <c r="M708" s="91">
        <f t="shared" si="69"/>
        <v>1817104000</v>
      </c>
      <c r="N708" s="86">
        <f t="shared" si="70"/>
        <v>1347510000</v>
      </c>
      <c r="O708" s="86">
        <f t="shared" si="71"/>
        <v>469594000</v>
      </c>
      <c r="P708" s="83">
        <f t="shared" si="67"/>
        <v>7.6291038434051189E-2</v>
      </c>
      <c r="Q708" s="83">
        <f t="shared" si="68"/>
        <v>0.29520980059938617</v>
      </c>
    </row>
    <row r="709" spans="1:17">
      <c r="A709" s="87">
        <v>735</v>
      </c>
      <c r="B709" s="87" t="s">
        <v>290</v>
      </c>
      <c r="C709" s="87" t="s">
        <v>23</v>
      </c>
      <c r="D709" s="84">
        <v>41981</v>
      </c>
      <c r="E709" s="88">
        <f t="shared" si="66"/>
        <v>2014</v>
      </c>
      <c r="F709" s="89">
        <v>6911676000</v>
      </c>
      <c r="G709" s="89">
        <v>4818585000</v>
      </c>
      <c r="H709" s="89">
        <v>1513064000</v>
      </c>
      <c r="I709" s="89">
        <v>0</v>
      </c>
      <c r="J709" s="89">
        <v>0</v>
      </c>
      <c r="K709" s="87" t="s">
        <v>25</v>
      </c>
      <c r="L709" s="87" t="s">
        <v>284</v>
      </c>
      <c r="M709" s="90">
        <f t="shared" si="69"/>
        <v>2093091000</v>
      </c>
      <c r="N709" s="89">
        <f t="shared" si="70"/>
        <v>1513064000</v>
      </c>
      <c r="O709" s="89">
        <f t="shared" si="71"/>
        <v>580027000</v>
      </c>
      <c r="P709" s="87">
        <f t="shared" si="67"/>
        <v>8.3919877031272877E-2</v>
      </c>
      <c r="Q709" s="87">
        <f t="shared" si="68"/>
        <v>0.3028340738194325</v>
      </c>
    </row>
    <row r="710" spans="1:17">
      <c r="A710" s="83">
        <v>736</v>
      </c>
      <c r="B710" s="83" t="s">
        <v>291</v>
      </c>
      <c r="C710" s="83" t="s">
        <v>18</v>
      </c>
      <c r="D710" s="84">
        <v>41982</v>
      </c>
      <c r="E710" s="85">
        <f t="shared" si="66"/>
        <v>2014</v>
      </c>
      <c r="F710" s="86">
        <v>4088983000</v>
      </c>
      <c r="G710" s="86">
        <v>1671980000</v>
      </c>
      <c r="H710" s="86">
        <v>1269586000</v>
      </c>
      <c r="I710" s="86">
        <v>201197000</v>
      </c>
      <c r="J710" s="86">
        <v>92369000</v>
      </c>
      <c r="K710" s="83" t="s">
        <v>25</v>
      </c>
      <c r="L710" s="83" t="s">
        <v>292</v>
      </c>
      <c r="M710" s="91">
        <f t="shared" si="69"/>
        <v>2417003000</v>
      </c>
      <c r="N710" s="86">
        <f t="shared" si="70"/>
        <v>1563152000</v>
      </c>
      <c r="O710" s="86">
        <f t="shared" si="71"/>
        <v>853851000</v>
      </c>
      <c r="P710" s="83">
        <f t="shared" si="67"/>
        <v>0.20881744922881801</v>
      </c>
      <c r="Q710" s="83">
        <f t="shared" si="68"/>
        <v>0.59110125916395351</v>
      </c>
    </row>
    <row r="711" spans="1:17">
      <c r="A711" s="87">
        <v>737</v>
      </c>
      <c r="B711" s="87" t="s">
        <v>291</v>
      </c>
      <c r="C711" s="87" t="s">
        <v>21</v>
      </c>
      <c r="D711" s="84">
        <v>41983</v>
      </c>
      <c r="E711" s="88">
        <f t="shared" si="66"/>
        <v>2014</v>
      </c>
      <c r="F711" s="89">
        <v>4082157000</v>
      </c>
      <c r="G711" s="89">
        <v>1672901000</v>
      </c>
      <c r="H711" s="89">
        <v>1269777000</v>
      </c>
      <c r="I711" s="89">
        <v>207591000</v>
      </c>
      <c r="J711" s="89">
        <v>125876000</v>
      </c>
      <c r="K711" s="87" t="s">
        <v>25</v>
      </c>
      <c r="L711" s="87" t="s">
        <v>292</v>
      </c>
      <c r="M711" s="90">
        <f t="shared" si="69"/>
        <v>2409256000</v>
      </c>
      <c r="N711" s="89">
        <f t="shared" si="70"/>
        <v>1603244000</v>
      </c>
      <c r="O711" s="89">
        <f t="shared" si="71"/>
        <v>806012000</v>
      </c>
      <c r="P711" s="87">
        <f t="shared" si="67"/>
        <v>0.19744757489729081</v>
      </c>
      <c r="Q711" s="87">
        <f t="shared" si="68"/>
        <v>0.59019190099743835</v>
      </c>
    </row>
    <row r="712" spans="1:17">
      <c r="A712" s="83">
        <v>738</v>
      </c>
      <c r="B712" s="83" t="s">
        <v>291</v>
      </c>
      <c r="C712" s="83" t="s">
        <v>22</v>
      </c>
      <c r="D712" s="84">
        <v>41984</v>
      </c>
      <c r="E712" s="85">
        <f t="shared" si="66"/>
        <v>2014</v>
      </c>
      <c r="F712" s="86">
        <v>4277207000</v>
      </c>
      <c r="G712" s="86">
        <v>1698372000</v>
      </c>
      <c r="H712" s="86">
        <v>1315793000</v>
      </c>
      <c r="I712" s="86">
        <v>222556000</v>
      </c>
      <c r="J712" s="86">
        <v>99794000</v>
      </c>
      <c r="K712" s="83" t="s">
        <v>25</v>
      </c>
      <c r="L712" s="83" t="s">
        <v>292</v>
      </c>
      <c r="M712" s="91">
        <f t="shared" si="69"/>
        <v>2578835000</v>
      </c>
      <c r="N712" s="86">
        <f t="shared" si="70"/>
        <v>1638143000</v>
      </c>
      <c r="O712" s="86">
        <f t="shared" si="71"/>
        <v>940692000</v>
      </c>
      <c r="P712" s="83">
        <f t="shared" si="67"/>
        <v>0.21993137110268454</v>
      </c>
      <c r="Q712" s="83">
        <f t="shared" si="68"/>
        <v>0.60292499287502332</v>
      </c>
    </row>
    <row r="713" spans="1:17">
      <c r="A713" s="87">
        <v>739</v>
      </c>
      <c r="B713" s="87" t="s">
        <v>291</v>
      </c>
      <c r="C713" s="87" t="s">
        <v>23</v>
      </c>
      <c r="D713" s="84">
        <v>41985</v>
      </c>
      <c r="E713" s="88">
        <f t="shared" si="66"/>
        <v>2014</v>
      </c>
      <c r="F713" s="89">
        <v>4447509000</v>
      </c>
      <c r="G713" s="89">
        <v>1677033000</v>
      </c>
      <c r="H713" s="89">
        <v>1370183000</v>
      </c>
      <c r="I713" s="89">
        <v>242944000</v>
      </c>
      <c r="J713" s="89">
        <v>86171000</v>
      </c>
      <c r="K713" s="87" t="s">
        <v>25</v>
      </c>
      <c r="L713" s="87" t="s">
        <v>292</v>
      </c>
      <c r="M713" s="90">
        <f t="shared" si="69"/>
        <v>2770476000</v>
      </c>
      <c r="N713" s="89">
        <f t="shared" si="70"/>
        <v>1699298000</v>
      </c>
      <c r="O713" s="89">
        <f t="shared" si="71"/>
        <v>1071178000</v>
      </c>
      <c r="P713" s="87">
        <f t="shared" si="67"/>
        <v>0.24084897860802529</v>
      </c>
      <c r="Q713" s="87">
        <f t="shared" si="68"/>
        <v>0.62292757586325287</v>
      </c>
    </row>
    <row r="714" spans="1:17">
      <c r="A714" s="83">
        <v>740</v>
      </c>
      <c r="B714" s="83" t="s">
        <v>293</v>
      </c>
      <c r="C714" s="83" t="s">
        <v>18</v>
      </c>
      <c r="D714" s="84">
        <v>41986</v>
      </c>
      <c r="E714" s="85">
        <f t="shared" si="66"/>
        <v>2014</v>
      </c>
      <c r="F714" s="86">
        <v>3036584000</v>
      </c>
      <c r="G714" s="86">
        <v>162167000</v>
      </c>
      <c r="H714" s="86">
        <v>1789327000</v>
      </c>
      <c r="I714" s="86">
        <v>0</v>
      </c>
      <c r="J714" s="86">
        <v>193937000</v>
      </c>
      <c r="K714" s="83" t="s">
        <v>53</v>
      </c>
      <c r="L714" s="83" t="s">
        <v>111</v>
      </c>
      <c r="M714" s="91">
        <f t="shared" si="69"/>
        <v>2874417000</v>
      </c>
      <c r="N714" s="86">
        <f t="shared" si="70"/>
        <v>1983264000</v>
      </c>
      <c r="O714" s="86">
        <f t="shared" si="71"/>
        <v>891153000</v>
      </c>
      <c r="P714" s="83">
        <f t="shared" si="67"/>
        <v>0.29347220429271842</v>
      </c>
      <c r="Q714" s="83">
        <f t="shared" si="68"/>
        <v>0.94659558240443864</v>
      </c>
    </row>
    <row r="715" spans="1:17">
      <c r="A715" s="87">
        <v>741</v>
      </c>
      <c r="B715" s="87" t="s">
        <v>293</v>
      </c>
      <c r="C715" s="87" t="s">
        <v>21</v>
      </c>
      <c r="D715" s="84">
        <v>41987</v>
      </c>
      <c r="E715" s="88">
        <f t="shared" si="66"/>
        <v>2014</v>
      </c>
      <c r="F715" s="89">
        <v>2872833000</v>
      </c>
      <c r="G715" s="89">
        <v>116241000</v>
      </c>
      <c r="H715" s="89">
        <v>1716639000</v>
      </c>
      <c r="I715" s="89">
        <v>0</v>
      </c>
      <c r="J715" s="89">
        <v>131409000</v>
      </c>
      <c r="K715" s="87" t="s">
        <v>53</v>
      </c>
      <c r="L715" s="87" t="s">
        <v>111</v>
      </c>
      <c r="M715" s="90">
        <f t="shared" si="69"/>
        <v>2756592000</v>
      </c>
      <c r="N715" s="89">
        <f t="shared" si="70"/>
        <v>1848048000</v>
      </c>
      <c r="O715" s="89">
        <f t="shared" si="71"/>
        <v>908544000</v>
      </c>
      <c r="P715" s="87">
        <f t="shared" si="67"/>
        <v>0.31625367711941488</v>
      </c>
      <c r="Q715" s="87">
        <f t="shared" si="68"/>
        <v>0.95953784992027036</v>
      </c>
    </row>
    <row r="716" spans="1:17">
      <c r="A716" s="83">
        <v>742</v>
      </c>
      <c r="B716" s="83" t="s">
        <v>293</v>
      </c>
      <c r="C716" s="83" t="s">
        <v>22</v>
      </c>
      <c r="D716" s="84">
        <v>41988</v>
      </c>
      <c r="E716" s="85">
        <f t="shared" si="66"/>
        <v>2014</v>
      </c>
      <c r="F716" s="86">
        <v>2955641000</v>
      </c>
      <c r="G716" s="86">
        <v>86453000</v>
      </c>
      <c r="H716" s="86">
        <v>1843069000</v>
      </c>
      <c r="I716" s="86">
        <v>0</v>
      </c>
      <c r="J716" s="86">
        <v>120266000</v>
      </c>
      <c r="K716" s="83" t="s">
        <v>53</v>
      </c>
      <c r="L716" s="83" t="s">
        <v>111</v>
      </c>
      <c r="M716" s="91">
        <f t="shared" si="69"/>
        <v>2869188000</v>
      </c>
      <c r="N716" s="86">
        <f t="shared" si="70"/>
        <v>1963335000</v>
      </c>
      <c r="O716" s="86">
        <f t="shared" si="71"/>
        <v>905853000</v>
      </c>
      <c r="P716" s="83">
        <f t="shared" si="67"/>
        <v>0.30648275619400328</v>
      </c>
      <c r="Q716" s="83">
        <f t="shared" si="68"/>
        <v>0.97074983057820619</v>
      </c>
    </row>
    <row r="717" spans="1:17">
      <c r="A717" s="87">
        <v>743</v>
      </c>
      <c r="B717" s="87" t="s">
        <v>293</v>
      </c>
      <c r="C717" s="87" t="s">
        <v>23</v>
      </c>
      <c r="D717" s="84">
        <v>41989</v>
      </c>
      <c r="E717" s="88">
        <f t="shared" si="66"/>
        <v>2014</v>
      </c>
      <c r="F717" s="89">
        <v>3153251000</v>
      </c>
      <c r="G717" s="89">
        <v>82175000</v>
      </c>
      <c r="H717" s="89">
        <v>1948041000</v>
      </c>
      <c r="I717" s="89">
        <v>0</v>
      </c>
      <c r="J717" s="89">
        <v>127821000</v>
      </c>
      <c r="K717" s="87" t="s">
        <v>53</v>
      </c>
      <c r="L717" s="87" t="s">
        <v>111</v>
      </c>
      <c r="M717" s="90">
        <f t="shared" si="69"/>
        <v>3071076000</v>
      </c>
      <c r="N717" s="89">
        <f t="shared" si="70"/>
        <v>2075862000</v>
      </c>
      <c r="O717" s="89">
        <f t="shared" si="71"/>
        <v>995214000</v>
      </c>
      <c r="P717" s="87">
        <f t="shared" si="67"/>
        <v>0.31561521743749549</v>
      </c>
      <c r="Q717" s="87">
        <f t="shared" si="68"/>
        <v>0.9739395944059005</v>
      </c>
    </row>
    <row r="718" spans="1:17">
      <c r="A718" s="83">
        <v>744</v>
      </c>
      <c r="B718" s="83" t="s">
        <v>294</v>
      </c>
      <c r="C718" s="83" t="s">
        <v>18</v>
      </c>
      <c r="D718" s="84">
        <v>41990</v>
      </c>
      <c r="E718" s="85">
        <f t="shared" si="66"/>
        <v>2014</v>
      </c>
      <c r="F718" s="86">
        <v>4627802000</v>
      </c>
      <c r="G718" s="86">
        <v>3016109000</v>
      </c>
      <c r="H718" s="86">
        <v>1096507000</v>
      </c>
      <c r="I718" s="86">
        <v>0</v>
      </c>
      <c r="J718" s="86">
        <v>0</v>
      </c>
      <c r="K718" s="83" t="s">
        <v>25</v>
      </c>
      <c r="L718" s="83" t="s">
        <v>295</v>
      </c>
      <c r="M718" s="91">
        <f t="shared" si="69"/>
        <v>1611693000</v>
      </c>
      <c r="N718" s="86">
        <f t="shared" si="70"/>
        <v>1096507000</v>
      </c>
      <c r="O718" s="86">
        <f t="shared" si="71"/>
        <v>515186000</v>
      </c>
      <c r="P718" s="83">
        <f t="shared" si="67"/>
        <v>0.11132412320146799</v>
      </c>
      <c r="Q718" s="83">
        <f t="shared" si="68"/>
        <v>0.34826317115555072</v>
      </c>
    </row>
    <row r="719" spans="1:17">
      <c r="A719" s="87">
        <v>745</v>
      </c>
      <c r="B719" s="87" t="s">
        <v>294</v>
      </c>
      <c r="C719" s="87" t="s">
        <v>21</v>
      </c>
      <c r="D719" s="84">
        <v>41991</v>
      </c>
      <c r="E719" s="88">
        <f t="shared" si="66"/>
        <v>2014</v>
      </c>
      <c r="F719" s="89">
        <v>5324746000</v>
      </c>
      <c r="G719" s="89">
        <v>3420339000</v>
      </c>
      <c r="H719" s="89">
        <v>1340453000</v>
      </c>
      <c r="I719" s="89">
        <v>0</v>
      </c>
      <c r="J719" s="89">
        <v>0</v>
      </c>
      <c r="K719" s="87" t="s">
        <v>25</v>
      </c>
      <c r="L719" s="87" t="s">
        <v>295</v>
      </c>
      <c r="M719" s="90">
        <f t="shared" si="69"/>
        <v>1904407000</v>
      </c>
      <c r="N719" s="89">
        <f t="shared" si="70"/>
        <v>1340453000</v>
      </c>
      <c r="O719" s="89">
        <f t="shared" si="71"/>
        <v>563954000</v>
      </c>
      <c r="P719" s="87">
        <f t="shared" si="67"/>
        <v>0.10591190640830567</v>
      </c>
      <c r="Q719" s="87">
        <f t="shared" si="68"/>
        <v>0.35765217721183318</v>
      </c>
    </row>
    <row r="720" spans="1:17">
      <c r="A720" s="83">
        <v>746</v>
      </c>
      <c r="B720" s="83" t="s">
        <v>294</v>
      </c>
      <c r="C720" s="83" t="s">
        <v>22</v>
      </c>
      <c r="D720" s="84">
        <v>41992</v>
      </c>
      <c r="E720" s="85">
        <f t="shared" si="66"/>
        <v>2014</v>
      </c>
      <c r="F720" s="86">
        <v>5731549000</v>
      </c>
      <c r="G720" s="86">
        <v>3595217000</v>
      </c>
      <c r="H720" s="86">
        <v>1541214000</v>
      </c>
      <c r="I720" s="86">
        <v>0</v>
      </c>
      <c r="J720" s="86">
        <v>0</v>
      </c>
      <c r="K720" s="83" t="s">
        <v>25</v>
      </c>
      <c r="L720" s="83" t="s">
        <v>295</v>
      </c>
      <c r="M720" s="91">
        <f t="shared" si="69"/>
        <v>2136332000</v>
      </c>
      <c r="N720" s="86">
        <f t="shared" si="70"/>
        <v>1541214000</v>
      </c>
      <c r="O720" s="86">
        <f t="shared" si="71"/>
        <v>595118000</v>
      </c>
      <c r="P720" s="83">
        <f t="shared" si="67"/>
        <v>0.10383196584378848</v>
      </c>
      <c r="Q720" s="83">
        <f t="shared" si="68"/>
        <v>0.37273204852649777</v>
      </c>
    </row>
    <row r="721" spans="1:17">
      <c r="A721" s="87">
        <v>747</v>
      </c>
      <c r="B721" s="87" t="s">
        <v>294</v>
      </c>
      <c r="C721" s="87" t="s">
        <v>23</v>
      </c>
      <c r="D721" s="84">
        <v>41993</v>
      </c>
      <c r="E721" s="88">
        <f t="shared" si="66"/>
        <v>2014</v>
      </c>
      <c r="F721" s="89">
        <v>6028199000</v>
      </c>
      <c r="G721" s="89">
        <v>3752151000</v>
      </c>
      <c r="H721" s="89">
        <v>1500399000</v>
      </c>
      <c r="I721" s="89">
        <v>0</v>
      </c>
      <c r="J721" s="89">
        <v>0</v>
      </c>
      <c r="K721" s="87" t="s">
        <v>25</v>
      </c>
      <c r="L721" s="87" t="s">
        <v>295</v>
      </c>
      <c r="M721" s="90">
        <f t="shared" si="69"/>
        <v>2276048000</v>
      </c>
      <c r="N721" s="89">
        <f t="shared" si="70"/>
        <v>1500399000</v>
      </c>
      <c r="O721" s="89">
        <f t="shared" si="71"/>
        <v>775649000</v>
      </c>
      <c r="P721" s="87">
        <f t="shared" si="67"/>
        <v>0.12867010528351835</v>
      </c>
      <c r="Q721" s="87">
        <f t="shared" si="68"/>
        <v>0.3775668321500335</v>
      </c>
    </row>
    <row r="722" spans="1:17">
      <c r="A722" s="83">
        <v>748</v>
      </c>
      <c r="B722" s="83" t="s">
        <v>296</v>
      </c>
      <c r="C722" s="83" t="s">
        <v>18</v>
      </c>
      <c r="D722" s="84">
        <v>41994</v>
      </c>
      <c r="E722" s="85">
        <f t="shared" si="66"/>
        <v>2014</v>
      </c>
      <c r="F722" s="86">
        <v>33013000000</v>
      </c>
      <c r="G722" s="86">
        <v>5717000000</v>
      </c>
      <c r="H722" s="86">
        <v>20801000000</v>
      </c>
      <c r="I722" s="86">
        <v>0</v>
      </c>
      <c r="J722" s="86">
        <v>1679000000</v>
      </c>
      <c r="K722" s="83" t="s">
        <v>31</v>
      </c>
      <c r="L722" s="83" t="s">
        <v>205</v>
      </c>
      <c r="M722" s="91">
        <f t="shared" si="69"/>
        <v>27296000000</v>
      </c>
      <c r="N722" s="86">
        <f t="shared" si="70"/>
        <v>22480000000</v>
      </c>
      <c r="O722" s="86">
        <f t="shared" si="71"/>
        <v>4816000000</v>
      </c>
      <c r="P722" s="83">
        <f t="shared" si="67"/>
        <v>0.14588192530215369</v>
      </c>
      <c r="Q722" s="83">
        <f t="shared" si="68"/>
        <v>0.8268257958985854</v>
      </c>
    </row>
    <row r="723" spans="1:17">
      <c r="A723" s="87">
        <v>749</v>
      </c>
      <c r="B723" s="87" t="s">
        <v>296</v>
      </c>
      <c r="C723" s="87" t="s">
        <v>21</v>
      </c>
      <c r="D723" s="84">
        <v>41995</v>
      </c>
      <c r="E723" s="88">
        <f t="shared" si="66"/>
        <v>2014</v>
      </c>
      <c r="F723" s="89">
        <v>34182000000</v>
      </c>
      <c r="G723" s="89">
        <v>5970000000</v>
      </c>
      <c r="H723" s="89">
        <v>21667000000</v>
      </c>
      <c r="I723" s="89">
        <v>0</v>
      </c>
      <c r="J723" s="89">
        <v>1753000000</v>
      </c>
      <c r="K723" s="87" t="s">
        <v>31</v>
      </c>
      <c r="L723" s="87" t="s">
        <v>205</v>
      </c>
      <c r="M723" s="90">
        <f t="shared" si="69"/>
        <v>28212000000</v>
      </c>
      <c r="N723" s="89">
        <f t="shared" si="70"/>
        <v>23420000000</v>
      </c>
      <c r="O723" s="89">
        <f t="shared" si="71"/>
        <v>4792000000</v>
      </c>
      <c r="P723" s="87">
        <f t="shared" si="67"/>
        <v>0.14019074366625708</v>
      </c>
      <c r="Q723" s="87">
        <f t="shared" si="68"/>
        <v>0.82534667368790593</v>
      </c>
    </row>
    <row r="724" spans="1:17">
      <c r="A724" s="83">
        <v>750</v>
      </c>
      <c r="B724" s="83" t="s">
        <v>296</v>
      </c>
      <c r="C724" s="83" t="s">
        <v>22</v>
      </c>
      <c r="D724" s="84">
        <v>41996</v>
      </c>
      <c r="E724" s="85">
        <f t="shared" si="66"/>
        <v>2014</v>
      </c>
      <c r="F724" s="86">
        <v>36918000000</v>
      </c>
      <c r="G724" s="86">
        <v>6262000000</v>
      </c>
      <c r="H724" s="86">
        <v>23271000000</v>
      </c>
      <c r="I724" s="86">
        <v>0</v>
      </c>
      <c r="J724" s="86">
        <v>1820000000</v>
      </c>
      <c r="K724" s="83" t="s">
        <v>31</v>
      </c>
      <c r="L724" s="83" t="s">
        <v>205</v>
      </c>
      <c r="M724" s="91">
        <f t="shared" si="69"/>
        <v>30656000000</v>
      </c>
      <c r="N724" s="86">
        <f t="shared" si="70"/>
        <v>25091000000</v>
      </c>
      <c r="O724" s="86">
        <f t="shared" si="71"/>
        <v>5565000000</v>
      </c>
      <c r="P724" s="83">
        <f t="shared" si="67"/>
        <v>0.15073947667804324</v>
      </c>
      <c r="Q724" s="83">
        <f t="shared" si="68"/>
        <v>0.83038084403272117</v>
      </c>
    </row>
    <row r="725" spans="1:17">
      <c r="A725" s="87">
        <v>751</v>
      </c>
      <c r="B725" s="87" t="s">
        <v>296</v>
      </c>
      <c r="C725" s="87" t="s">
        <v>23</v>
      </c>
      <c r="D725" s="84">
        <v>41997</v>
      </c>
      <c r="E725" s="88">
        <f t="shared" si="66"/>
        <v>2014</v>
      </c>
      <c r="F725" s="89">
        <v>39678000000</v>
      </c>
      <c r="G725" s="89">
        <v>6638000000</v>
      </c>
      <c r="H725" s="89">
        <v>25171000000</v>
      </c>
      <c r="I725" s="89">
        <v>0</v>
      </c>
      <c r="J725" s="89">
        <v>1904000000</v>
      </c>
      <c r="K725" s="87" t="s">
        <v>31</v>
      </c>
      <c r="L725" s="87" t="s">
        <v>205</v>
      </c>
      <c r="M725" s="90">
        <f t="shared" si="69"/>
        <v>33040000000</v>
      </c>
      <c r="N725" s="89">
        <f t="shared" si="70"/>
        <v>27075000000</v>
      </c>
      <c r="O725" s="89">
        <f t="shared" si="71"/>
        <v>5965000000</v>
      </c>
      <c r="P725" s="87">
        <f t="shared" si="67"/>
        <v>0.15033519834669087</v>
      </c>
      <c r="Q725" s="87">
        <f t="shared" si="68"/>
        <v>0.83270326125308736</v>
      </c>
    </row>
    <row r="726" spans="1:17">
      <c r="A726" s="83">
        <v>752</v>
      </c>
      <c r="B726" s="83" t="s">
        <v>297</v>
      </c>
      <c r="C726" s="83" t="s">
        <v>18</v>
      </c>
      <c r="D726" s="84">
        <v>41998</v>
      </c>
      <c r="E726" s="85">
        <f t="shared" si="66"/>
        <v>2014</v>
      </c>
      <c r="F726" s="86">
        <v>1765979000</v>
      </c>
      <c r="G726" s="86">
        <v>567989000</v>
      </c>
      <c r="H726" s="86">
        <v>158950000</v>
      </c>
      <c r="I726" s="86">
        <v>0</v>
      </c>
      <c r="J726" s="86">
        <v>506220000</v>
      </c>
      <c r="K726" s="83" t="s">
        <v>58</v>
      </c>
      <c r="L726" s="83" t="s">
        <v>59</v>
      </c>
      <c r="M726" s="91">
        <f t="shared" si="69"/>
        <v>1197990000</v>
      </c>
      <c r="N726" s="86">
        <f t="shared" si="70"/>
        <v>665170000</v>
      </c>
      <c r="O726" s="86">
        <f t="shared" si="71"/>
        <v>532820000</v>
      </c>
      <c r="P726" s="83">
        <f t="shared" si="67"/>
        <v>0.30171366703681074</v>
      </c>
      <c r="Q726" s="83">
        <f t="shared" si="68"/>
        <v>0.67837160011529019</v>
      </c>
    </row>
    <row r="727" spans="1:17">
      <c r="A727" s="87">
        <v>753</v>
      </c>
      <c r="B727" s="87" t="s">
        <v>297</v>
      </c>
      <c r="C727" s="87" t="s">
        <v>21</v>
      </c>
      <c r="D727" s="84">
        <v>41999</v>
      </c>
      <c r="E727" s="88">
        <f t="shared" si="66"/>
        <v>2014</v>
      </c>
      <c r="F727" s="89">
        <v>2847945000</v>
      </c>
      <c r="G727" s="89">
        <v>1206813000</v>
      </c>
      <c r="H727" s="89">
        <v>241719000</v>
      </c>
      <c r="I727" s="89">
        <v>0</v>
      </c>
      <c r="J727" s="89">
        <v>865800000</v>
      </c>
      <c r="K727" s="87" t="s">
        <v>58</v>
      </c>
      <c r="L727" s="87" t="s">
        <v>59</v>
      </c>
      <c r="M727" s="90">
        <f t="shared" si="69"/>
        <v>1641132000</v>
      </c>
      <c r="N727" s="89">
        <f t="shared" si="70"/>
        <v>1107519000</v>
      </c>
      <c r="O727" s="89">
        <f t="shared" si="71"/>
        <v>533613000</v>
      </c>
      <c r="P727" s="87">
        <f t="shared" si="67"/>
        <v>0.18736773357631556</v>
      </c>
      <c r="Q727" s="87">
        <f t="shared" si="68"/>
        <v>0.57625129698782807</v>
      </c>
    </row>
    <row r="728" spans="1:17">
      <c r="A728" s="83">
        <v>754</v>
      </c>
      <c r="B728" s="83" t="s">
        <v>297</v>
      </c>
      <c r="C728" s="83" t="s">
        <v>22</v>
      </c>
      <c r="D728" s="84">
        <v>42000</v>
      </c>
      <c r="E728" s="85">
        <f t="shared" si="66"/>
        <v>2014</v>
      </c>
      <c r="F728" s="86">
        <v>3305879000</v>
      </c>
      <c r="G728" s="86">
        <v>1403358000</v>
      </c>
      <c r="H728" s="86">
        <v>212481000</v>
      </c>
      <c r="I728" s="86">
        <v>0</v>
      </c>
      <c r="J728" s="86">
        <v>844130000</v>
      </c>
      <c r="K728" s="83" t="s">
        <v>58</v>
      </c>
      <c r="L728" s="83" t="s">
        <v>59</v>
      </c>
      <c r="M728" s="91">
        <f t="shared" si="69"/>
        <v>1902521000</v>
      </c>
      <c r="N728" s="86">
        <f t="shared" si="70"/>
        <v>1056611000</v>
      </c>
      <c r="O728" s="86">
        <f t="shared" si="71"/>
        <v>845910000</v>
      </c>
      <c r="P728" s="83">
        <f t="shared" si="67"/>
        <v>0.25588050863325607</v>
      </c>
      <c r="Q728" s="83">
        <f t="shared" si="68"/>
        <v>0.57549625984496111</v>
      </c>
    </row>
    <row r="729" spans="1:17">
      <c r="A729" s="87">
        <v>755</v>
      </c>
      <c r="B729" s="87" t="s">
        <v>297</v>
      </c>
      <c r="C729" s="87" t="s">
        <v>23</v>
      </c>
      <c r="D729" s="84">
        <v>42001</v>
      </c>
      <c r="E729" s="88">
        <f t="shared" si="66"/>
        <v>2014</v>
      </c>
      <c r="F729" s="89">
        <v>3775685000</v>
      </c>
      <c r="G729" s="89">
        <v>1622257000</v>
      </c>
      <c r="H729" s="89">
        <v>258342000</v>
      </c>
      <c r="I729" s="89">
        <v>0</v>
      </c>
      <c r="J729" s="89">
        <v>826240000</v>
      </c>
      <c r="K729" s="87" t="s">
        <v>58</v>
      </c>
      <c r="L729" s="87" t="s">
        <v>59</v>
      </c>
      <c r="M729" s="90">
        <f t="shared" si="69"/>
        <v>2153428000</v>
      </c>
      <c r="N729" s="89">
        <f t="shared" si="70"/>
        <v>1084582000</v>
      </c>
      <c r="O729" s="89">
        <f t="shared" si="71"/>
        <v>1068846000</v>
      </c>
      <c r="P729" s="87">
        <f t="shared" si="67"/>
        <v>0.28308664520477739</v>
      </c>
      <c r="Q729" s="87">
        <f t="shared" si="68"/>
        <v>0.57034101096887058</v>
      </c>
    </row>
    <row r="730" spans="1:17">
      <c r="A730" s="83">
        <v>756</v>
      </c>
      <c r="B730" s="83" t="s">
        <v>298</v>
      </c>
      <c r="C730" s="83" t="s">
        <v>18</v>
      </c>
      <c r="D730" s="84">
        <v>42002</v>
      </c>
      <c r="E730" s="85">
        <f t="shared" si="66"/>
        <v>2014</v>
      </c>
      <c r="F730" s="86">
        <v>2013719000</v>
      </c>
      <c r="G730" s="86">
        <v>0</v>
      </c>
      <c r="H730" s="86">
        <v>401324000</v>
      </c>
      <c r="I730" s="86">
        <v>0</v>
      </c>
      <c r="J730" s="86">
        <v>423312000</v>
      </c>
      <c r="K730" s="83" t="s">
        <v>58</v>
      </c>
      <c r="L730" s="83" t="s">
        <v>59</v>
      </c>
      <c r="M730" s="91">
        <f t="shared" si="69"/>
        <v>2013719000</v>
      </c>
      <c r="N730" s="86">
        <f t="shared" si="70"/>
        <v>824636000</v>
      </c>
      <c r="O730" s="86">
        <f t="shared" si="71"/>
        <v>1189083000</v>
      </c>
      <c r="P730" s="83">
        <f t="shared" si="67"/>
        <v>0.59049102680165411</v>
      </c>
      <c r="Q730" s="83">
        <f t="shared" si="68"/>
        <v>1</v>
      </c>
    </row>
    <row r="731" spans="1:17">
      <c r="A731" s="87">
        <v>757</v>
      </c>
      <c r="B731" s="87" t="s">
        <v>298</v>
      </c>
      <c r="C731" s="87" t="s">
        <v>21</v>
      </c>
      <c r="D731" s="84">
        <v>42003</v>
      </c>
      <c r="E731" s="88">
        <f t="shared" si="66"/>
        <v>2014</v>
      </c>
      <c r="F731" s="89">
        <v>1563210000</v>
      </c>
      <c r="G731" s="89">
        <v>0</v>
      </c>
      <c r="H731" s="89">
        <v>463059000</v>
      </c>
      <c r="I731" s="89">
        <v>0</v>
      </c>
      <c r="J731" s="89">
        <v>455016000</v>
      </c>
      <c r="K731" s="87" t="s">
        <v>58</v>
      </c>
      <c r="L731" s="87" t="s">
        <v>59</v>
      </c>
      <c r="M731" s="90">
        <f t="shared" si="69"/>
        <v>1563210000</v>
      </c>
      <c r="N731" s="89">
        <f t="shared" si="70"/>
        <v>918075000</v>
      </c>
      <c r="O731" s="89">
        <f t="shared" si="71"/>
        <v>645135000</v>
      </c>
      <c r="P731" s="87">
        <f t="shared" si="67"/>
        <v>0.4126988696336385</v>
      </c>
      <c r="Q731" s="87">
        <f t="shared" si="68"/>
        <v>1</v>
      </c>
    </row>
    <row r="732" spans="1:17">
      <c r="A732" s="83">
        <v>758</v>
      </c>
      <c r="B732" s="83" t="s">
        <v>298</v>
      </c>
      <c r="C732" s="83" t="s">
        <v>22</v>
      </c>
      <c r="D732" s="84">
        <v>42004</v>
      </c>
      <c r="E732" s="85">
        <f t="shared" si="66"/>
        <v>2014</v>
      </c>
      <c r="F732" s="86">
        <v>1828305000</v>
      </c>
      <c r="G732" s="86">
        <v>0</v>
      </c>
      <c r="H732" s="86">
        <v>706644000</v>
      </c>
      <c r="I732" s="86">
        <v>0</v>
      </c>
      <c r="J732" s="86">
        <v>504905000</v>
      </c>
      <c r="K732" s="83" t="s">
        <v>58</v>
      </c>
      <c r="L732" s="83" t="s">
        <v>59</v>
      </c>
      <c r="M732" s="91">
        <f t="shared" si="69"/>
        <v>1828305000</v>
      </c>
      <c r="N732" s="86">
        <f t="shared" si="70"/>
        <v>1211549000</v>
      </c>
      <c r="O732" s="86">
        <f t="shared" si="71"/>
        <v>616756000</v>
      </c>
      <c r="P732" s="83">
        <f t="shared" si="67"/>
        <v>0.33733758864084495</v>
      </c>
      <c r="Q732" s="83">
        <f t="shared" si="68"/>
        <v>1</v>
      </c>
    </row>
    <row r="733" spans="1:17">
      <c r="A733" s="87">
        <v>759</v>
      </c>
      <c r="B733" s="87" t="s">
        <v>298</v>
      </c>
      <c r="C733" s="87" t="s">
        <v>23</v>
      </c>
      <c r="D733" s="84">
        <v>42005</v>
      </c>
      <c r="E733" s="88">
        <f t="shared" si="66"/>
        <v>2015</v>
      </c>
      <c r="F733" s="89">
        <v>2040486000</v>
      </c>
      <c r="G733" s="89">
        <v>0</v>
      </c>
      <c r="H733" s="89">
        <v>842010000</v>
      </c>
      <c r="I733" s="89">
        <v>0</v>
      </c>
      <c r="J733" s="89">
        <v>568108000</v>
      </c>
      <c r="K733" s="87" t="s">
        <v>58</v>
      </c>
      <c r="L733" s="87" t="s">
        <v>59</v>
      </c>
      <c r="M733" s="90">
        <f t="shared" si="69"/>
        <v>2040486000</v>
      </c>
      <c r="N733" s="89">
        <f t="shared" si="70"/>
        <v>1410118000</v>
      </c>
      <c r="O733" s="89">
        <f t="shared" si="71"/>
        <v>630368000</v>
      </c>
      <c r="P733" s="87">
        <f t="shared" si="67"/>
        <v>0.3089303234621556</v>
      </c>
      <c r="Q733" s="87">
        <f t="shared" si="68"/>
        <v>1</v>
      </c>
    </row>
    <row r="734" spans="1:17">
      <c r="A734" s="83">
        <v>760</v>
      </c>
      <c r="B734" s="83" t="s">
        <v>299</v>
      </c>
      <c r="C734" s="83" t="s">
        <v>18</v>
      </c>
      <c r="D734" s="84">
        <v>42006</v>
      </c>
      <c r="E734" s="85">
        <f t="shared" si="66"/>
        <v>2015</v>
      </c>
      <c r="F734" s="86">
        <v>74754000000</v>
      </c>
      <c r="G734" s="86">
        <v>48912000000</v>
      </c>
      <c r="H734" s="86">
        <v>16508000000</v>
      </c>
      <c r="I734" s="86">
        <v>0</v>
      </c>
      <c r="J734" s="86">
        <v>1568000000</v>
      </c>
      <c r="K734" s="83" t="s">
        <v>25</v>
      </c>
      <c r="L734" s="83" t="s">
        <v>300</v>
      </c>
      <c r="M734" s="91">
        <f t="shared" si="69"/>
        <v>25842000000</v>
      </c>
      <c r="N734" s="86">
        <f t="shared" si="70"/>
        <v>18076000000</v>
      </c>
      <c r="O734" s="86">
        <f t="shared" si="71"/>
        <v>7766000000</v>
      </c>
      <c r="P734" s="83">
        <f t="shared" si="67"/>
        <v>0.10388741739572464</v>
      </c>
      <c r="Q734" s="83">
        <f t="shared" si="68"/>
        <v>0.34569387591299461</v>
      </c>
    </row>
    <row r="735" spans="1:17">
      <c r="A735" s="87">
        <v>761</v>
      </c>
      <c r="B735" s="87" t="s">
        <v>299</v>
      </c>
      <c r="C735" s="87" t="s">
        <v>21</v>
      </c>
      <c r="D735" s="84">
        <v>42007</v>
      </c>
      <c r="E735" s="88">
        <f t="shared" si="66"/>
        <v>2015</v>
      </c>
      <c r="F735" s="89">
        <v>78812000000</v>
      </c>
      <c r="G735" s="89">
        <v>51897000000</v>
      </c>
      <c r="H735" s="89">
        <v>16122000000</v>
      </c>
      <c r="I735" s="89">
        <v>0</v>
      </c>
      <c r="J735" s="89">
        <v>1627000000</v>
      </c>
      <c r="K735" s="87" t="s">
        <v>25</v>
      </c>
      <c r="L735" s="87" t="s">
        <v>300</v>
      </c>
      <c r="M735" s="90">
        <f t="shared" si="69"/>
        <v>26915000000</v>
      </c>
      <c r="N735" s="89">
        <f t="shared" si="70"/>
        <v>17749000000</v>
      </c>
      <c r="O735" s="89">
        <f t="shared" si="71"/>
        <v>9166000000</v>
      </c>
      <c r="P735" s="87">
        <f t="shared" si="67"/>
        <v>0.11630208597675482</v>
      </c>
      <c r="Q735" s="87">
        <f t="shared" si="68"/>
        <v>0.34150890727300409</v>
      </c>
    </row>
    <row r="736" spans="1:17">
      <c r="A736" s="83">
        <v>762</v>
      </c>
      <c r="B736" s="83" t="s">
        <v>299</v>
      </c>
      <c r="C736" s="83" t="s">
        <v>22</v>
      </c>
      <c r="D736" s="84">
        <v>42008</v>
      </c>
      <c r="E736" s="85">
        <f t="shared" si="66"/>
        <v>2015</v>
      </c>
      <c r="F736" s="86">
        <v>83176000000</v>
      </c>
      <c r="G736" s="86">
        <v>54787000000</v>
      </c>
      <c r="H736" s="86">
        <v>16280000000</v>
      </c>
      <c r="I736" s="86">
        <v>0</v>
      </c>
      <c r="J736" s="86">
        <v>1640000000</v>
      </c>
      <c r="K736" s="83" t="s">
        <v>25</v>
      </c>
      <c r="L736" s="83" t="s">
        <v>300</v>
      </c>
      <c r="M736" s="91">
        <f t="shared" si="69"/>
        <v>28389000000</v>
      </c>
      <c r="N736" s="86">
        <f t="shared" si="70"/>
        <v>17920000000</v>
      </c>
      <c r="O736" s="86">
        <f t="shared" si="71"/>
        <v>10469000000</v>
      </c>
      <c r="P736" s="83">
        <f t="shared" si="67"/>
        <v>0.12586563431759162</v>
      </c>
      <c r="Q736" s="83">
        <f t="shared" si="68"/>
        <v>0.34131239780705969</v>
      </c>
    </row>
    <row r="737" spans="1:17">
      <c r="A737" s="87">
        <v>763</v>
      </c>
      <c r="B737" s="87" t="s">
        <v>299</v>
      </c>
      <c r="C737" s="87" t="s">
        <v>23</v>
      </c>
      <c r="D737" s="84">
        <v>42009</v>
      </c>
      <c r="E737" s="88">
        <f t="shared" si="66"/>
        <v>2015</v>
      </c>
      <c r="F737" s="89">
        <v>88519000000</v>
      </c>
      <c r="G737" s="89">
        <v>58254000000</v>
      </c>
      <c r="H737" s="89">
        <v>16801000000</v>
      </c>
      <c r="I737" s="89">
        <v>0</v>
      </c>
      <c r="J737" s="89">
        <v>1690000000</v>
      </c>
      <c r="K737" s="87" t="s">
        <v>25</v>
      </c>
      <c r="L737" s="87" t="s">
        <v>300</v>
      </c>
      <c r="M737" s="90">
        <f t="shared" si="69"/>
        <v>30265000000</v>
      </c>
      <c r="N737" s="89">
        <f t="shared" si="70"/>
        <v>18491000000</v>
      </c>
      <c r="O737" s="89">
        <f t="shared" si="71"/>
        <v>11774000000</v>
      </c>
      <c r="P737" s="87">
        <f t="shared" si="67"/>
        <v>0.13301099199042013</v>
      </c>
      <c r="Q737" s="87">
        <f t="shared" si="68"/>
        <v>0.34190399801172633</v>
      </c>
    </row>
    <row r="738" spans="1:17">
      <c r="A738" s="83">
        <v>764</v>
      </c>
      <c r="B738" s="83" t="s">
        <v>301</v>
      </c>
      <c r="C738" s="83" t="s">
        <v>18</v>
      </c>
      <c r="D738" s="84">
        <v>42010</v>
      </c>
      <c r="E738" s="85">
        <f t="shared" si="66"/>
        <v>2015</v>
      </c>
      <c r="F738" s="86">
        <v>12245000000</v>
      </c>
      <c r="G738" s="86">
        <v>3535000000</v>
      </c>
      <c r="H738" s="86">
        <v>1126000000</v>
      </c>
      <c r="I738" s="86">
        <v>0</v>
      </c>
      <c r="J738" s="86">
        <v>2866000000</v>
      </c>
      <c r="K738" s="83" t="s">
        <v>89</v>
      </c>
      <c r="L738" s="83" t="s">
        <v>150</v>
      </c>
      <c r="M738" s="91">
        <f t="shared" si="69"/>
        <v>8710000000</v>
      </c>
      <c r="N738" s="86">
        <f t="shared" si="70"/>
        <v>3992000000</v>
      </c>
      <c r="O738" s="86">
        <f t="shared" si="71"/>
        <v>4718000000</v>
      </c>
      <c r="P738" s="83">
        <f t="shared" si="67"/>
        <v>0.38530012249897916</v>
      </c>
      <c r="Q738" s="83">
        <f t="shared" si="68"/>
        <v>0.71131073907717435</v>
      </c>
    </row>
    <row r="739" spans="1:17">
      <c r="A739" s="87">
        <v>765</v>
      </c>
      <c r="B739" s="87" t="s">
        <v>301</v>
      </c>
      <c r="C739" s="87" t="s">
        <v>21</v>
      </c>
      <c r="D739" s="84">
        <v>42011</v>
      </c>
      <c r="E739" s="88">
        <f t="shared" si="66"/>
        <v>2015</v>
      </c>
      <c r="F739" s="89">
        <v>11905000000</v>
      </c>
      <c r="G739" s="89">
        <v>3969000000</v>
      </c>
      <c r="H739" s="89">
        <v>1045000000</v>
      </c>
      <c r="I739" s="89">
        <v>0</v>
      </c>
      <c r="J739" s="89">
        <v>2687000000</v>
      </c>
      <c r="K739" s="87" t="s">
        <v>89</v>
      </c>
      <c r="L739" s="87" t="s">
        <v>150</v>
      </c>
      <c r="M739" s="90">
        <f t="shared" si="69"/>
        <v>7936000000</v>
      </c>
      <c r="N739" s="89">
        <f t="shared" si="70"/>
        <v>3732000000</v>
      </c>
      <c r="O739" s="89">
        <f t="shared" si="71"/>
        <v>4204000000</v>
      </c>
      <c r="P739" s="87">
        <f t="shared" si="67"/>
        <v>0.35312893742125157</v>
      </c>
      <c r="Q739" s="87">
        <f t="shared" si="68"/>
        <v>0.66661066778664424</v>
      </c>
    </row>
    <row r="740" spans="1:17">
      <c r="A740" s="83">
        <v>766</v>
      </c>
      <c r="B740" s="83" t="s">
        <v>301</v>
      </c>
      <c r="C740" s="83" t="s">
        <v>22</v>
      </c>
      <c r="D740" s="84">
        <v>42012</v>
      </c>
      <c r="E740" s="85">
        <f t="shared" si="66"/>
        <v>2015</v>
      </c>
      <c r="F740" s="86">
        <v>10737000000</v>
      </c>
      <c r="G740" s="86">
        <v>3753000000</v>
      </c>
      <c r="H740" s="86">
        <v>863000000</v>
      </c>
      <c r="I740" s="86">
        <v>0</v>
      </c>
      <c r="J740" s="86">
        <v>3224000000</v>
      </c>
      <c r="K740" s="83" t="s">
        <v>89</v>
      </c>
      <c r="L740" s="83" t="s">
        <v>150</v>
      </c>
      <c r="M740" s="91">
        <f t="shared" si="69"/>
        <v>6984000000</v>
      </c>
      <c r="N740" s="86">
        <f t="shared" si="70"/>
        <v>4087000000</v>
      </c>
      <c r="O740" s="86">
        <f t="shared" si="71"/>
        <v>2897000000</v>
      </c>
      <c r="P740" s="83">
        <f t="shared" si="67"/>
        <v>0.26981465958833939</v>
      </c>
      <c r="Q740" s="83">
        <f t="shared" si="68"/>
        <v>0.6504610226320201</v>
      </c>
    </row>
    <row r="741" spans="1:17">
      <c r="A741" s="87">
        <v>767</v>
      </c>
      <c r="B741" s="87" t="s">
        <v>301</v>
      </c>
      <c r="C741" s="87" t="s">
        <v>23</v>
      </c>
      <c r="D741" s="84">
        <v>42013</v>
      </c>
      <c r="E741" s="88">
        <f t="shared" si="66"/>
        <v>2015</v>
      </c>
      <c r="F741" s="89">
        <v>6636000000</v>
      </c>
      <c r="G741" s="89">
        <v>3323000000</v>
      </c>
      <c r="H741" s="89">
        <v>703000000</v>
      </c>
      <c r="I741" s="89">
        <v>0</v>
      </c>
      <c r="J741" s="89">
        <v>3955000000</v>
      </c>
      <c r="K741" s="87" t="s">
        <v>89</v>
      </c>
      <c r="L741" s="87" t="s">
        <v>150</v>
      </c>
      <c r="M741" s="90">
        <f t="shared" si="69"/>
        <v>3313000000</v>
      </c>
      <c r="N741" s="89">
        <f t="shared" si="70"/>
        <v>4658000000</v>
      </c>
      <c r="O741" s="89">
        <f t="shared" si="71"/>
        <v>-1345000000</v>
      </c>
      <c r="P741" s="87">
        <f t="shared" si="67"/>
        <v>-0.20268233875828812</v>
      </c>
      <c r="Q741" s="87">
        <f t="shared" si="68"/>
        <v>0.49924653405666064</v>
      </c>
    </row>
    <row r="742" spans="1:17">
      <c r="A742" s="83">
        <v>768</v>
      </c>
      <c r="B742" s="83" t="s">
        <v>302</v>
      </c>
      <c r="C742" s="83" t="s">
        <v>18</v>
      </c>
      <c r="D742" s="84">
        <v>42014</v>
      </c>
      <c r="E742" s="85">
        <f t="shared" si="66"/>
        <v>2015</v>
      </c>
      <c r="F742" s="86">
        <v>22086000000</v>
      </c>
      <c r="G742" s="86">
        <v>13195000000</v>
      </c>
      <c r="H742" s="86">
        <v>0</v>
      </c>
      <c r="I742" s="86">
        <v>0</v>
      </c>
      <c r="J742" s="86">
        <v>7080000000</v>
      </c>
      <c r="K742" s="83" t="s">
        <v>53</v>
      </c>
      <c r="L742" s="83" t="s">
        <v>56</v>
      </c>
      <c r="M742" s="91">
        <f t="shared" si="69"/>
        <v>8891000000</v>
      </c>
      <c r="N742" s="86">
        <f t="shared" si="70"/>
        <v>7080000000</v>
      </c>
      <c r="O742" s="86">
        <f t="shared" si="71"/>
        <v>1811000000</v>
      </c>
      <c r="P742" s="83">
        <f t="shared" si="67"/>
        <v>8.199764556732772E-2</v>
      </c>
      <c r="Q742" s="83">
        <f t="shared" si="68"/>
        <v>0.40256270940867522</v>
      </c>
    </row>
    <row r="743" spans="1:17">
      <c r="A743" s="87">
        <v>769</v>
      </c>
      <c r="B743" s="87" t="s">
        <v>302</v>
      </c>
      <c r="C743" s="87" t="s">
        <v>21</v>
      </c>
      <c r="D743" s="84">
        <v>42015</v>
      </c>
      <c r="E743" s="88">
        <f t="shared" si="66"/>
        <v>2015</v>
      </c>
      <c r="F743" s="89">
        <v>20673000000</v>
      </c>
      <c r="G743" s="89">
        <v>11048000000</v>
      </c>
      <c r="H743" s="89">
        <v>0</v>
      </c>
      <c r="I743" s="89">
        <v>0</v>
      </c>
      <c r="J743" s="89">
        <v>5970000000</v>
      </c>
      <c r="K743" s="87" t="s">
        <v>53</v>
      </c>
      <c r="L743" s="87" t="s">
        <v>56</v>
      </c>
      <c r="M743" s="90">
        <f t="shared" si="69"/>
        <v>9625000000</v>
      </c>
      <c r="N743" s="89">
        <f t="shared" si="70"/>
        <v>5970000000</v>
      </c>
      <c r="O743" s="89">
        <f t="shared" si="71"/>
        <v>3655000000</v>
      </c>
      <c r="P743" s="87">
        <f t="shared" si="67"/>
        <v>0.17680065786291299</v>
      </c>
      <c r="Q743" s="87">
        <f t="shared" si="68"/>
        <v>0.46558312775117305</v>
      </c>
    </row>
    <row r="744" spans="1:17">
      <c r="A744" s="83">
        <v>770</v>
      </c>
      <c r="B744" s="83" t="s">
        <v>302</v>
      </c>
      <c r="C744" s="83" t="s">
        <v>22</v>
      </c>
      <c r="D744" s="84">
        <v>42016</v>
      </c>
      <c r="E744" s="85">
        <f t="shared" si="66"/>
        <v>2015</v>
      </c>
      <c r="F744" s="86">
        <v>18614000000</v>
      </c>
      <c r="G744" s="86">
        <v>10805000000</v>
      </c>
      <c r="H744" s="86">
        <v>0</v>
      </c>
      <c r="I744" s="86">
        <v>0</v>
      </c>
      <c r="J744" s="86">
        <v>5757000000</v>
      </c>
      <c r="K744" s="83" t="s">
        <v>53</v>
      </c>
      <c r="L744" s="83" t="s">
        <v>56</v>
      </c>
      <c r="M744" s="91">
        <f t="shared" si="69"/>
        <v>7809000000</v>
      </c>
      <c r="N744" s="86">
        <f t="shared" si="70"/>
        <v>5757000000</v>
      </c>
      <c r="O744" s="86">
        <f t="shared" si="71"/>
        <v>2052000000</v>
      </c>
      <c r="P744" s="83">
        <f t="shared" si="67"/>
        <v>0.11023960459868916</v>
      </c>
      <c r="Q744" s="83">
        <f t="shared" si="68"/>
        <v>0.41952293972278931</v>
      </c>
    </row>
    <row r="745" spans="1:17">
      <c r="A745" s="87">
        <v>771</v>
      </c>
      <c r="B745" s="87" t="s">
        <v>302</v>
      </c>
      <c r="C745" s="87" t="s">
        <v>23</v>
      </c>
      <c r="D745" s="84">
        <v>42017</v>
      </c>
      <c r="E745" s="88">
        <f t="shared" si="66"/>
        <v>2015</v>
      </c>
      <c r="F745" s="89">
        <v>18377000000</v>
      </c>
      <c r="G745" s="89">
        <v>10775000000</v>
      </c>
      <c r="H745" s="89">
        <v>0</v>
      </c>
      <c r="I745" s="89">
        <v>0</v>
      </c>
      <c r="J745" s="89">
        <v>5274000000</v>
      </c>
      <c r="K745" s="87" t="s">
        <v>53</v>
      </c>
      <c r="L745" s="87" t="s">
        <v>56</v>
      </c>
      <c r="M745" s="90">
        <f t="shared" si="69"/>
        <v>7602000000</v>
      </c>
      <c r="N745" s="89">
        <f t="shared" si="70"/>
        <v>5274000000</v>
      </c>
      <c r="O745" s="89">
        <f t="shared" si="71"/>
        <v>2328000000</v>
      </c>
      <c r="P745" s="87">
        <f t="shared" si="67"/>
        <v>0.12668008924198726</v>
      </c>
      <c r="Q745" s="87">
        <f t="shared" si="68"/>
        <v>0.41366926048865427</v>
      </c>
    </row>
    <row r="746" spans="1:17">
      <c r="A746" s="83">
        <v>772</v>
      </c>
      <c r="B746" s="83" t="s">
        <v>303</v>
      </c>
      <c r="C746" s="83" t="s">
        <v>18</v>
      </c>
      <c r="D746" s="84">
        <v>42018</v>
      </c>
      <c r="E746" s="85">
        <f t="shared" si="66"/>
        <v>2015</v>
      </c>
      <c r="F746" s="86">
        <v>5580506000</v>
      </c>
      <c r="G746" s="86">
        <v>3440623000</v>
      </c>
      <c r="H746" s="86">
        <v>1111232000</v>
      </c>
      <c r="I746" s="86">
        <v>0</v>
      </c>
      <c r="J746" s="86">
        <v>0</v>
      </c>
      <c r="K746" s="83" t="s">
        <v>25</v>
      </c>
      <c r="L746" s="83" t="s">
        <v>304</v>
      </c>
      <c r="M746" s="91">
        <f t="shared" si="69"/>
        <v>2139883000</v>
      </c>
      <c r="N746" s="86">
        <f t="shared" si="70"/>
        <v>1111232000</v>
      </c>
      <c r="O746" s="86">
        <f t="shared" si="71"/>
        <v>1028651000</v>
      </c>
      <c r="P746" s="83">
        <f t="shared" si="67"/>
        <v>0.18432934217793154</v>
      </c>
      <c r="Q746" s="83">
        <f t="shared" si="68"/>
        <v>0.38345680481304023</v>
      </c>
    </row>
    <row r="747" spans="1:17">
      <c r="A747" s="87">
        <v>773</v>
      </c>
      <c r="B747" s="87" t="s">
        <v>303</v>
      </c>
      <c r="C747" s="87" t="s">
        <v>21</v>
      </c>
      <c r="D747" s="84">
        <v>42019</v>
      </c>
      <c r="E747" s="88">
        <f t="shared" si="66"/>
        <v>2015</v>
      </c>
      <c r="F747" s="89">
        <v>5899872000</v>
      </c>
      <c r="G747" s="89">
        <v>3621417000</v>
      </c>
      <c r="H747" s="89">
        <v>1124753000</v>
      </c>
      <c r="I747" s="89">
        <v>0</v>
      </c>
      <c r="J747" s="89">
        <v>0</v>
      </c>
      <c r="K747" s="87" t="s">
        <v>25</v>
      </c>
      <c r="L747" s="87" t="s">
        <v>304</v>
      </c>
      <c r="M747" s="90">
        <f t="shared" si="69"/>
        <v>2278455000</v>
      </c>
      <c r="N747" s="89">
        <f t="shared" si="70"/>
        <v>1124753000</v>
      </c>
      <c r="O747" s="89">
        <f t="shared" si="71"/>
        <v>1153702000</v>
      </c>
      <c r="P747" s="87">
        <f t="shared" si="67"/>
        <v>0.19554695423900723</v>
      </c>
      <c r="Q747" s="87">
        <f t="shared" si="68"/>
        <v>0.38618719185772166</v>
      </c>
    </row>
    <row r="748" spans="1:17">
      <c r="A748" s="83">
        <v>774</v>
      </c>
      <c r="B748" s="83" t="s">
        <v>303</v>
      </c>
      <c r="C748" s="83" t="s">
        <v>22</v>
      </c>
      <c r="D748" s="84">
        <v>42020</v>
      </c>
      <c r="E748" s="85">
        <f t="shared" si="66"/>
        <v>2015</v>
      </c>
      <c r="F748" s="86">
        <v>6228508000</v>
      </c>
      <c r="G748" s="86">
        <v>3788023000</v>
      </c>
      <c r="H748" s="86">
        <v>1159502000</v>
      </c>
      <c r="I748" s="86">
        <v>0</v>
      </c>
      <c r="J748" s="86">
        <v>0</v>
      </c>
      <c r="K748" s="83" t="s">
        <v>25</v>
      </c>
      <c r="L748" s="83" t="s">
        <v>304</v>
      </c>
      <c r="M748" s="91">
        <f t="shared" si="69"/>
        <v>2440485000</v>
      </c>
      <c r="N748" s="86">
        <f t="shared" si="70"/>
        <v>1159502000</v>
      </c>
      <c r="O748" s="86">
        <f t="shared" si="71"/>
        <v>1280983000</v>
      </c>
      <c r="P748" s="83">
        <f t="shared" si="67"/>
        <v>0.2056645026385131</v>
      </c>
      <c r="Q748" s="83">
        <f t="shared" si="68"/>
        <v>0.39182497638278702</v>
      </c>
    </row>
    <row r="749" spans="1:17">
      <c r="A749" s="87">
        <v>775</v>
      </c>
      <c r="B749" s="87" t="s">
        <v>303</v>
      </c>
      <c r="C749" s="87" t="s">
        <v>23</v>
      </c>
      <c r="D749" s="84">
        <v>42021</v>
      </c>
      <c r="E749" s="88">
        <f t="shared" si="66"/>
        <v>2015</v>
      </c>
      <c r="F749" s="89">
        <v>5995402000</v>
      </c>
      <c r="G749" s="89">
        <v>3619612000</v>
      </c>
      <c r="H749" s="89">
        <v>1220095000</v>
      </c>
      <c r="I749" s="89">
        <v>0</v>
      </c>
      <c r="J749" s="89">
        <v>0</v>
      </c>
      <c r="K749" s="87" t="s">
        <v>25</v>
      </c>
      <c r="L749" s="87" t="s">
        <v>304</v>
      </c>
      <c r="M749" s="90">
        <f t="shared" si="69"/>
        <v>2375790000</v>
      </c>
      <c r="N749" s="89">
        <f t="shared" si="70"/>
        <v>1220095000</v>
      </c>
      <c r="O749" s="89">
        <f t="shared" si="71"/>
        <v>1155695000</v>
      </c>
      <c r="P749" s="87">
        <f t="shared" si="67"/>
        <v>0.19276355447057594</v>
      </c>
      <c r="Q749" s="87">
        <f t="shared" si="68"/>
        <v>0.39626867389376064</v>
      </c>
    </row>
    <row r="750" spans="1:17">
      <c r="A750" s="83">
        <v>776</v>
      </c>
      <c r="B750" s="83" t="s">
        <v>305</v>
      </c>
      <c r="C750" s="83" t="s">
        <v>18</v>
      </c>
      <c r="D750" s="84">
        <v>42022</v>
      </c>
      <c r="E750" s="85">
        <f t="shared" si="66"/>
        <v>2015</v>
      </c>
      <c r="F750" s="86">
        <v>2492300000</v>
      </c>
      <c r="G750" s="86">
        <v>1330900000</v>
      </c>
      <c r="H750" s="86">
        <v>661100000</v>
      </c>
      <c r="I750" s="86">
        <v>197600000</v>
      </c>
      <c r="J750" s="86">
        <v>112600000</v>
      </c>
      <c r="K750" s="83" t="s">
        <v>31</v>
      </c>
      <c r="L750" s="83" t="s">
        <v>36</v>
      </c>
      <c r="M750" s="91">
        <f t="shared" si="69"/>
        <v>1161400000</v>
      </c>
      <c r="N750" s="86">
        <f t="shared" si="70"/>
        <v>971300000</v>
      </c>
      <c r="O750" s="86">
        <f t="shared" si="71"/>
        <v>190100000</v>
      </c>
      <c r="P750" s="83">
        <f t="shared" si="67"/>
        <v>7.627492677446536E-2</v>
      </c>
      <c r="Q750" s="83">
        <f t="shared" si="68"/>
        <v>0.46599526541748582</v>
      </c>
    </row>
    <row r="751" spans="1:17">
      <c r="A751" s="87">
        <v>777</v>
      </c>
      <c r="B751" s="87" t="s">
        <v>305</v>
      </c>
      <c r="C751" s="87" t="s">
        <v>21</v>
      </c>
      <c r="D751" s="84">
        <v>42023</v>
      </c>
      <c r="E751" s="88">
        <f t="shared" si="66"/>
        <v>2015</v>
      </c>
      <c r="F751" s="89">
        <v>2530700000</v>
      </c>
      <c r="G751" s="89">
        <v>1285200000</v>
      </c>
      <c r="H751" s="89">
        <v>591500000</v>
      </c>
      <c r="I751" s="89">
        <v>203200000</v>
      </c>
      <c r="J751" s="89">
        <v>113800000</v>
      </c>
      <c r="K751" s="87" t="s">
        <v>31</v>
      </c>
      <c r="L751" s="87" t="s">
        <v>36</v>
      </c>
      <c r="M751" s="90">
        <f t="shared" si="69"/>
        <v>1245500000</v>
      </c>
      <c r="N751" s="89">
        <f t="shared" si="70"/>
        <v>908500000</v>
      </c>
      <c r="O751" s="89">
        <f t="shared" si="71"/>
        <v>337000000</v>
      </c>
      <c r="P751" s="87">
        <f t="shared" si="67"/>
        <v>0.13316473702928044</v>
      </c>
      <c r="Q751" s="87">
        <f t="shared" si="68"/>
        <v>0.49215632038566404</v>
      </c>
    </row>
    <row r="752" spans="1:17">
      <c r="A752" s="83">
        <v>778</v>
      </c>
      <c r="B752" s="83" t="s">
        <v>305</v>
      </c>
      <c r="C752" s="83" t="s">
        <v>22</v>
      </c>
      <c r="D752" s="84">
        <v>42024</v>
      </c>
      <c r="E752" s="85">
        <f t="shared" si="66"/>
        <v>2015</v>
      </c>
      <c r="F752" s="86">
        <v>2705000000</v>
      </c>
      <c r="G752" s="86">
        <v>1272300000</v>
      </c>
      <c r="H752" s="86">
        <v>624000000</v>
      </c>
      <c r="I752" s="86">
        <v>214900000</v>
      </c>
      <c r="J752" s="86">
        <v>110200000</v>
      </c>
      <c r="K752" s="83" t="s">
        <v>31</v>
      </c>
      <c r="L752" s="83" t="s">
        <v>36</v>
      </c>
      <c r="M752" s="91">
        <f t="shared" si="69"/>
        <v>1432700000</v>
      </c>
      <c r="N752" s="86">
        <f t="shared" si="70"/>
        <v>949100000</v>
      </c>
      <c r="O752" s="86">
        <f t="shared" si="71"/>
        <v>483600000</v>
      </c>
      <c r="P752" s="83">
        <f t="shared" si="67"/>
        <v>0.17878003696857672</v>
      </c>
      <c r="Q752" s="83">
        <f t="shared" si="68"/>
        <v>0.52964879852125701</v>
      </c>
    </row>
    <row r="753" spans="1:17">
      <c r="A753" s="87">
        <v>779</v>
      </c>
      <c r="B753" s="87" t="s">
        <v>305</v>
      </c>
      <c r="C753" s="87" t="s">
        <v>23</v>
      </c>
      <c r="D753" s="84">
        <v>42025</v>
      </c>
      <c r="E753" s="88">
        <f t="shared" si="66"/>
        <v>2015</v>
      </c>
      <c r="F753" s="89">
        <v>2832700000</v>
      </c>
      <c r="G753" s="89">
        <v>1269400000</v>
      </c>
      <c r="H753" s="89">
        <v>682400000</v>
      </c>
      <c r="I753" s="89">
        <v>232100000</v>
      </c>
      <c r="J753" s="89">
        <v>89700000</v>
      </c>
      <c r="K753" s="87" t="s">
        <v>31</v>
      </c>
      <c r="L753" s="87" t="s">
        <v>36</v>
      </c>
      <c r="M753" s="90">
        <f t="shared" si="69"/>
        <v>1563300000</v>
      </c>
      <c r="N753" s="89">
        <f t="shared" si="70"/>
        <v>1004200000</v>
      </c>
      <c r="O753" s="89">
        <f t="shared" si="71"/>
        <v>559100000</v>
      </c>
      <c r="P753" s="87">
        <f t="shared" si="67"/>
        <v>0.19737353055388851</v>
      </c>
      <c r="Q753" s="87">
        <f t="shared" si="68"/>
        <v>0.55187630176157021</v>
      </c>
    </row>
    <row r="754" spans="1:17">
      <c r="A754" s="83">
        <v>780</v>
      </c>
      <c r="B754" s="83" t="s">
        <v>306</v>
      </c>
      <c r="C754" s="83" t="s">
        <v>18</v>
      </c>
      <c r="D754" s="84">
        <v>42026</v>
      </c>
      <c r="E754" s="85">
        <f t="shared" si="66"/>
        <v>2015</v>
      </c>
      <c r="F754" s="86">
        <v>39055000000</v>
      </c>
      <c r="G754" s="86">
        <v>28364000000</v>
      </c>
      <c r="H754" s="86">
        <v>5190000000</v>
      </c>
      <c r="I754" s="86">
        <v>0</v>
      </c>
      <c r="J754" s="86">
        <v>0</v>
      </c>
      <c r="K754" s="83" t="s">
        <v>19</v>
      </c>
      <c r="L754" s="83" t="s">
        <v>170</v>
      </c>
      <c r="M754" s="91">
        <f t="shared" si="69"/>
        <v>10691000000</v>
      </c>
      <c r="N754" s="86">
        <f t="shared" si="70"/>
        <v>5190000000</v>
      </c>
      <c r="O754" s="86">
        <f t="shared" si="71"/>
        <v>5501000000</v>
      </c>
      <c r="P754" s="83">
        <f t="shared" si="67"/>
        <v>0.14085264370759185</v>
      </c>
      <c r="Q754" s="83">
        <f t="shared" si="68"/>
        <v>0.27374215849443095</v>
      </c>
    </row>
    <row r="755" spans="1:17">
      <c r="A755" s="87">
        <v>781</v>
      </c>
      <c r="B755" s="87" t="s">
        <v>306</v>
      </c>
      <c r="C755" s="87" t="s">
        <v>21</v>
      </c>
      <c r="D755" s="84">
        <v>42027</v>
      </c>
      <c r="E755" s="88">
        <f t="shared" si="66"/>
        <v>2015</v>
      </c>
      <c r="F755" s="89">
        <v>40306000000</v>
      </c>
      <c r="G755" s="89">
        <v>28957000000</v>
      </c>
      <c r="H755" s="89">
        <v>5518000000</v>
      </c>
      <c r="I755" s="89">
        <v>0</v>
      </c>
      <c r="J755" s="89">
        <v>0</v>
      </c>
      <c r="K755" s="87" t="s">
        <v>19</v>
      </c>
      <c r="L755" s="87" t="s">
        <v>170</v>
      </c>
      <c r="M755" s="90">
        <f t="shared" si="69"/>
        <v>11349000000</v>
      </c>
      <c r="N755" s="89">
        <f t="shared" si="70"/>
        <v>5518000000</v>
      </c>
      <c r="O755" s="89">
        <f t="shared" si="71"/>
        <v>5831000000</v>
      </c>
      <c r="P755" s="87">
        <f t="shared" si="67"/>
        <v>0.14466828759986106</v>
      </c>
      <c r="Q755" s="87">
        <f t="shared" si="68"/>
        <v>0.2815709819877934</v>
      </c>
    </row>
    <row r="756" spans="1:17">
      <c r="A756" s="83">
        <v>782</v>
      </c>
      <c r="B756" s="83" t="s">
        <v>306</v>
      </c>
      <c r="C756" s="83" t="s">
        <v>22</v>
      </c>
      <c r="D756" s="84">
        <v>42028</v>
      </c>
      <c r="E756" s="85">
        <f t="shared" si="66"/>
        <v>2015</v>
      </c>
      <c r="F756" s="86">
        <v>38581000000</v>
      </c>
      <c r="G756" s="86">
        <v>26747000000</v>
      </c>
      <c r="H756" s="86">
        <v>5006000000</v>
      </c>
      <c r="I756" s="86">
        <v>0</v>
      </c>
      <c r="J756" s="86">
        <v>0</v>
      </c>
      <c r="K756" s="83" t="s">
        <v>19</v>
      </c>
      <c r="L756" s="83" t="s">
        <v>170</v>
      </c>
      <c r="M756" s="91">
        <f t="shared" si="69"/>
        <v>11834000000</v>
      </c>
      <c r="N756" s="86">
        <f t="shared" si="70"/>
        <v>5006000000</v>
      </c>
      <c r="O756" s="86">
        <f t="shared" si="71"/>
        <v>6828000000</v>
      </c>
      <c r="P756" s="83">
        <f t="shared" si="67"/>
        <v>0.17697830538347892</v>
      </c>
      <c r="Q756" s="83">
        <f t="shared" si="68"/>
        <v>0.30673129260516829</v>
      </c>
    </row>
    <row r="757" spans="1:17">
      <c r="A757" s="87">
        <v>783</v>
      </c>
      <c r="B757" s="87" t="s">
        <v>306</v>
      </c>
      <c r="C757" s="87" t="s">
        <v>23</v>
      </c>
      <c r="D757" s="84">
        <v>42029</v>
      </c>
      <c r="E757" s="88">
        <f t="shared" si="66"/>
        <v>2015</v>
      </c>
      <c r="F757" s="89">
        <v>39302000000</v>
      </c>
      <c r="G757" s="89">
        <v>27150000000</v>
      </c>
      <c r="H757" s="89">
        <v>5469000000</v>
      </c>
      <c r="I757" s="89">
        <v>0</v>
      </c>
      <c r="J757" s="89">
        <v>0</v>
      </c>
      <c r="K757" s="87" t="s">
        <v>19</v>
      </c>
      <c r="L757" s="87" t="s">
        <v>170</v>
      </c>
      <c r="M757" s="90">
        <f t="shared" si="69"/>
        <v>12152000000</v>
      </c>
      <c r="N757" s="89">
        <f t="shared" si="70"/>
        <v>5469000000</v>
      </c>
      <c r="O757" s="89">
        <f t="shared" si="71"/>
        <v>6683000000</v>
      </c>
      <c r="P757" s="87">
        <f t="shared" si="67"/>
        <v>0.17004223703628313</v>
      </c>
      <c r="Q757" s="87">
        <f t="shared" si="68"/>
        <v>0.3091954607907994</v>
      </c>
    </row>
    <row r="758" spans="1:17">
      <c r="A758" s="83">
        <v>784</v>
      </c>
      <c r="B758" s="83" t="s">
        <v>307</v>
      </c>
      <c r="C758" s="83" t="s">
        <v>18</v>
      </c>
      <c r="D758" s="84">
        <v>42030</v>
      </c>
      <c r="E758" s="85">
        <f t="shared" si="66"/>
        <v>2015</v>
      </c>
      <c r="F758" s="86">
        <v>3387614000</v>
      </c>
      <c r="G758" s="86">
        <v>1852768000</v>
      </c>
      <c r="H758" s="86">
        <v>126250000</v>
      </c>
      <c r="I758" s="86">
        <v>15235000</v>
      </c>
      <c r="J758" s="86">
        <v>455623000</v>
      </c>
      <c r="K758" s="83" t="s">
        <v>89</v>
      </c>
      <c r="L758" s="83" t="s">
        <v>308</v>
      </c>
      <c r="M758" s="91">
        <f t="shared" si="69"/>
        <v>1534846000</v>
      </c>
      <c r="N758" s="86">
        <f t="shared" si="70"/>
        <v>597108000</v>
      </c>
      <c r="O758" s="86">
        <f t="shared" si="71"/>
        <v>937738000</v>
      </c>
      <c r="P758" s="83">
        <f t="shared" si="67"/>
        <v>0.27681371018067585</v>
      </c>
      <c r="Q758" s="83">
        <f t="shared" si="68"/>
        <v>0.45307582268818114</v>
      </c>
    </row>
    <row r="759" spans="1:17">
      <c r="A759" s="87">
        <v>785</v>
      </c>
      <c r="B759" s="87" t="s">
        <v>307</v>
      </c>
      <c r="C759" s="87" t="s">
        <v>21</v>
      </c>
      <c r="D759" s="84">
        <v>42031</v>
      </c>
      <c r="E759" s="88">
        <f t="shared" si="66"/>
        <v>2015</v>
      </c>
      <c r="F759" s="89">
        <v>3715968000</v>
      </c>
      <c r="G759" s="89">
        <v>2006715000</v>
      </c>
      <c r="H759" s="89">
        <v>116190000</v>
      </c>
      <c r="I759" s="89">
        <v>15905000</v>
      </c>
      <c r="J759" s="89">
        <v>523984000</v>
      </c>
      <c r="K759" s="87" t="s">
        <v>89</v>
      </c>
      <c r="L759" s="87" t="s">
        <v>308</v>
      </c>
      <c r="M759" s="90">
        <f t="shared" si="69"/>
        <v>1709253000</v>
      </c>
      <c r="N759" s="89">
        <f t="shared" si="70"/>
        <v>656079000</v>
      </c>
      <c r="O759" s="89">
        <f t="shared" si="71"/>
        <v>1053174000</v>
      </c>
      <c r="P759" s="87">
        <f t="shared" si="67"/>
        <v>0.28341847938410664</v>
      </c>
      <c r="Q759" s="87">
        <f t="shared" si="68"/>
        <v>0.45997516663222071</v>
      </c>
    </row>
    <row r="760" spans="1:17">
      <c r="A760" s="83">
        <v>786</v>
      </c>
      <c r="B760" s="83" t="s">
        <v>307</v>
      </c>
      <c r="C760" s="83" t="s">
        <v>22</v>
      </c>
      <c r="D760" s="84">
        <v>42032</v>
      </c>
      <c r="E760" s="85">
        <f t="shared" si="66"/>
        <v>2015</v>
      </c>
      <c r="F760" s="86">
        <v>3161702000</v>
      </c>
      <c r="G760" s="86">
        <v>1703476000</v>
      </c>
      <c r="H760" s="86">
        <v>122878000</v>
      </c>
      <c r="I760" s="86">
        <v>16104000</v>
      </c>
      <c r="J760" s="86">
        <v>608039000</v>
      </c>
      <c r="K760" s="83" t="s">
        <v>89</v>
      </c>
      <c r="L760" s="83" t="s">
        <v>308</v>
      </c>
      <c r="M760" s="91">
        <f t="shared" si="69"/>
        <v>1458226000</v>
      </c>
      <c r="N760" s="86">
        <f t="shared" si="70"/>
        <v>747021000</v>
      </c>
      <c r="O760" s="86">
        <f t="shared" si="71"/>
        <v>711205000</v>
      </c>
      <c r="P760" s="83">
        <f t="shared" si="67"/>
        <v>0.22494371702329949</v>
      </c>
      <c r="Q760" s="83">
        <f t="shared" si="68"/>
        <v>0.46121550987411208</v>
      </c>
    </row>
    <row r="761" spans="1:17">
      <c r="A761" s="87">
        <v>787</v>
      </c>
      <c r="B761" s="87" t="s">
        <v>307</v>
      </c>
      <c r="C761" s="87" t="s">
        <v>23</v>
      </c>
      <c r="D761" s="84">
        <v>42033</v>
      </c>
      <c r="E761" s="88">
        <f t="shared" si="66"/>
        <v>2015</v>
      </c>
      <c r="F761" s="89">
        <v>1624232000</v>
      </c>
      <c r="G761" s="89">
        <v>898805000</v>
      </c>
      <c r="H761" s="89">
        <v>136287000</v>
      </c>
      <c r="I761" s="89">
        <v>10269000</v>
      </c>
      <c r="J761" s="89">
        <v>598587000</v>
      </c>
      <c r="K761" s="87" t="s">
        <v>89</v>
      </c>
      <c r="L761" s="87" t="s">
        <v>308</v>
      </c>
      <c r="M761" s="90">
        <f t="shared" si="69"/>
        <v>725427000</v>
      </c>
      <c r="N761" s="89">
        <f t="shared" si="70"/>
        <v>745143000</v>
      </c>
      <c r="O761" s="89">
        <f t="shared" si="71"/>
        <v>-19716000</v>
      </c>
      <c r="P761" s="87">
        <f t="shared" si="67"/>
        <v>-1.2138659994385039E-2</v>
      </c>
      <c r="Q761" s="87">
        <f t="shared" si="68"/>
        <v>0.44662769850612472</v>
      </c>
    </row>
    <row r="762" spans="1:17">
      <c r="A762" s="83">
        <v>788</v>
      </c>
      <c r="B762" s="83" t="s">
        <v>309</v>
      </c>
      <c r="C762" s="83" t="s">
        <v>18</v>
      </c>
      <c r="D762" s="84">
        <v>42034</v>
      </c>
      <c r="E762" s="85">
        <f t="shared" si="66"/>
        <v>2015</v>
      </c>
      <c r="F762" s="86">
        <v>55123000000</v>
      </c>
      <c r="G762" s="86">
        <v>39486000000</v>
      </c>
      <c r="H762" s="86">
        <v>8717000000</v>
      </c>
      <c r="I762" s="86">
        <v>2197000000</v>
      </c>
      <c r="J762" s="86">
        <v>906000000</v>
      </c>
      <c r="K762" s="83" t="s">
        <v>28</v>
      </c>
      <c r="L762" s="83" t="s">
        <v>310</v>
      </c>
      <c r="M762" s="91">
        <f t="shared" si="69"/>
        <v>15637000000</v>
      </c>
      <c r="N762" s="86">
        <f t="shared" si="70"/>
        <v>11820000000</v>
      </c>
      <c r="O762" s="86">
        <f t="shared" si="71"/>
        <v>3817000000</v>
      </c>
      <c r="P762" s="83">
        <f t="shared" si="67"/>
        <v>6.9245142680913599E-2</v>
      </c>
      <c r="Q762" s="83">
        <f t="shared" si="68"/>
        <v>0.28367469114525701</v>
      </c>
    </row>
    <row r="763" spans="1:17">
      <c r="A763" s="87">
        <v>789</v>
      </c>
      <c r="B763" s="87" t="s">
        <v>309</v>
      </c>
      <c r="C763" s="87" t="s">
        <v>21</v>
      </c>
      <c r="D763" s="84">
        <v>42035</v>
      </c>
      <c r="E763" s="88">
        <f t="shared" si="66"/>
        <v>2015</v>
      </c>
      <c r="F763" s="89">
        <v>52107000000</v>
      </c>
      <c r="G763" s="89">
        <v>37168000000</v>
      </c>
      <c r="H763" s="89">
        <v>9047000000</v>
      </c>
      <c r="I763" s="89">
        <v>2338000000</v>
      </c>
      <c r="J763" s="89">
        <v>852000000</v>
      </c>
      <c r="K763" s="87" t="s">
        <v>28</v>
      </c>
      <c r="L763" s="87" t="s">
        <v>310</v>
      </c>
      <c r="M763" s="90">
        <f t="shared" si="69"/>
        <v>14939000000</v>
      </c>
      <c r="N763" s="89">
        <f t="shared" si="70"/>
        <v>12237000000</v>
      </c>
      <c r="O763" s="89">
        <f t="shared" si="71"/>
        <v>2702000000</v>
      </c>
      <c r="P763" s="87">
        <f t="shared" si="67"/>
        <v>5.1854837161993593E-2</v>
      </c>
      <c r="Q763" s="87">
        <f t="shared" si="68"/>
        <v>0.28669852419060782</v>
      </c>
    </row>
    <row r="764" spans="1:17">
      <c r="A764" s="83">
        <v>790</v>
      </c>
      <c r="B764" s="83" t="s">
        <v>309</v>
      </c>
      <c r="C764" s="83" t="s">
        <v>22</v>
      </c>
      <c r="D764" s="84">
        <v>42036</v>
      </c>
      <c r="E764" s="85">
        <f t="shared" si="66"/>
        <v>2015</v>
      </c>
      <c r="F764" s="86">
        <v>50123000000</v>
      </c>
      <c r="G764" s="86">
        <v>35507000000</v>
      </c>
      <c r="H764" s="86">
        <v>8419000000</v>
      </c>
      <c r="I764" s="86">
        <v>2298000000</v>
      </c>
      <c r="J764" s="86">
        <v>755000000</v>
      </c>
      <c r="K764" s="83" t="s">
        <v>28</v>
      </c>
      <c r="L764" s="83" t="s">
        <v>310</v>
      </c>
      <c r="M764" s="91">
        <f t="shared" si="69"/>
        <v>14616000000</v>
      </c>
      <c r="N764" s="86">
        <f t="shared" si="70"/>
        <v>11472000000</v>
      </c>
      <c r="O764" s="86">
        <f t="shared" si="71"/>
        <v>3144000000</v>
      </c>
      <c r="P764" s="83">
        <f t="shared" si="67"/>
        <v>6.2725694790814593E-2</v>
      </c>
      <c r="Q764" s="83">
        <f t="shared" si="68"/>
        <v>0.29160265746264191</v>
      </c>
    </row>
    <row r="765" spans="1:17">
      <c r="A765" s="87">
        <v>791</v>
      </c>
      <c r="B765" s="87" t="s">
        <v>311</v>
      </c>
      <c r="C765" s="87" t="s">
        <v>18</v>
      </c>
      <c r="D765" s="84">
        <v>42037</v>
      </c>
      <c r="E765" s="88">
        <f t="shared" si="66"/>
        <v>2015</v>
      </c>
      <c r="F765" s="89">
        <v>112298000000</v>
      </c>
      <c r="G765" s="89">
        <v>86380000000</v>
      </c>
      <c r="H765" s="89">
        <v>13267000000</v>
      </c>
      <c r="I765" s="89">
        <v>3135000000</v>
      </c>
      <c r="J765" s="89">
        <v>1373000000</v>
      </c>
      <c r="K765" s="87" t="s">
        <v>28</v>
      </c>
      <c r="L765" s="87" t="s">
        <v>29</v>
      </c>
      <c r="M765" s="90">
        <f t="shared" si="69"/>
        <v>25918000000</v>
      </c>
      <c r="N765" s="89">
        <f t="shared" si="70"/>
        <v>17775000000</v>
      </c>
      <c r="O765" s="89">
        <f t="shared" si="71"/>
        <v>8143000000</v>
      </c>
      <c r="P765" s="87">
        <f t="shared" si="67"/>
        <v>7.2512422304938651E-2</v>
      </c>
      <c r="Q765" s="87">
        <f t="shared" si="68"/>
        <v>0.2307966303941299</v>
      </c>
    </row>
    <row r="766" spans="1:17">
      <c r="A766" s="83">
        <v>792</v>
      </c>
      <c r="B766" s="83" t="s">
        <v>311</v>
      </c>
      <c r="C766" s="83" t="s">
        <v>21</v>
      </c>
      <c r="D766" s="84">
        <v>42038</v>
      </c>
      <c r="E766" s="85">
        <f t="shared" si="66"/>
        <v>2015</v>
      </c>
      <c r="F766" s="86">
        <v>56651000000</v>
      </c>
      <c r="G766" s="86">
        <v>45431000000</v>
      </c>
      <c r="H766" s="86">
        <v>5361000000</v>
      </c>
      <c r="I766" s="86">
        <v>1298000000</v>
      </c>
      <c r="J766" s="86">
        <v>129000000</v>
      </c>
      <c r="K766" s="83" t="s">
        <v>28</v>
      </c>
      <c r="L766" s="83" t="s">
        <v>29</v>
      </c>
      <c r="M766" s="91">
        <f t="shared" si="69"/>
        <v>11220000000</v>
      </c>
      <c r="N766" s="86">
        <f t="shared" si="70"/>
        <v>6788000000</v>
      </c>
      <c r="O766" s="86">
        <f t="shared" si="71"/>
        <v>4432000000</v>
      </c>
      <c r="P766" s="83">
        <f t="shared" si="67"/>
        <v>7.8233393938324125E-2</v>
      </c>
      <c r="Q766" s="83">
        <f t="shared" si="68"/>
        <v>0.19805475631498115</v>
      </c>
    </row>
    <row r="767" spans="1:17">
      <c r="A767" s="87">
        <v>793</v>
      </c>
      <c r="B767" s="87" t="s">
        <v>311</v>
      </c>
      <c r="C767" s="87" t="s">
        <v>22</v>
      </c>
      <c r="D767" s="84">
        <v>42039</v>
      </c>
      <c r="E767" s="88">
        <f t="shared" ref="E767:E830" si="72">YEAR(D767)</f>
        <v>2015</v>
      </c>
      <c r="F767" s="89">
        <v>51463000000</v>
      </c>
      <c r="G767" s="89">
        <v>41524000000</v>
      </c>
      <c r="H767" s="89">
        <v>4663000000</v>
      </c>
      <c r="I767" s="89">
        <v>1191000000</v>
      </c>
      <c r="J767" s="89">
        <v>102000000</v>
      </c>
      <c r="K767" s="87" t="s">
        <v>28</v>
      </c>
      <c r="L767" s="87" t="s">
        <v>29</v>
      </c>
      <c r="M767" s="90">
        <f t="shared" si="69"/>
        <v>9939000000</v>
      </c>
      <c r="N767" s="89">
        <f t="shared" si="70"/>
        <v>5956000000</v>
      </c>
      <c r="O767" s="89">
        <f t="shared" si="71"/>
        <v>3983000000</v>
      </c>
      <c r="P767" s="87">
        <f t="shared" si="67"/>
        <v>7.7395410294774883E-2</v>
      </c>
      <c r="Q767" s="87">
        <f t="shared" si="68"/>
        <v>0.19312904416765442</v>
      </c>
    </row>
    <row r="768" spans="1:17">
      <c r="A768" s="83">
        <v>794</v>
      </c>
      <c r="B768" s="83" t="s">
        <v>311</v>
      </c>
      <c r="C768" s="83" t="s">
        <v>23</v>
      </c>
      <c r="D768" s="84">
        <v>42040</v>
      </c>
      <c r="E768" s="85">
        <f t="shared" si="72"/>
        <v>2015</v>
      </c>
      <c r="F768" s="86">
        <v>48238000000</v>
      </c>
      <c r="G768" s="86">
        <v>39240000000</v>
      </c>
      <c r="H768" s="86">
        <v>4019000000</v>
      </c>
      <c r="I768" s="86">
        <v>1209000000</v>
      </c>
      <c r="J768" s="86">
        <v>16000000</v>
      </c>
      <c r="K768" s="83" t="s">
        <v>28</v>
      </c>
      <c r="L768" s="83" t="s">
        <v>29</v>
      </c>
      <c r="M768" s="91">
        <f t="shared" si="69"/>
        <v>8998000000</v>
      </c>
      <c r="N768" s="86">
        <f t="shared" si="70"/>
        <v>5244000000</v>
      </c>
      <c r="O768" s="86">
        <f t="shared" si="71"/>
        <v>3754000000</v>
      </c>
      <c r="P768" s="83">
        <f t="shared" si="67"/>
        <v>7.7822463617894605E-2</v>
      </c>
      <c r="Q768" s="83">
        <f t="shared" si="68"/>
        <v>0.18653343836809155</v>
      </c>
    </row>
    <row r="769" spans="1:17">
      <c r="A769" s="87">
        <v>795</v>
      </c>
      <c r="B769" s="87" t="s">
        <v>312</v>
      </c>
      <c r="C769" s="87" t="s">
        <v>18</v>
      </c>
      <c r="D769" s="84">
        <v>42041</v>
      </c>
      <c r="E769" s="88">
        <f t="shared" si="72"/>
        <v>2015</v>
      </c>
      <c r="F769" s="89">
        <v>2807114000</v>
      </c>
      <c r="G769" s="89">
        <v>1123773000</v>
      </c>
      <c r="H769" s="89">
        <v>828095000</v>
      </c>
      <c r="I769" s="89">
        <v>0</v>
      </c>
      <c r="J769" s="89">
        <v>92407000</v>
      </c>
      <c r="K769" s="87" t="s">
        <v>53</v>
      </c>
      <c r="L769" s="87" t="s">
        <v>106</v>
      </c>
      <c r="M769" s="90">
        <f t="shared" si="69"/>
        <v>1683341000</v>
      </c>
      <c r="N769" s="89">
        <f t="shared" si="70"/>
        <v>920502000</v>
      </c>
      <c r="O769" s="89">
        <f t="shared" si="71"/>
        <v>762839000</v>
      </c>
      <c r="P769" s="87">
        <f t="shared" si="67"/>
        <v>0.27175205566998706</v>
      </c>
      <c r="Q769" s="87">
        <f t="shared" si="68"/>
        <v>0.59966962510250743</v>
      </c>
    </row>
    <row r="770" spans="1:17">
      <c r="A770" s="83">
        <v>796</v>
      </c>
      <c r="B770" s="83" t="s">
        <v>312</v>
      </c>
      <c r="C770" s="83" t="s">
        <v>21</v>
      </c>
      <c r="D770" s="84">
        <v>42042</v>
      </c>
      <c r="E770" s="85">
        <f t="shared" si="72"/>
        <v>2015</v>
      </c>
      <c r="F770" s="86">
        <v>3024295000</v>
      </c>
      <c r="G770" s="86">
        <v>1179405000</v>
      </c>
      <c r="H770" s="86">
        <v>830789000</v>
      </c>
      <c r="I770" s="86">
        <v>0</v>
      </c>
      <c r="J770" s="86">
        <v>115604000</v>
      </c>
      <c r="K770" s="83" t="s">
        <v>53</v>
      </c>
      <c r="L770" s="83" t="s">
        <v>106</v>
      </c>
      <c r="M770" s="91">
        <f t="shared" si="69"/>
        <v>1844890000</v>
      </c>
      <c r="N770" s="86">
        <f t="shared" si="70"/>
        <v>946393000</v>
      </c>
      <c r="O770" s="86">
        <f t="shared" si="71"/>
        <v>898497000</v>
      </c>
      <c r="P770" s="83">
        <f t="shared" ref="P770:P833" si="73">O770/F770</f>
        <v>0.2970930415187672</v>
      </c>
      <c r="Q770" s="83">
        <f t="shared" ref="Q770:Q833" si="74">1-G770/F770</f>
        <v>0.61002316242297794</v>
      </c>
    </row>
    <row r="771" spans="1:17">
      <c r="A771" s="87">
        <v>797</v>
      </c>
      <c r="B771" s="87" t="s">
        <v>312</v>
      </c>
      <c r="C771" s="87" t="s">
        <v>22</v>
      </c>
      <c r="D771" s="84">
        <v>42043</v>
      </c>
      <c r="E771" s="88">
        <f t="shared" si="72"/>
        <v>2015</v>
      </c>
      <c r="F771" s="89">
        <v>3078658000</v>
      </c>
      <c r="G771" s="89">
        <v>1231104000</v>
      </c>
      <c r="H771" s="89">
        <v>818091000</v>
      </c>
      <c r="I771" s="89">
        <v>0</v>
      </c>
      <c r="J771" s="89">
        <v>159804000</v>
      </c>
      <c r="K771" s="87" t="s">
        <v>53</v>
      </c>
      <c r="L771" s="87" t="s">
        <v>106</v>
      </c>
      <c r="M771" s="90">
        <f t="shared" ref="M771:M834" si="75">F771-G771</f>
        <v>1847554000</v>
      </c>
      <c r="N771" s="89">
        <f t="shared" ref="N771:N834" si="76">H771+I771+J771</f>
        <v>977895000</v>
      </c>
      <c r="O771" s="89">
        <f t="shared" ref="O771:O834" si="77">M771-N771</f>
        <v>869659000</v>
      </c>
      <c r="P771" s="87">
        <f t="shared" si="73"/>
        <v>0.28247989870911289</v>
      </c>
      <c r="Q771" s="87">
        <f t="shared" si="74"/>
        <v>0.60011667421324488</v>
      </c>
    </row>
    <row r="772" spans="1:17">
      <c r="A772" s="83">
        <v>798</v>
      </c>
      <c r="B772" s="83" t="s">
        <v>312</v>
      </c>
      <c r="C772" s="83" t="s">
        <v>23</v>
      </c>
      <c r="D772" s="84">
        <v>42044</v>
      </c>
      <c r="E772" s="85">
        <f t="shared" si="72"/>
        <v>2015</v>
      </c>
      <c r="F772" s="86">
        <v>3038153000</v>
      </c>
      <c r="G772" s="86">
        <v>1250320000</v>
      </c>
      <c r="H772" s="86">
        <v>905648000</v>
      </c>
      <c r="I772" s="86">
        <v>0</v>
      </c>
      <c r="J772" s="86">
        <v>173598000</v>
      </c>
      <c r="K772" s="83" t="s">
        <v>53</v>
      </c>
      <c r="L772" s="83" t="s">
        <v>106</v>
      </c>
      <c r="M772" s="91">
        <f t="shared" si="75"/>
        <v>1787833000</v>
      </c>
      <c r="N772" s="86">
        <f t="shared" si="76"/>
        <v>1079246000</v>
      </c>
      <c r="O772" s="86">
        <f t="shared" si="77"/>
        <v>708587000</v>
      </c>
      <c r="P772" s="83">
        <f t="shared" si="73"/>
        <v>0.23322953123163975</v>
      </c>
      <c r="Q772" s="83">
        <f t="shared" si="74"/>
        <v>0.58846048898788172</v>
      </c>
    </row>
    <row r="773" spans="1:17">
      <c r="A773" s="87">
        <v>799</v>
      </c>
      <c r="B773" s="87" t="s">
        <v>313</v>
      </c>
      <c r="C773" s="87" t="s">
        <v>18</v>
      </c>
      <c r="D773" s="84">
        <v>42045</v>
      </c>
      <c r="E773" s="88">
        <f t="shared" si="72"/>
        <v>2015</v>
      </c>
      <c r="F773" s="89">
        <v>8751654000</v>
      </c>
      <c r="G773" s="89">
        <v>7338838000</v>
      </c>
      <c r="H773" s="89">
        <v>627340000</v>
      </c>
      <c r="I773" s="89">
        <v>0</v>
      </c>
      <c r="J773" s="89">
        <v>0</v>
      </c>
      <c r="K773" s="87" t="s">
        <v>42</v>
      </c>
      <c r="L773" s="87" t="s">
        <v>130</v>
      </c>
      <c r="M773" s="90">
        <f t="shared" si="75"/>
        <v>1412816000</v>
      </c>
      <c r="N773" s="89">
        <f t="shared" si="76"/>
        <v>627340000</v>
      </c>
      <c r="O773" s="89">
        <f t="shared" si="77"/>
        <v>785476000</v>
      </c>
      <c r="P773" s="87">
        <f t="shared" si="73"/>
        <v>8.9751720074856711E-2</v>
      </c>
      <c r="Q773" s="87">
        <f t="shared" si="74"/>
        <v>0.16143417004374261</v>
      </c>
    </row>
    <row r="774" spans="1:17">
      <c r="A774" s="83">
        <v>800</v>
      </c>
      <c r="B774" s="83" t="s">
        <v>313</v>
      </c>
      <c r="C774" s="83" t="s">
        <v>21</v>
      </c>
      <c r="D774" s="84">
        <v>42046</v>
      </c>
      <c r="E774" s="85">
        <f t="shared" si="72"/>
        <v>2015</v>
      </c>
      <c r="F774" s="86">
        <v>9316256000</v>
      </c>
      <c r="G774" s="86">
        <v>7751273000</v>
      </c>
      <c r="H774" s="86">
        <v>650948000</v>
      </c>
      <c r="I774" s="86">
        <v>0</v>
      </c>
      <c r="J774" s="86">
        <v>0</v>
      </c>
      <c r="K774" s="83" t="s">
        <v>42</v>
      </c>
      <c r="L774" s="83" t="s">
        <v>130</v>
      </c>
      <c r="M774" s="91">
        <f t="shared" si="75"/>
        <v>1564983000</v>
      </c>
      <c r="N774" s="86">
        <f t="shared" si="76"/>
        <v>650948000</v>
      </c>
      <c r="O774" s="86">
        <f t="shared" si="77"/>
        <v>914035000</v>
      </c>
      <c r="P774" s="83">
        <f t="shared" si="73"/>
        <v>9.8111838060267992E-2</v>
      </c>
      <c r="Q774" s="83">
        <f t="shared" si="74"/>
        <v>0.1679841129312033</v>
      </c>
    </row>
    <row r="775" spans="1:17">
      <c r="A775" s="87">
        <v>801</v>
      </c>
      <c r="B775" s="87" t="s">
        <v>313</v>
      </c>
      <c r="C775" s="87" t="s">
        <v>22</v>
      </c>
      <c r="D775" s="84">
        <v>42047</v>
      </c>
      <c r="E775" s="88">
        <f t="shared" si="72"/>
        <v>2015</v>
      </c>
      <c r="F775" s="89">
        <v>9263863000</v>
      </c>
      <c r="G775" s="89">
        <v>7455282000</v>
      </c>
      <c r="H775" s="89">
        <v>743611000</v>
      </c>
      <c r="I775" s="89">
        <v>0</v>
      </c>
      <c r="J775" s="89">
        <v>0</v>
      </c>
      <c r="K775" s="87" t="s">
        <v>42</v>
      </c>
      <c r="L775" s="87" t="s">
        <v>130</v>
      </c>
      <c r="M775" s="90">
        <f t="shared" si="75"/>
        <v>1808581000</v>
      </c>
      <c r="N775" s="89">
        <f t="shared" si="76"/>
        <v>743611000</v>
      </c>
      <c r="O775" s="89">
        <f t="shared" si="77"/>
        <v>1064970000</v>
      </c>
      <c r="P775" s="87">
        <f t="shared" si="73"/>
        <v>0.11495960162623303</v>
      </c>
      <c r="Q775" s="87">
        <f t="shared" si="74"/>
        <v>0.19522967902267119</v>
      </c>
    </row>
    <row r="776" spans="1:17">
      <c r="A776" s="83">
        <v>802</v>
      </c>
      <c r="B776" s="83" t="s">
        <v>313</v>
      </c>
      <c r="C776" s="83" t="s">
        <v>23</v>
      </c>
      <c r="D776" s="84">
        <v>42048</v>
      </c>
      <c r="E776" s="85">
        <f t="shared" si="72"/>
        <v>2015</v>
      </c>
      <c r="F776" s="86">
        <v>9523224000</v>
      </c>
      <c r="G776" s="86">
        <v>7365049000</v>
      </c>
      <c r="H776" s="86">
        <v>871974000</v>
      </c>
      <c r="I776" s="86">
        <v>0</v>
      </c>
      <c r="J776" s="86">
        <v>0</v>
      </c>
      <c r="K776" s="83" t="s">
        <v>42</v>
      </c>
      <c r="L776" s="83" t="s">
        <v>130</v>
      </c>
      <c r="M776" s="91">
        <f t="shared" si="75"/>
        <v>2158175000</v>
      </c>
      <c r="N776" s="86">
        <f t="shared" si="76"/>
        <v>871974000</v>
      </c>
      <c r="O776" s="86">
        <f t="shared" si="77"/>
        <v>1286201000</v>
      </c>
      <c r="P776" s="83">
        <f t="shared" si="73"/>
        <v>0.13505940845243167</v>
      </c>
      <c r="Q776" s="83">
        <f t="shared" si="74"/>
        <v>0.22662230773947978</v>
      </c>
    </row>
    <row r="777" spans="1:17">
      <c r="A777" s="87">
        <v>803</v>
      </c>
      <c r="B777" s="87" t="s">
        <v>314</v>
      </c>
      <c r="C777" s="87" t="s">
        <v>18</v>
      </c>
      <c r="D777" s="84">
        <v>42049</v>
      </c>
      <c r="E777" s="88">
        <f t="shared" si="72"/>
        <v>2015</v>
      </c>
      <c r="F777" s="89">
        <v>5112000000</v>
      </c>
      <c r="G777" s="89">
        <v>3385000000</v>
      </c>
      <c r="H777" s="89">
        <v>914000000</v>
      </c>
      <c r="I777" s="89">
        <v>0</v>
      </c>
      <c r="J777" s="89">
        <v>0</v>
      </c>
      <c r="K777" s="87" t="s">
        <v>28</v>
      </c>
      <c r="L777" s="87" t="s">
        <v>315</v>
      </c>
      <c r="M777" s="90">
        <f t="shared" si="75"/>
        <v>1727000000</v>
      </c>
      <c r="N777" s="89">
        <f t="shared" si="76"/>
        <v>914000000</v>
      </c>
      <c r="O777" s="89">
        <f t="shared" si="77"/>
        <v>813000000</v>
      </c>
      <c r="P777" s="87">
        <f t="shared" si="73"/>
        <v>0.159037558685446</v>
      </c>
      <c r="Q777" s="87">
        <f t="shared" si="74"/>
        <v>0.33783255086071984</v>
      </c>
    </row>
    <row r="778" spans="1:17">
      <c r="A778" s="83">
        <v>804</v>
      </c>
      <c r="B778" s="83" t="s">
        <v>314</v>
      </c>
      <c r="C778" s="83" t="s">
        <v>21</v>
      </c>
      <c r="D778" s="84">
        <v>42050</v>
      </c>
      <c r="E778" s="85">
        <f t="shared" si="72"/>
        <v>2015</v>
      </c>
      <c r="F778" s="86">
        <v>5012000000</v>
      </c>
      <c r="G778" s="86">
        <v>3310000000</v>
      </c>
      <c r="H778" s="86">
        <v>820000000</v>
      </c>
      <c r="I778" s="86">
        <v>0</v>
      </c>
      <c r="J778" s="86">
        <v>0</v>
      </c>
      <c r="K778" s="83" t="s">
        <v>28</v>
      </c>
      <c r="L778" s="83" t="s">
        <v>315</v>
      </c>
      <c r="M778" s="91">
        <f t="shared" si="75"/>
        <v>1702000000</v>
      </c>
      <c r="N778" s="86">
        <f t="shared" si="76"/>
        <v>820000000</v>
      </c>
      <c r="O778" s="86">
        <f t="shared" si="77"/>
        <v>882000000</v>
      </c>
      <c r="P778" s="83">
        <f t="shared" si="73"/>
        <v>0.17597765363128492</v>
      </c>
      <c r="Q778" s="83">
        <f t="shared" si="74"/>
        <v>0.33958499600957703</v>
      </c>
    </row>
    <row r="779" spans="1:17">
      <c r="A779" s="87">
        <v>805</v>
      </c>
      <c r="B779" s="87" t="s">
        <v>314</v>
      </c>
      <c r="C779" s="87" t="s">
        <v>22</v>
      </c>
      <c r="D779" s="84">
        <v>42051</v>
      </c>
      <c r="E779" s="88">
        <f t="shared" si="72"/>
        <v>2015</v>
      </c>
      <c r="F779" s="89">
        <v>5083000000</v>
      </c>
      <c r="G779" s="89">
        <v>3348000000</v>
      </c>
      <c r="H779" s="89">
        <v>976000000</v>
      </c>
      <c r="I779" s="89">
        <v>0</v>
      </c>
      <c r="J779" s="89">
        <v>0</v>
      </c>
      <c r="K779" s="87" t="s">
        <v>28</v>
      </c>
      <c r="L779" s="87" t="s">
        <v>315</v>
      </c>
      <c r="M779" s="90">
        <f t="shared" si="75"/>
        <v>1735000000</v>
      </c>
      <c r="N779" s="89">
        <f t="shared" si="76"/>
        <v>976000000</v>
      </c>
      <c r="O779" s="89">
        <f t="shared" si="77"/>
        <v>759000000</v>
      </c>
      <c r="P779" s="87">
        <f t="shared" si="73"/>
        <v>0.14932126696832579</v>
      </c>
      <c r="Q779" s="87">
        <f t="shared" si="74"/>
        <v>0.34133385795789883</v>
      </c>
    </row>
    <row r="780" spans="1:17">
      <c r="A780" s="83">
        <v>806</v>
      </c>
      <c r="B780" s="83" t="s">
        <v>314</v>
      </c>
      <c r="C780" s="83" t="s">
        <v>23</v>
      </c>
      <c r="D780" s="84">
        <v>42052</v>
      </c>
      <c r="E780" s="85">
        <f t="shared" si="72"/>
        <v>2015</v>
      </c>
      <c r="F780" s="86">
        <v>7467000000</v>
      </c>
      <c r="G780" s="86">
        <v>5132000000</v>
      </c>
      <c r="H780" s="86">
        <v>1186000000</v>
      </c>
      <c r="I780" s="86">
        <v>0</v>
      </c>
      <c r="J780" s="86">
        <v>0</v>
      </c>
      <c r="K780" s="83" t="s">
        <v>28</v>
      </c>
      <c r="L780" s="83" t="s">
        <v>315</v>
      </c>
      <c r="M780" s="91">
        <f t="shared" si="75"/>
        <v>2335000000</v>
      </c>
      <c r="N780" s="86">
        <f t="shared" si="76"/>
        <v>1186000000</v>
      </c>
      <c r="O780" s="86">
        <f t="shared" si="77"/>
        <v>1149000000</v>
      </c>
      <c r="P780" s="83">
        <f t="shared" si="73"/>
        <v>0.1538770590598634</v>
      </c>
      <c r="Q780" s="83">
        <f t="shared" si="74"/>
        <v>0.31270925405115846</v>
      </c>
    </row>
    <row r="781" spans="1:17">
      <c r="A781" s="87">
        <v>807</v>
      </c>
      <c r="B781" s="87" t="s">
        <v>316</v>
      </c>
      <c r="C781" s="87" t="s">
        <v>18</v>
      </c>
      <c r="D781" s="84">
        <v>42053</v>
      </c>
      <c r="E781" s="88">
        <f t="shared" si="72"/>
        <v>2015</v>
      </c>
      <c r="F781" s="89">
        <v>8939967000</v>
      </c>
      <c r="G781" s="89">
        <v>6432454000</v>
      </c>
      <c r="H781" s="89">
        <v>1873360000</v>
      </c>
      <c r="I781" s="89">
        <v>0</v>
      </c>
      <c r="J781" s="89">
        <v>0</v>
      </c>
      <c r="K781" s="87" t="s">
        <v>31</v>
      </c>
      <c r="L781" s="87" t="s">
        <v>34</v>
      </c>
      <c r="M781" s="90">
        <f t="shared" si="75"/>
        <v>2507513000</v>
      </c>
      <c r="N781" s="89">
        <f t="shared" si="76"/>
        <v>1873360000</v>
      </c>
      <c r="O781" s="89">
        <f t="shared" si="77"/>
        <v>634153000</v>
      </c>
      <c r="P781" s="87">
        <f t="shared" si="73"/>
        <v>7.0934601883877194E-2</v>
      </c>
      <c r="Q781" s="87">
        <f t="shared" si="74"/>
        <v>0.28048347382042904</v>
      </c>
    </row>
    <row r="782" spans="1:17">
      <c r="A782" s="83">
        <v>808</v>
      </c>
      <c r="B782" s="83" t="s">
        <v>316</v>
      </c>
      <c r="C782" s="83" t="s">
        <v>21</v>
      </c>
      <c r="D782" s="84">
        <v>42054</v>
      </c>
      <c r="E782" s="85">
        <f t="shared" si="72"/>
        <v>2015</v>
      </c>
      <c r="F782" s="86">
        <v>9560647000</v>
      </c>
      <c r="G782" s="86">
        <v>6904633000</v>
      </c>
      <c r="H782" s="86">
        <v>1978960000</v>
      </c>
      <c r="I782" s="86">
        <v>0</v>
      </c>
      <c r="J782" s="86">
        <v>0</v>
      </c>
      <c r="K782" s="83" t="s">
        <v>31</v>
      </c>
      <c r="L782" s="83" t="s">
        <v>34</v>
      </c>
      <c r="M782" s="91">
        <f t="shared" si="75"/>
        <v>2656014000</v>
      </c>
      <c r="N782" s="86">
        <f t="shared" si="76"/>
        <v>1978960000</v>
      </c>
      <c r="O782" s="86">
        <f t="shared" si="77"/>
        <v>677054000</v>
      </c>
      <c r="P782" s="83">
        <f t="shared" si="73"/>
        <v>7.0816755393228098E-2</v>
      </c>
      <c r="Q782" s="83">
        <f t="shared" si="74"/>
        <v>0.27780693084892683</v>
      </c>
    </row>
    <row r="783" spans="1:17">
      <c r="A783" s="87">
        <v>809</v>
      </c>
      <c r="B783" s="87" t="s">
        <v>316</v>
      </c>
      <c r="C783" s="87" t="s">
        <v>22</v>
      </c>
      <c r="D783" s="84">
        <v>42055</v>
      </c>
      <c r="E783" s="88">
        <f t="shared" si="72"/>
        <v>2015</v>
      </c>
      <c r="F783" s="89">
        <v>10371390000</v>
      </c>
      <c r="G783" s="89">
        <v>7460075000</v>
      </c>
      <c r="H783" s="89">
        <v>2196173000</v>
      </c>
      <c r="I783" s="89">
        <v>0</v>
      </c>
      <c r="J783" s="89">
        <v>0</v>
      </c>
      <c r="K783" s="87" t="s">
        <v>31</v>
      </c>
      <c r="L783" s="87" t="s">
        <v>34</v>
      </c>
      <c r="M783" s="90">
        <f t="shared" si="75"/>
        <v>2911315000</v>
      </c>
      <c r="N783" s="89">
        <f t="shared" si="76"/>
        <v>2196173000</v>
      </c>
      <c r="O783" s="89">
        <f t="shared" si="77"/>
        <v>715142000</v>
      </c>
      <c r="P783" s="87">
        <f t="shared" si="73"/>
        <v>6.8953341837497198E-2</v>
      </c>
      <c r="Q783" s="87">
        <f t="shared" si="74"/>
        <v>0.28070634697952734</v>
      </c>
    </row>
    <row r="784" spans="1:17">
      <c r="A784" s="83">
        <v>810</v>
      </c>
      <c r="B784" s="83" t="s">
        <v>316</v>
      </c>
      <c r="C784" s="83" t="s">
        <v>23</v>
      </c>
      <c r="D784" s="84">
        <v>42056</v>
      </c>
      <c r="E784" s="85">
        <f t="shared" si="72"/>
        <v>2015</v>
      </c>
      <c r="F784" s="86">
        <v>10629719000</v>
      </c>
      <c r="G784" s="86">
        <v>7617460000</v>
      </c>
      <c r="H784" s="86">
        <v>2243356000</v>
      </c>
      <c r="I784" s="86">
        <v>0</v>
      </c>
      <c r="J784" s="86">
        <v>0</v>
      </c>
      <c r="K784" s="83" t="s">
        <v>31</v>
      </c>
      <c r="L784" s="83" t="s">
        <v>34</v>
      </c>
      <c r="M784" s="91">
        <f t="shared" si="75"/>
        <v>3012259000</v>
      </c>
      <c r="N784" s="86">
        <f t="shared" si="76"/>
        <v>2243356000</v>
      </c>
      <c r="O784" s="86">
        <f t="shared" si="77"/>
        <v>768903000</v>
      </c>
      <c r="P784" s="83">
        <f t="shared" si="73"/>
        <v>7.2335214129366915E-2</v>
      </c>
      <c r="Q784" s="83">
        <f t="shared" si="74"/>
        <v>0.28338086829952891</v>
      </c>
    </row>
    <row r="785" spans="1:17">
      <c r="A785" s="87">
        <v>811</v>
      </c>
      <c r="B785" s="87" t="s">
        <v>317</v>
      </c>
      <c r="C785" s="87" t="s">
        <v>18</v>
      </c>
      <c r="D785" s="84">
        <v>42057</v>
      </c>
      <c r="E785" s="88">
        <f t="shared" si="72"/>
        <v>2015</v>
      </c>
      <c r="F785" s="89">
        <v>5059000000</v>
      </c>
      <c r="G785" s="89">
        <v>1885000000</v>
      </c>
      <c r="H785" s="89">
        <v>2101000000</v>
      </c>
      <c r="I785" s="89">
        <v>0</v>
      </c>
      <c r="J785" s="89">
        <v>722000000</v>
      </c>
      <c r="K785" s="87" t="s">
        <v>58</v>
      </c>
      <c r="L785" s="87" t="s">
        <v>59</v>
      </c>
      <c r="M785" s="90">
        <f t="shared" si="75"/>
        <v>3174000000</v>
      </c>
      <c r="N785" s="89">
        <f t="shared" si="76"/>
        <v>2823000000</v>
      </c>
      <c r="O785" s="89">
        <f t="shared" si="77"/>
        <v>351000000</v>
      </c>
      <c r="P785" s="87">
        <f t="shared" si="73"/>
        <v>6.938130065230283E-2</v>
      </c>
      <c r="Q785" s="87">
        <f t="shared" si="74"/>
        <v>0.62739671871911451</v>
      </c>
    </row>
    <row r="786" spans="1:17">
      <c r="A786" s="83">
        <v>812</v>
      </c>
      <c r="B786" s="83" t="s">
        <v>317</v>
      </c>
      <c r="C786" s="83" t="s">
        <v>21</v>
      </c>
      <c r="D786" s="84">
        <v>42058</v>
      </c>
      <c r="E786" s="85">
        <f t="shared" si="72"/>
        <v>2015</v>
      </c>
      <c r="F786" s="86">
        <v>5166000000</v>
      </c>
      <c r="G786" s="86">
        <v>1989000000</v>
      </c>
      <c r="H786" s="86">
        <v>1968000000</v>
      </c>
      <c r="I786" s="86">
        <v>0</v>
      </c>
      <c r="J786" s="86">
        <v>697000000</v>
      </c>
      <c r="K786" s="83" t="s">
        <v>58</v>
      </c>
      <c r="L786" s="83" t="s">
        <v>59</v>
      </c>
      <c r="M786" s="91">
        <f t="shared" si="75"/>
        <v>3177000000</v>
      </c>
      <c r="N786" s="86">
        <f t="shared" si="76"/>
        <v>2665000000</v>
      </c>
      <c r="O786" s="86">
        <f t="shared" si="77"/>
        <v>512000000</v>
      </c>
      <c r="P786" s="83">
        <f t="shared" si="73"/>
        <v>9.910956252419667E-2</v>
      </c>
      <c r="Q786" s="83">
        <f t="shared" si="74"/>
        <v>0.61498257839721249</v>
      </c>
    </row>
    <row r="787" spans="1:17">
      <c r="A787" s="87">
        <v>813</v>
      </c>
      <c r="B787" s="87" t="s">
        <v>317</v>
      </c>
      <c r="C787" s="87" t="s">
        <v>22</v>
      </c>
      <c r="D787" s="84">
        <v>42059</v>
      </c>
      <c r="E787" s="88">
        <f t="shared" si="72"/>
        <v>2015</v>
      </c>
      <c r="F787" s="89">
        <v>5354000000</v>
      </c>
      <c r="G787" s="89">
        <v>2033000000</v>
      </c>
      <c r="H787" s="89">
        <v>1920000000</v>
      </c>
      <c r="I787" s="89">
        <v>0</v>
      </c>
      <c r="J787" s="89">
        <v>701000000</v>
      </c>
      <c r="K787" s="87" t="s">
        <v>58</v>
      </c>
      <c r="L787" s="87" t="s">
        <v>59</v>
      </c>
      <c r="M787" s="90">
        <f t="shared" si="75"/>
        <v>3321000000</v>
      </c>
      <c r="N787" s="89">
        <f t="shared" si="76"/>
        <v>2621000000</v>
      </c>
      <c r="O787" s="89">
        <f t="shared" si="77"/>
        <v>700000000</v>
      </c>
      <c r="P787" s="87">
        <f t="shared" si="73"/>
        <v>0.13074336944340681</v>
      </c>
      <c r="Q787" s="87">
        <f t="shared" si="74"/>
        <v>0.62028389988793431</v>
      </c>
    </row>
    <row r="788" spans="1:17">
      <c r="A788" s="83">
        <v>814</v>
      </c>
      <c r="B788" s="83" t="s">
        <v>317</v>
      </c>
      <c r="C788" s="83" t="s">
        <v>23</v>
      </c>
      <c r="D788" s="84">
        <v>42060</v>
      </c>
      <c r="E788" s="85">
        <f t="shared" si="72"/>
        <v>2015</v>
      </c>
      <c r="F788" s="86">
        <v>5387000000</v>
      </c>
      <c r="G788" s="86">
        <v>2012000000</v>
      </c>
      <c r="H788" s="86">
        <v>2011000000</v>
      </c>
      <c r="I788" s="86">
        <v>0</v>
      </c>
      <c r="J788" s="86">
        <v>716000000</v>
      </c>
      <c r="K788" s="83" t="s">
        <v>58</v>
      </c>
      <c r="L788" s="83" t="s">
        <v>59</v>
      </c>
      <c r="M788" s="91">
        <f t="shared" si="75"/>
        <v>3375000000</v>
      </c>
      <c r="N788" s="86">
        <f t="shared" si="76"/>
        <v>2727000000</v>
      </c>
      <c r="O788" s="86">
        <f t="shared" si="77"/>
        <v>648000000</v>
      </c>
      <c r="P788" s="83">
        <f t="shared" si="73"/>
        <v>0.1202895860404678</v>
      </c>
      <c r="Q788" s="83">
        <f t="shared" si="74"/>
        <v>0.62650826062743636</v>
      </c>
    </row>
    <row r="789" spans="1:17">
      <c r="A789" s="87">
        <v>815</v>
      </c>
      <c r="B789" s="87" t="s">
        <v>318</v>
      </c>
      <c r="C789" s="87" t="s">
        <v>18</v>
      </c>
      <c r="D789" s="84">
        <v>42061</v>
      </c>
      <c r="E789" s="88">
        <f t="shared" si="72"/>
        <v>2015</v>
      </c>
      <c r="F789" s="89">
        <v>6644252000</v>
      </c>
      <c r="G789" s="89">
        <v>3784370000</v>
      </c>
      <c r="H789" s="89">
        <v>1703796000</v>
      </c>
      <c r="I789" s="89">
        <v>0</v>
      </c>
      <c r="J789" s="89">
        <v>0</v>
      </c>
      <c r="K789" s="87" t="s">
        <v>42</v>
      </c>
      <c r="L789" s="87" t="s">
        <v>130</v>
      </c>
      <c r="M789" s="90">
        <f t="shared" si="75"/>
        <v>2859882000</v>
      </c>
      <c r="N789" s="89">
        <f t="shared" si="76"/>
        <v>1703796000</v>
      </c>
      <c r="O789" s="89">
        <f t="shared" si="77"/>
        <v>1156086000</v>
      </c>
      <c r="P789" s="87">
        <f t="shared" si="73"/>
        <v>0.17399791579247748</v>
      </c>
      <c r="Q789" s="87">
        <f t="shared" si="74"/>
        <v>0.43042949003138353</v>
      </c>
    </row>
    <row r="790" spans="1:17">
      <c r="A790" s="83">
        <v>816</v>
      </c>
      <c r="B790" s="83" t="s">
        <v>318</v>
      </c>
      <c r="C790" s="83" t="s">
        <v>21</v>
      </c>
      <c r="D790" s="84">
        <v>42062</v>
      </c>
      <c r="E790" s="85">
        <f t="shared" si="72"/>
        <v>2015</v>
      </c>
      <c r="F790" s="86">
        <v>7146079000</v>
      </c>
      <c r="G790" s="86">
        <v>3865231000</v>
      </c>
      <c r="H790" s="86">
        <v>1924132000</v>
      </c>
      <c r="I790" s="86">
        <v>0</v>
      </c>
      <c r="J790" s="86">
        <v>0</v>
      </c>
      <c r="K790" s="83" t="s">
        <v>42</v>
      </c>
      <c r="L790" s="83" t="s">
        <v>130</v>
      </c>
      <c r="M790" s="91">
        <f t="shared" si="75"/>
        <v>3280848000</v>
      </c>
      <c r="N790" s="86">
        <f t="shared" si="76"/>
        <v>1924132000</v>
      </c>
      <c r="O790" s="86">
        <f t="shared" si="77"/>
        <v>1356716000</v>
      </c>
      <c r="P790" s="83">
        <f t="shared" si="73"/>
        <v>0.18985460418223757</v>
      </c>
      <c r="Q790" s="83">
        <f t="shared" si="74"/>
        <v>0.45911163310677083</v>
      </c>
    </row>
    <row r="791" spans="1:17">
      <c r="A791" s="87">
        <v>817</v>
      </c>
      <c r="B791" s="87" t="s">
        <v>318</v>
      </c>
      <c r="C791" s="87" t="s">
        <v>22</v>
      </c>
      <c r="D791" s="84">
        <v>42063</v>
      </c>
      <c r="E791" s="88">
        <f t="shared" si="72"/>
        <v>2015</v>
      </c>
      <c r="F791" s="89">
        <v>7421768000</v>
      </c>
      <c r="G791" s="89">
        <v>4085602000</v>
      </c>
      <c r="H791" s="89">
        <v>1898284000</v>
      </c>
      <c r="I791" s="89">
        <v>0</v>
      </c>
      <c r="J791" s="89">
        <v>0</v>
      </c>
      <c r="K791" s="87" t="s">
        <v>42</v>
      </c>
      <c r="L791" s="87" t="s">
        <v>130</v>
      </c>
      <c r="M791" s="90">
        <f t="shared" si="75"/>
        <v>3336166000</v>
      </c>
      <c r="N791" s="89">
        <f t="shared" si="76"/>
        <v>1898284000</v>
      </c>
      <c r="O791" s="89">
        <f t="shared" si="77"/>
        <v>1437882000</v>
      </c>
      <c r="P791" s="87">
        <f t="shared" si="73"/>
        <v>0.19373847309697637</v>
      </c>
      <c r="Q791" s="87">
        <f t="shared" si="74"/>
        <v>0.44951095210736847</v>
      </c>
    </row>
    <row r="792" spans="1:17">
      <c r="A792" s="83">
        <v>818</v>
      </c>
      <c r="B792" s="83" t="s">
        <v>318</v>
      </c>
      <c r="C792" s="83" t="s">
        <v>23</v>
      </c>
      <c r="D792" s="84">
        <v>42064</v>
      </c>
      <c r="E792" s="85">
        <f t="shared" si="72"/>
        <v>2015</v>
      </c>
      <c r="F792" s="86">
        <v>7386626000</v>
      </c>
      <c r="G792" s="86">
        <v>4003951000</v>
      </c>
      <c r="H792" s="86">
        <v>1969308000</v>
      </c>
      <c r="I792" s="86">
        <v>0</v>
      </c>
      <c r="J792" s="86">
        <v>0</v>
      </c>
      <c r="K792" s="83" t="s">
        <v>42</v>
      </c>
      <c r="L792" s="83" t="s">
        <v>130</v>
      </c>
      <c r="M792" s="91">
        <f t="shared" si="75"/>
        <v>3382675000</v>
      </c>
      <c r="N792" s="86">
        <f t="shared" si="76"/>
        <v>1969308000</v>
      </c>
      <c r="O792" s="86">
        <f t="shared" si="77"/>
        <v>1413367000</v>
      </c>
      <c r="P792" s="83">
        <f t="shared" si="73"/>
        <v>0.19134135124751139</v>
      </c>
      <c r="Q792" s="83">
        <f t="shared" si="74"/>
        <v>0.45794588760822597</v>
      </c>
    </row>
    <row r="793" spans="1:17">
      <c r="A793" s="87">
        <v>819</v>
      </c>
      <c r="B793" s="87" t="s">
        <v>319</v>
      </c>
      <c r="C793" s="87" t="s">
        <v>18</v>
      </c>
      <c r="D793" s="84">
        <v>42065</v>
      </c>
      <c r="E793" s="88">
        <f t="shared" si="72"/>
        <v>2015</v>
      </c>
      <c r="F793" s="89">
        <v>41313000000</v>
      </c>
      <c r="G793" s="89">
        <v>32564000000</v>
      </c>
      <c r="H793" s="89">
        <v>0</v>
      </c>
      <c r="I793" s="89">
        <v>0</v>
      </c>
      <c r="J793" s="89">
        <v>6688000000</v>
      </c>
      <c r="K793" s="87" t="s">
        <v>31</v>
      </c>
      <c r="L793" s="87" t="s">
        <v>87</v>
      </c>
      <c r="M793" s="90">
        <f t="shared" si="75"/>
        <v>8749000000</v>
      </c>
      <c r="N793" s="89">
        <f t="shared" si="76"/>
        <v>6688000000</v>
      </c>
      <c r="O793" s="89">
        <f t="shared" si="77"/>
        <v>2061000000</v>
      </c>
      <c r="P793" s="87">
        <f t="shared" si="73"/>
        <v>4.9887444630019609E-2</v>
      </c>
      <c r="Q793" s="87">
        <f t="shared" si="74"/>
        <v>0.21177353375450825</v>
      </c>
    </row>
    <row r="794" spans="1:17">
      <c r="A794" s="83">
        <v>820</v>
      </c>
      <c r="B794" s="83" t="s">
        <v>319</v>
      </c>
      <c r="C794" s="83" t="s">
        <v>21</v>
      </c>
      <c r="D794" s="84">
        <v>42066</v>
      </c>
      <c r="E794" s="85">
        <f t="shared" si="72"/>
        <v>2015</v>
      </c>
      <c r="F794" s="86">
        <v>48500000000</v>
      </c>
      <c r="G794" s="86">
        <v>38166000000</v>
      </c>
      <c r="H794" s="86">
        <v>0</v>
      </c>
      <c r="I794" s="86">
        <v>0</v>
      </c>
      <c r="J794" s="86">
        <v>7972000000</v>
      </c>
      <c r="K794" s="83" t="s">
        <v>31</v>
      </c>
      <c r="L794" s="83" t="s">
        <v>87</v>
      </c>
      <c r="M794" s="91">
        <f t="shared" si="75"/>
        <v>10334000000</v>
      </c>
      <c r="N794" s="86">
        <f t="shared" si="76"/>
        <v>7972000000</v>
      </c>
      <c r="O794" s="86">
        <f t="shared" si="77"/>
        <v>2362000000</v>
      </c>
      <c r="P794" s="83">
        <f t="shared" si="73"/>
        <v>4.8701030927835051E-2</v>
      </c>
      <c r="Q794" s="83">
        <f t="shared" si="74"/>
        <v>0.2130721649484536</v>
      </c>
    </row>
    <row r="795" spans="1:17">
      <c r="A795" s="87">
        <v>821</v>
      </c>
      <c r="B795" s="87" t="s">
        <v>319</v>
      </c>
      <c r="C795" s="87" t="s">
        <v>22</v>
      </c>
      <c r="D795" s="84">
        <v>42067</v>
      </c>
      <c r="E795" s="88">
        <f t="shared" si="72"/>
        <v>2015</v>
      </c>
      <c r="F795" s="89">
        <v>54289000000</v>
      </c>
      <c r="G795" s="89">
        <v>44269000000</v>
      </c>
      <c r="H795" s="89">
        <v>0</v>
      </c>
      <c r="I795" s="89">
        <v>0</v>
      </c>
      <c r="J795" s="89">
        <v>7673000000</v>
      </c>
      <c r="K795" s="87" t="s">
        <v>31</v>
      </c>
      <c r="L795" s="87" t="s">
        <v>87</v>
      </c>
      <c r="M795" s="90">
        <f t="shared" si="75"/>
        <v>10020000000</v>
      </c>
      <c r="N795" s="89">
        <f t="shared" si="76"/>
        <v>7673000000</v>
      </c>
      <c r="O795" s="89">
        <f t="shared" si="77"/>
        <v>2347000000</v>
      </c>
      <c r="P795" s="87">
        <f t="shared" si="73"/>
        <v>4.3231593877212697E-2</v>
      </c>
      <c r="Q795" s="87">
        <f t="shared" si="74"/>
        <v>0.18456777616091657</v>
      </c>
    </row>
    <row r="796" spans="1:17">
      <c r="A796" s="83">
        <v>822</v>
      </c>
      <c r="B796" s="83" t="s">
        <v>319</v>
      </c>
      <c r="C796" s="83" t="s">
        <v>23</v>
      </c>
      <c r="D796" s="84">
        <v>42068</v>
      </c>
      <c r="E796" s="85">
        <f t="shared" si="72"/>
        <v>2015</v>
      </c>
      <c r="F796" s="86">
        <v>54379000000</v>
      </c>
      <c r="G796" s="86">
        <v>45007000000</v>
      </c>
      <c r="H796" s="86">
        <v>0</v>
      </c>
      <c r="I796" s="86">
        <v>0</v>
      </c>
      <c r="J796" s="86">
        <v>7631000000</v>
      </c>
      <c r="K796" s="83" t="s">
        <v>31</v>
      </c>
      <c r="L796" s="83" t="s">
        <v>87</v>
      </c>
      <c r="M796" s="91">
        <f t="shared" si="75"/>
        <v>9372000000</v>
      </c>
      <c r="N796" s="86">
        <f t="shared" si="76"/>
        <v>7631000000</v>
      </c>
      <c r="O796" s="86">
        <f t="shared" si="77"/>
        <v>1741000000</v>
      </c>
      <c r="P796" s="83">
        <f t="shared" si="73"/>
        <v>3.2016035601978708E-2</v>
      </c>
      <c r="Q796" s="83">
        <f t="shared" si="74"/>
        <v>0.17234594236745804</v>
      </c>
    </row>
    <row r="797" spans="1:17">
      <c r="A797" s="87">
        <v>823</v>
      </c>
      <c r="B797" s="87" t="s">
        <v>320</v>
      </c>
      <c r="C797" s="87" t="s">
        <v>18</v>
      </c>
      <c r="D797" s="84">
        <v>42069</v>
      </c>
      <c r="E797" s="88">
        <f t="shared" si="72"/>
        <v>2015</v>
      </c>
      <c r="F797" s="89">
        <v>102874000000</v>
      </c>
      <c r="G797" s="89">
        <v>52513000000</v>
      </c>
      <c r="H797" s="89">
        <v>22389000000</v>
      </c>
      <c r="I797" s="89">
        <v>5816000000</v>
      </c>
      <c r="J797" s="89">
        <v>0</v>
      </c>
      <c r="K797" s="87" t="s">
        <v>28</v>
      </c>
      <c r="L797" s="87" t="s">
        <v>182</v>
      </c>
      <c r="M797" s="90">
        <f t="shared" si="75"/>
        <v>50361000000</v>
      </c>
      <c r="N797" s="89">
        <f t="shared" si="76"/>
        <v>28205000000</v>
      </c>
      <c r="O797" s="89">
        <f t="shared" si="77"/>
        <v>22156000000</v>
      </c>
      <c r="P797" s="87">
        <f t="shared" si="73"/>
        <v>0.21537025876314714</v>
      </c>
      <c r="Q797" s="87">
        <f t="shared" si="74"/>
        <v>0.48954060306783054</v>
      </c>
    </row>
    <row r="798" spans="1:17">
      <c r="A798" s="83">
        <v>824</v>
      </c>
      <c r="B798" s="83" t="s">
        <v>320</v>
      </c>
      <c r="C798" s="83" t="s">
        <v>21</v>
      </c>
      <c r="D798" s="84">
        <v>42070</v>
      </c>
      <c r="E798" s="85">
        <f t="shared" si="72"/>
        <v>2015</v>
      </c>
      <c r="F798" s="86">
        <v>98367000000</v>
      </c>
      <c r="G798" s="86">
        <v>49683000000</v>
      </c>
      <c r="H798" s="86">
        <v>22629000000</v>
      </c>
      <c r="I798" s="86">
        <v>5743000000</v>
      </c>
      <c r="J798" s="86">
        <v>0</v>
      </c>
      <c r="K798" s="83" t="s">
        <v>28</v>
      </c>
      <c r="L798" s="83" t="s">
        <v>182</v>
      </c>
      <c r="M798" s="91">
        <f t="shared" si="75"/>
        <v>48684000000</v>
      </c>
      <c r="N798" s="86">
        <f t="shared" si="76"/>
        <v>28372000000</v>
      </c>
      <c r="O798" s="86">
        <f t="shared" si="77"/>
        <v>20312000000</v>
      </c>
      <c r="P798" s="83">
        <f t="shared" si="73"/>
        <v>0.20649201459839173</v>
      </c>
      <c r="Q798" s="83">
        <f t="shared" si="74"/>
        <v>0.49492207752599959</v>
      </c>
    </row>
    <row r="799" spans="1:17">
      <c r="A799" s="87">
        <v>825</v>
      </c>
      <c r="B799" s="87" t="s">
        <v>320</v>
      </c>
      <c r="C799" s="87" t="s">
        <v>22</v>
      </c>
      <c r="D799" s="84">
        <v>42071</v>
      </c>
      <c r="E799" s="88">
        <f t="shared" si="72"/>
        <v>2015</v>
      </c>
      <c r="F799" s="89">
        <v>92793000000</v>
      </c>
      <c r="G799" s="89">
        <v>46386000000</v>
      </c>
      <c r="H799" s="89">
        <v>22438000000</v>
      </c>
      <c r="I799" s="89">
        <v>5437000000</v>
      </c>
      <c r="J799" s="89">
        <v>0</v>
      </c>
      <c r="K799" s="87" t="s">
        <v>28</v>
      </c>
      <c r="L799" s="87" t="s">
        <v>182</v>
      </c>
      <c r="M799" s="90">
        <f t="shared" si="75"/>
        <v>46407000000</v>
      </c>
      <c r="N799" s="89">
        <f t="shared" si="76"/>
        <v>27875000000</v>
      </c>
      <c r="O799" s="89">
        <f t="shared" si="77"/>
        <v>18532000000</v>
      </c>
      <c r="P799" s="87">
        <f t="shared" si="73"/>
        <v>0.1997133404459388</v>
      </c>
      <c r="Q799" s="87">
        <f t="shared" si="74"/>
        <v>0.50011315508712939</v>
      </c>
    </row>
    <row r="800" spans="1:17">
      <c r="A800" s="83">
        <v>826</v>
      </c>
      <c r="B800" s="83" t="s">
        <v>320</v>
      </c>
      <c r="C800" s="83" t="s">
        <v>23</v>
      </c>
      <c r="D800" s="84">
        <v>42072</v>
      </c>
      <c r="E800" s="85">
        <f t="shared" si="72"/>
        <v>2015</v>
      </c>
      <c r="F800" s="86">
        <v>81741000000</v>
      </c>
      <c r="G800" s="86">
        <v>41057000000</v>
      </c>
      <c r="H800" s="86">
        <v>19748000000</v>
      </c>
      <c r="I800" s="86">
        <v>5247000000</v>
      </c>
      <c r="J800" s="86">
        <v>0</v>
      </c>
      <c r="K800" s="83" t="s">
        <v>28</v>
      </c>
      <c r="L800" s="83" t="s">
        <v>182</v>
      </c>
      <c r="M800" s="91">
        <f t="shared" si="75"/>
        <v>40684000000</v>
      </c>
      <c r="N800" s="86">
        <f t="shared" si="76"/>
        <v>24995000000</v>
      </c>
      <c r="O800" s="86">
        <f t="shared" si="77"/>
        <v>15689000000</v>
      </c>
      <c r="P800" s="83">
        <f t="shared" si="73"/>
        <v>0.19193550360284312</v>
      </c>
      <c r="Q800" s="83">
        <f t="shared" si="74"/>
        <v>0.4977184032492874</v>
      </c>
    </row>
    <row r="801" spans="1:17">
      <c r="A801" s="87">
        <v>827</v>
      </c>
      <c r="B801" s="87" t="s">
        <v>321</v>
      </c>
      <c r="C801" s="87" t="s">
        <v>18</v>
      </c>
      <c r="D801" s="84">
        <v>42073</v>
      </c>
      <c r="E801" s="88">
        <f t="shared" si="72"/>
        <v>2015</v>
      </c>
      <c r="F801" s="89">
        <v>1293338000</v>
      </c>
      <c r="G801" s="89">
        <v>594190000</v>
      </c>
      <c r="H801" s="89">
        <v>354571000</v>
      </c>
      <c r="I801" s="89">
        <v>82014000</v>
      </c>
      <c r="J801" s="89">
        <v>0</v>
      </c>
      <c r="K801" s="87" t="s">
        <v>31</v>
      </c>
      <c r="L801" s="87" t="s">
        <v>36</v>
      </c>
      <c r="M801" s="90">
        <f t="shared" si="75"/>
        <v>699148000</v>
      </c>
      <c r="N801" s="89">
        <f t="shared" si="76"/>
        <v>436585000</v>
      </c>
      <c r="O801" s="89">
        <f t="shared" si="77"/>
        <v>262563000</v>
      </c>
      <c r="P801" s="87">
        <f t="shared" si="73"/>
        <v>0.2030118963488276</v>
      </c>
      <c r="Q801" s="87">
        <f t="shared" si="74"/>
        <v>0.54057639998206186</v>
      </c>
    </row>
    <row r="802" spans="1:17">
      <c r="A802" s="83">
        <v>828</v>
      </c>
      <c r="B802" s="83" t="s">
        <v>321</v>
      </c>
      <c r="C802" s="83" t="s">
        <v>21</v>
      </c>
      <c r="D802" s="84">
        <v>42074</v>
      </c>
      <c r="E802" s="85">
        <f t="shared" si="72"/>
        <v>2015</v>
      </c>
      <c r="F802" s="86">
        <v>1377058000</v>
      </c>
      <c r="G802" s="86">
        <v>620940000</v>
      </c>
      <c r="H802" s="86">
        <v>401353000</v>
      </c>
      <c r="I802" s="86">
        <v>88003000</v>
      </c>
      <c r="J802" s="86">
        <v>0</v>
      </c>
      <c r="K802" s="83" t="s">
        <v>31</v>
      </c>
      <c r="L802" s="83" t="s">
        <v>36</v>
      </c>
      <c r="M802" s="91">
        <f t="shared" si="75"/>
        <v>756118000</v>
      </c>
      <c r="N802" s="86">
        <f t="shared" si="76"/>
        <v>489356000</v>
      </c>
      <c r="O802" s="86">
        <f t="shared" si="77"/>
        <v>266762000</v>
      </c>
      <c r="P802" s="83">
        <f t="shared" si="73"/>
        <v>0.19371878308684165</v>
      </c>
      <c r="Q802" s="83">
        <f t="shared" si="74"/>
        <v>0.54908217373560153</v>
      </c>
    </row>
    <row r="803" spans="1:17">
      <c r="A803" s="87">
        <v>829</v>
      </c>
      <c r="B803" s="87" t="s">
        <v>321</v>
      </c>
      <c r="C803" s="87" t="s">
        <v>22</v>
      </c>
      <c r="D803" s="84">
        <v>42075</v>
      </c>
      <c r="E803" s="88">
        <f t="shared" si="72"/>
        <v>2015</v>
      </c>
      <c r="F803" s="89">
        <v>1485807000</v>
      </c>
      <c r="G803" s="89">
        <v>669691000</v>
      </c>
      <c r="H803" s="89">
        <v>457598000</v>
      </c>
      <c r="I803" s="89">
        <v>98263000</v>
      </c>
      <c r="J803" s="89">
        <v>0</v>
      </c>
      <c r="K803" s="87" t="s">
        <v>31</v>
      </c>
      <c r="L803" s="87" t="s">
        <v>36</v>
      </c>
      <c r="M803" s="90">
        <f t="shared" si="75"/>
        <v>816116000</v>
      </c>
      <c r="N803" s="89">
        <f t="shared" si="76"/>
        <v>555861000</v>
      </c>
      <c r="O803" s="89">
        <f t="shared" si="77"/>
        <v>260255000</v>
      </c>
      <c r="P803" s="87">
        <f t="shared" si="73"/>
        <v>0.17516070391376537</v>
      </c>
      <c r="Q803" s="87">
        <f t="shared" si="74"/>
        <v>0.5492745693081269</v>
      </c>
    </row>
    <row r="804" spans="1:17">
      <c r="A804" s="83">
        <v>830</v>
      </c>
      <c r="B804" s="83" t="s">
        <v>321</v>
      </c>
      <c r="C804" s="83" t="s">
        <v>23</v>
      </c>
      <c r="D804" s="84">
        <v>42076</v>
      </c>
      <c r="E804" s="85">
        <f t="shared" si="72"/>
        <v>2015</v>
      </c>
      <c r="F804" s="86">
        <v>1601892000</v>
      </c>
      <c r="G804" s="86">
        <v>711622000</v>
      </c>
      <c r="H804" s="86">
        <v>482465000</v>
      </c>
      <c r="I804" s="86">
        <v>99681000</v>
      </c>
      <c r="J804" s="86">
        <v>0</v>
      </c>
      <c r="K804" s="83" t="s">
        <v>31</v>
      </c>
      <c r="L804" s="83" t="s">
        <v>36</v>
      </c>
      <c r="M804" s="91">
        <f t="shared" si="75"/>
        <v>890270000</v>
      </c>
      <c r="N804" s="86">
        <f t="shared" si="76"/>
        <v>582146000</v>
      </c>
      <c r="O804" s="86">
        <f t="shared" si="77"/>
        <v>308124000</v>
      </c>
      <c r="P804" s="83">
        <f t="shared" si="73"/>
        <v>0.19235004607052161</v>
      </c>
      <c r="Q804" s="83">
        <f t="shared" si="74"/>
        <v>0.55576156195299053</v>
      </c>
    </row>
    <row r="805" spans="1:17">
      <c r="A805" s="87">
        <v>831</v>
      </c>
      <c r="B805" s="87" t="s">
        <v>322</v>
      </c>
      <c r="C805" s="87" t="s">
        <v>18</v>
      </c>
      <c r="D805" s="84">
        <v>42077</v>
      </c>
      <c r="E805" s="88">
        <f t="shared" si="72"/>
        <v>2015</v>
      </c>
      <c r="F805" s="89">
        <v>2821446000</v>
      </c>
      <c r="G805" s="89">
        <v>1645912000</v>
      </c>
      <c r="H805" s="89">
        <v>453535000</v>
      </c>
      <c r="I805" s="89">
        <v>233713000</v>
      </c>
      <c r="J805" s="89">
        <v>0</v>
      </c>
      <c r="K805" s="87" t="s">
        <v>65</v>
      </c>
      <c r="L805" s="87" t="s">
        <v>66</v>
      </c>
      <c r="M805" s="90">
        <f t="shared" si="75"/>
        <v>1175534000</v>
      </c>
      <c r="N805" s="89">
        <f t="shared" si="76"/>
        <v>687248000</v>
      </c>
      <c r="O805" s="89">
        <f t="shared" si="77"/>
        <v>488286000</v>
      </c>
      <c r="P805" s="87">
        <f t="shared" si="73"/>
        <v>0.17306232336185062</v>
      </c>
      <c r="Q805" s="87">
        <f t="shared" si="74"/>
        <v>0.4166423883356265</v>
      </c>
    </row>
    <row r="806" spans="1:17">
      <c r="A806" s="83">
        <v>832</v>
      </c>
      <c r="B806" s="83" t="s">
        <v>322</v>
      </c>
      <c r="C806" s="83" t="s">
        <v>21</v>
      </c>
      <c r="D806" s="84">
        <v>42078</v>
      </c>
      <c r="E806" s="85">
        <f t="shared" si="72"/>
        <v>2015</v>
      </c>
      <c r="F806" s="86">
        <v>2952896000</v>
      </c>
      <c r="G806" s="86">
        <v>1668691000</v>
      </c>
      <c r="H806" s="86">
        <v>505877000</v>
      </c>
      <c r="I806" s="86">
        <v>259838000</v>
      </c>
      <c r="J806" s="86">
        <v>0</v>
      </c>
      <c r="K806" s="83" t="s">
        <v>65</v>
      </c>
      <c r="L806" s="83" t="s">
        <v>66</v>
      </c>
      <c r="M806" s="91">
        <f t="shared" si="75"/>
        <v>1284205000</v>
      </c>
      <c r="N806" s="86">
        <f t="shared" si="76"/>
        <v>765715000</v>
      </c>
      <c r="O806" s="86">
        <f t="shared" si="77"/>
        <v>518490000</v>
      </c>
      <c r="P806" s="83">
        <f t="shared" si="73"/>
        <v>0.17558694921866533</v>
      </c>
      <c r="Q806" s="83">
        <f t="shared" si="74"/>
        <v>0.43489679284336458</v>
      </c>
    </row>
    <row r="807" spans="1:17">
      <c r="A807" s="87">
        <v>833</v>
      </c>
      <c r="B807" s="87" t="s">
        <v>322</v>
      </c>
      <c r="C807" s="87" t="s">
        <v>22</v>
      </c>
      <c r="D807" s="84">
        <v>42079</v>
      </c>
      <c r="E807" s="88">
        <f t="shared" si="72"/>
        <v>2015</v>
      </c>
      <c r="F807" s="89">
        <v>3088533000</v>
      </c>
      <c r="G807" s="89">
        <v>1726383000</v>
      </c>
      <c r="H807" s="89">
        <v>514891000</v>
      </c>
      <c r="I807" s="89">
        <v>253640000</v>
      </c>
      <c r="J807" s="89">
        <v>0</v>
      </c>
      <c r="K807" s="87" t="s">
        <v>65</v>
      </c>
      <c r="L807" s="87" t="s">
        <v>66</v>
      </c>
      <c r="M807" s="90">
        <f t="shared" si="75"/>
        <v>1362150000</v>
      </c>
      <c r="N807" s="89">
        <f t="shared" si="76"/>
        <v>768531000</v>
      </c>
      <c r="O807" s="89">
        <f t="shared" si="77"/>
        <v>593619000</v>
      </c>
      <c r="P807" s="87">
        <f t="shared" si="73"/>
        <v>0.19220095754197866</v>
      </c>
      <c r="Q807" s="87">
        <f t="shared" si="74"/>
        <v>0.44103462711908858</v>
      </c>
    </row>
    <row r="808" spans="1:17">
      <c r="A808" s="83">
        <v>834</v>
      </c>
      <c r="B808" s="83" t="s">
        <v>322</v>
      </c>
      <c r="C808" s="83" t="s">
        <v>23</v>
      </c>
      <c r="D808" s="84">
        <v>42080</v>
      </c>
      <c r="E808" s="85">
        <f t="shared" si="72"/>
        <v>2015</v>
      </c>
      <c r="F808" s="86">
        <v>3023189000</v>
      </c>
      <c r="G808" s="86">
        <v>1671590000</v>
      </c>
      <c r="H808" s="86">
        <v>509557000</v>
      </c>
      <c r="I808" s="86">
        <v>246101000</v>
      </c>
      <c r="J808" s="86">
        <v>0</v>
      </c>
      <c r="K808" s="83" t="s">
        <v>65</v>
      </c>
      <c r="L808" s="83" t="s">
        <v>66</v>
      </c>
      <c r="M808" s="91">
        <f t="shared" si="75"/>
        <v>1351599000</v>
      </c>
      <c r="N808" s="86">
        <f t="shared" si="76"/>
        <v>755658000</v>
      </c>
      <c r="O808" s="86">
        <f t="shared" si="77"/>
        <v>595941000</v>
      </c>
      <c r="P808" s="83">
        <f t="shared" si="73"/>
        <v>0.19712330257883315</v>
      </c>
      <c r="Q808" s="83">
        <f t="shared" si="74"/>
        <v>0.44707724194550857</v>
      </c>
    </row>
    <row r="809" spans="1:17">
      <c r="A809" s="87">
        <v>835</v>
      </c>
      <c r="B809" s="87" t="s">
        <v>323</v>
      </c>
      <c r="C809" s="87" t="s">
        <v>18</v>
      </c>
      <c r="D809" s="84">
        <v>42081</v>
      </c>
      <c r="E809" s="88">
        <f t="shared" si="72"/>
        <v>2015</v>
      </c>
      <c r="F809" s="89">
        <v>1421178000</v>
      </c>
      <c r="G809" s="89">
        <v>509291000</v>
      </c>
      <c r="H809" s="89">
        <v>397285000</v>
      </c>
      <c r="I809" s="89">
        <v>276743000</v>
      </c>
      <c r="J809" s="89">
        <v>0</v>
      </c>
      <c r="K809" s="87" t="s">
        <v>31</v>
      </c>
      <c r="L809" s="87" t="s">
        <v>324</v>
      </c>
      <c r="M809" s="90">
        <f t="shared" si="75"/>
        <v>911887000</v>
      </c>
      <c r="N809" s="89">
        <f t="shared" si="76"/>
        <v>674028000</v>
      </c>
      <c r="O809" s="89">
        <f t="shared" si="77"/>
        <v>237859000</v>
      </c>
      <c r="P809" s="87">
        <f t="shared" si="73"/>
        <v>0.16736749372703488</v>
      </c>
      <c r="Q809" s="87">
        <f t="shared" si="74"/>
        <v>0.64164165220683123</v>
      </c>
    </row>
    <row r="810" spans="1:17">
      <c r="A810" s="83">
        <v>836</v>
      </c>
      <c r="B810" s="83" t="s">
        <v>323</v>
      </c>
      <c r="C810" s="83" t="s">
        <v>21</v>
      </c>
      <c r="D810" s="84">
        <v>42082</v>
      </c>
      <c r="E810" s="85">
        <f t="shared" si="72"/>
        <v>2015</v>
      </c>
      <c r="F810" s="86">
        <v>1861358000</v>
      </c>
      <c r="G810" s="86">
        <v>563648000</v>
      </c>
      <c r="H810" s="86">
        <v>471921000</v>
      </c>
      <c r="I810" s="86">
        <v>388055000</v>
      </c>
      <c r="J810" s="86">
        <v>0</v>
      </c>
      <c r="K810" s="83" t="s">
        <v>31</v>
      </c>
      <c r="L810" s="83" t="s">
        <v>324</v>
      </c>
      <c r="M810" s="91">
        <f t="shared" si="75"/>
        <v>1297710000</v>
      </c>
      <c r="N810" s="86">
        <f t="shared" si="76"/>
        <v>859976000</v>
      </c>
      <c r="O810" s="86">
        <f t="shared" si="77"/>
        <v>437734000</v>
      </c>
      <c r="P810" s="83">
        <f t="shared" si="73"/>
        <v>0.23516916144019581</v>
      </c>
      <c r="Q810" s="83">
        <f t="shared" si="74"/>
        <v>0.69718452871505643</v>
      </c>
    </row>
    <row r="811" spans="1:17">
      <c r="A811" s="87">
        <v>837</v>
      </c>
      <c r="B811" s="87" t="s">
        <v>323</v>
      </c>
      <c r="C811" s="87" t="s">
        <v>22</v>
      </c>
      <c r="D811" s="84">
        <v>42083</v>
      </c>
      <c r="E811" s="88">
        <f t="shared" si="72"/>
        <v>2015</v>
      </c>
      <c r="F811" s="89">
        <v>2219762000</v>
      </c>
      <c r="G811" s="89">
        <v>670472000</v>
      </c>
      <c r="H811" s="89">
        <v>522046000</v>
      </c>
      <c r="I811" s="89">
        <v>401527000</v>
      </c>
      <c r="J811" s="89">
        <v>0</v>
      </c>
      <c r="K811" s="87" t="s">
        <v>31</v>
      </c>
      <c r="L811" s="87" t="s">
        <v>324</v>
      </c>
      <c r="M811" s="90">
        <f t="shared" si="75"/>
        <v>1549290000</v>
      </c>
      <c r="N811" s="89">
        <f t="shared" si="76"/>
        <v>923573000</v>
      </c>
      <c r="O811" s="89">
        <f t="shared" si="77"/>
        <v>625717000</v>
      </c>
      <c r="P811" s="87">
        <f t="shared" si="73"/>
        <v>0.28188472457858094</v>
      </c>
      <c r="Q811" s="87">
        <f t="shared" si="74"/>
        <v>0.69795320399213967</v>
      </c>
    </row>
    <row r="812" spans="1:17">
      <c r="A812" s="83">
        <v>838</v>
      </c>
      <c r="B812" s="83" t="s">
        <v>323</v>
      </c>
      <c r="C812" s="83" t="s">
        <v>23</v>
      </c>
      <c r="D812" s="84">
        <v>42084</v>
      </c>
      <c r="E812" s="85">
        <f t="shared" si="72"/>
        <v>2015</v>
      </c>
      <c r="F812" s="86">
        <v>2398373000</v>
      </c>
      <c r="G812" s="86">
        <v>731925000</v>
      </c>
      <c r="H812" s="86">
        <v>584491000</v>
      </c>
      <c r="I812" s="86">
        <v>504415000</v>
      </c>
      <c r="J812" s="86">
        <v>0</v>
      </c>
      <c r="K812" s="83" t="s">
        <v>31</v>
      </c>
      <c r="L812" s="83" t="s">
        <v>324</v>
      </c>
      <c r="M812" s="91">
        <f t="shared" si="75"/>
        <v>1666448000</v>
      </c>
      <c r="N812" s="86">
        <f t="shared" si="76"/>
        <v>1088906000</v>
      </c>
      <c r="O812" s="86">
        <f t="shared" si="77"/>
        <v>577542000</v>
      </c>
      <c r="P812" s="83">
        <f t="shared" si="73"/>
        <v>0.24080574622879761</v>
      </c>
      <c r="Q812" s="83">
        <f t="shared" si="74"/>
        <v>0.69482436635168932</v>
      </c>
    </row>
    <row r="813" spans="1:17">
      <c r="A813" s="87">
        <v>839</v>
      </c>
      <c r="B813" s="87" t="s">
        <v>325</v>
      </c>
      <c r="C813" s="87" t="s">
        <v>18</v>
      </c>
      <c r="D813" s="84">
        <v>42085</v>
      </c>
      <c r="E813" s="88">
        <f t="shared" si="72"/>
        <v>2015</v>
      </c>
      <c r="F813" s="89">
        <v>52708000000</v>
      </c>
      <c r="G813" s="89">
        <v>21187000000</v>
      </c>
      <c r="H813" s="89">
        <v>8088000000</v>
      </c>
      <c r="I813" s="89">
        <v>10611000000</v>
      </c>
      <c r="J813" s="89">
        <v>291000000</v>
      </c>
      <c r="K813" s="87" t="s">
        <v>28</v>
      </c>
      <c r="L813" s="87" t="s">
        <v>40</v>
      </c>
      <c r="M813" s="90">
        <f t="shared" si="75"/>
        <v>31521000000</v>
      </c>
      <c r="N813" s="89">
        <f t="shared" si="76"/>
        <v>18990000000</v>
      </c>
      <c r="O813" s="89">
        <f t="shared" si="77"/>
        <v>12531000000</v>
      </c>
      <c r="P813" s="87">
        <f t="shared" si="73"/>
        <v>0.23774379600819609</v>
      </c>
      <c r="Q813" s="87">
        <f t="shared" si="74"/>
        <v>0.5980306594824315</v>
      </c>
    </row>
    <row r="814" spans="1:17">
      <c r="A814" s="83">
        <v>840</v>
      </c>
      <c r="B814" s="83" t="s">
        <v>325</v>
      </c>
      <c r="C814" s="83" t="s">
        <v>21</v>
      </c>
      <c r="D814" s="84">
        <v>42086</v>
      </c>
      <c r="E814" s="85">
        <f t="shared" si="72"/>
        <v>2015</v>
      </c>
      <c r="F814" s="86">
        <v>55870000000</v>
      </c>
      <c r="G814" s="86">
        <v>20261000000</v>
      </c>
      <c r="H814" s="86">
        <v>8136000000</v>
      </c>
      <c r="I814" s="86">
        <v>11537000000</v>
      </c>
      <c r="J814" s="86">
        <v>294000000</v>
      </c>
      <c r="K814" s="83" t="s">
        <v>28</v>
      </c>
      <c r="L814" s="83" t="s">
        <v>40</v>
      </c>
      <c r="M814" s="91">
        <f t="shared" si="75"/>
        <v>35609000000</v>
      </c>
      <c r="N814" s="86">
        <f t="shared" si="76"/>
        <v>19967000000</v>
      </c>
      <c r="O814" s="86">
        <f t="shared" si="77"/>
        <v>15642000000</v>
      </c>
      <c r="P814" s="83">
        <f t="shared" si="73"/>
        <v>0.27997136209056739</v>
      </c>
      <c r="Q814" s="83">
        <f t="shared" si="74"/>
        <v>0.6373545731161625</v>
      </c>
    </row>
    <row r="815" spans="1:17">
      <c r="A815" s="87">
        <v>841</v>
      </c>
      <c r="B815" s="87" t="s">
        <v>325</v>
      </c>
      <c r="C815" s="87" t="s">
        <v>22</v>
      </c>
      <c r="D815" s="84">
        <v>42087</v>
      </c>
      <c r="E815" s="88">
        <f t="shared" si="72"/>
        <v>2015</v>
      </c>
      <c r="F815" s="89">
        <v>55355000000</v>
      </c>
      <c r="G815" s="89">
        <v>20676000000</v>
      </c>
      <c r="H815" s="89">
        <v>7930000000</v>
      </c>
      <c r="I815" s="89">
        <v>12128000000</v>
      </c>
      <c r="J815" s="89">
        <v>265000000</v>
      </c>
      <c r="K815" s="87" t="s">
        <v>28</v>
      </c>
      <c r="L815" s="87" t="s">
        <v>40</v>
      </c>
      <c r="M815" s="90">
        <f t="shared" si="75"/>
        <v>34679000000</v>
      </c>
      <c r="N815" s="89">
        <f t="shared" si="76"/>
        <v>20323000000</v>
      </c>
      <c r="O815" s="89">
        <f t="shared" si="77"/>
        <v>14356000000</v>
      </c>
      <c r="P815" s="87">
        <f t="shared" si="73"/>
        <v>0.2593442326799747</v>
      </c>
      <c r="Q815" s="87">
        <f t="shared" si="74"/>
        <v>0.62648360581699936</v>
      </c>
    </row>
    <row r="816" spans="1:17">
      <c r="A816" s="83">
        <v>842</v>
      </c>
      <c r="B816" s="83" t="s">
        <v>325</v>
      </c>
      <c r="C816" s="83" t="s">
        <v>23</v>
      </c>
      <c r="D816" s="84">
        <v>42088</v>
      </c>
      <c r="E816" s="85">
        <f t="shared" si="72"/>
        <v>2015</v>
      </c>
      <c r="F816" s="86">
        <v>59387000000</v>
      </c>
      <c r="G816" s="86">
        <v>23196000000</v>
      </c>
      <c r="H816" s="86">
        <v>8397000000</v>
      </c>
      <c r="I816" s="86">
        <v>12740000000</v>
      </c>
      <c r="J816" s="86">
        <v>294000000</v>
      </c>
      <c r="K816" s="83" t="s">
        <v>28</v>
      </c>
      <c r="L816" s="83" t="s">
        <v>40</v>
      </c>
      <c r="M816" s="91">
        <f t="shared" si="75"/>
        <v>36191000000</v>
      </c>
      <c r="N816" s="86">
        <f t="shared" si="76"/>
        <v>21431000000</v>
      </c>
      <c r="O816" s="86">
        <f t="shared" si="77"/>
        <v>14760000000</v>
      </c>
      <c r="P816" s="83">
        <f t="shared" si="73"/>
        <v>0.24853924259518076</v>
      </c>
      <c r="Q816" s="83">
        <f t="shared" si="74"/>
        <v>0.60940946671830543</v>
      </c>
    </row>
    <row r="817" spans="1:17">
      <c r="A817" s="87">
        <v>843</v>
      </c>
      <c r="B817" s="87" t="s">
        <v>326</v>
      </c>
      <c r="C817" s="87" t="s">
        <v>18</v>
      </c>
      <c r="D817" s="84">
        <v>42089</v>
      </c>
      <c r="E817" s="88">
        <f t="shared" si="72"/>
        <v>2015</v>
      </c>
      <c r="F817" s="89">
        <v>3946000000</v>
      </c>
      <c r="G817" s="89">
        <v>527000000</v>
      </c>
      <c r="H817" s="89">
        <v>1534000000</v>
      </c>
      <c r="I817" s="89">
        <v>647000000</v>
      </c>
      <c r="J817" s="89">
        <v>30000000</v>
      </c>
      <c r="K817" s="87" t="s">
        <v>28</v>
      </c>
      <c r="L817" s="87" t="s">
        <v>63</v>
      </c>
      <c r="M817" s="90">
        <f t="shared" si="75"/>
        <v>3419000000</v>
      </c>
      <c r="N817" s="89">
        <f t="shared" si="76"/>
        <v>2211000000</v>
      </c>
      <c r="O817" s="89">
        <f t="shared" si="77"/>
        <v>1208000000</v>
      </c>
      <c r="P817" s="87">
        <f t="shared" si="73"/>
        <v>0.30613279270146987</v>
      </c>
      <c r="Q817" s="87">
        <f t="shared" si="74"/>
        <v>0.86644703497212361</v>
      </c>
    </row>
    <row r="818" spans="1:17">
      <c r="A818" s="83">
        <v>844</v>
      </c>
      <c r="B818" s="83" t="s">
        <v>326</v>
      </c>
      <c r="C818" s="83" t="s">
        <v>21</v>
      </c>
      <c r="D818" s="84">
        <v>42090</v>
      </c>
      <c r="E818" s="85">
        <f t="shared" si="72"/>
        <v>2015</v>
      </c>
      <c r="F818" s="86">
        <v>4243000000</v>
      </c>
      <c r="G818" s="86">
        <v>603000000</v>
      </c>
      <c r="H818" s="86">
        <v>1601000000</v>
      </c>
      <c r="I818" s="86">
        <v>714000000</v>
      </c>
      <c r="J818" s="86">
        <v>25000000</v>
      </c>
      <c r="K818" s="83" t="s">
        <v>28</v>
      </c>
      <c r="L818" s="83" t="s">
        <v>63</v>
      </c>
      <c r="M818" s="91">
        <f t="shared" si="75"/>
        <v>3640000000</v>
      </c>
      <c r="N818" s="86">
        <f t="shared" si="76"/>
        <v>2340000000</v>
      </c>
      <c r="O818" s="86">
        <f t="shared" si="77"/>
        <v>1300000000</v>
      </c>
      <c r="P818" s="83">
        <f t="shared" si="73"/>
        <v>0.30638699033702571</v>
      </c>
      <c r="Q818" s="83">
        <f t="shared" si="74"/>
        <v>0.8578835729436719</v>
      </c>
    </row>
    <row r="819" spans="1:17">
      <c r="A819" s="87">
        <v>845</v>
      </c>
      <c r="B819" s="87" t="s">
        <v>326</v>
      </c>
      <c r="C819" s="87" t="s">
        <v>22</v>
      </c>
      <c r="D819" s="84">
        <v>42091</v>
      </c>
      <c r="E819" s="88">
        <f t="shared" si="72"/>
        <v>2015</v>
      </c>
      <c r="F819" s="89">
        <v>4192000000</v>
      </c>
      <c r="G819" s="89">
        <v>695000000</v>
      </c>
      <c r="H819" s="89">
        <v>1771000000</v>
      </c>
      <c r="I819" s="89">
        <v>798000000</v>
      </c>
      <c r="J819" s="89">
        <v>42000000</v>
      </c>
      <c r="K819" s="87" t="s">
        <v>28</v>
      </c>
      <c r="L819" s="87" t="s">
        <v>63</v>
      </c>
      <c r="M819" s="90">
        <f t="shared" si="75"/>
        <v>3497000000</v>
      </c>
      <c r="N819" s="89">
        <f t="shared" si="76"/>
        <v>2611000000</v>
      </c>
      <c r="O819" s="89">
        <f t="shared" si="77"/>
        <v>886000000</v>
      </c>
      <c r="P819" s="87">
        <f t="shared" si="73"/>
        <v>0.21135496183206107</v>
      </c>
      <c r="Q819" s="87">
        <f t="shared" si="74"/>
        <v>0.83420801526717558</v>
      </c>
    </row>
    <row r="820" spans="1:17">
      <c r="A820" s="83">
        <v>846</v>
      </c>
      <c r="B820" s="83" t="s">
        <v>326</v>
      </c>
      <c r="C820" s="83" t="s">
        <v>23</v>
      </c>
      <c r="D820" s="84">
        <v>42092</v>
      </c>
      <c r="E820" s="85">
        <f t="shared" si="72"/>
        <v>2015</v>
      </c>
      <c r="F820" s="86">
        <v>4694000000</v>
      </c>
      <c r="G820" s="86">
        <v>730000000</v>
      </c>
      <c r="H820" s="86">
        <v>1807000000</v>
      </c>
      <c r="I820" s="86">
        <v>881000000</v>
      </c>
      <c r="J820" s="86">
        <v>34000000</v>
      </c>
      <c r="K820" s="83" t="s">
        <v>28</v>
      </c>
      <c r="L820" s="83" t="s">
        <v>63</v>
      </c>
      <c r="M820" s="91">
        <f t="shared" si="75"/>
        <v>3964000000</v>
      </c>
      <c r="N820" s="86">
        <f t="shared" si="76"/>
        <v>2722000000</v>
      </c>
      <c r="O820" s="86">
        <f t="shared" si="77"/>
        <v>1242000000</v>
      </c>
      <c r="P820" s="83">
        <f t="shared" si="73"/>
        <v>0.26459309757136773</v>
      </c>
      <c r="Q820" s="83">
        <f t="shared" si="74"/>
        <v>0.84448231785257777</v>
      </c>
    </row>
    <row r="821" spans="1:17">
      <c r="A821" s="87">
        <v>847</v>
      </c>
      <c r="B821" s="87" t="s">
        <v>327</v>
      </c>
      <c r="C821" s="87" t="s">
        <v>18</v>
      </c>
      <c r="D821" s="84">
        <v>42093</v>
      </c>
      <c r="E821" s="88">
        <f t="shared" si="72"/>
        <v>2015</v>
      </c>
      <c r="F821" s="89">
        <v>21852000000</v>
      </c>
      <c r="G821" s="89">
        <v>15287000000</v>
      </c>
      <c r="H821" s="89">
        <v>3303000000</v>
      </c>
      <c r="I821" s="89">
        <v>0</v>
      </c>
      <c r="J821" s="89">
        <v>1473000000</v>
      </c>
      <c r="K821" s="87" t="s">
        <v>65</v>
      </c>
      <c r="L821" s="87" t="s">
        <v>102</v>
      </c>
      <c r="M821" s="90">
        <f t="shared" si="75"/>
        <v>6565000000</v>
      </c>
      <c r="N821" s="89">
        <f t="shared" si="76"/>
        <v>4776000000</v>
      </c>
      <c r="O821" s="89">
        <f t="shared" si="77"/>
        <v>1789000000</v>
      </c>
      <c r="P821" s="87">
        <f t="shared" si="73"/>
        <v>8.1868936481786558E-2</v>
      </c>
      <c r="Q821" s="87">
        <f t="shared" si="74"/>
        <v>0.30043016657514188</v>
      </c>
    </row>
    <row r="822" spans="1:17">
      <c r="A822" s="83">
        <v>848</v>
      </c>
      <c r="B822" s="83" t="s">
        <v>327</v>
      </c>
      <c r="C822" s="83" t="s">
        <v>21</v>
      </c>
      <c r="D822" s="84">
        <v>42094</v>
      </c>
      <c r="E822" s="85">
        <f t="shared" si="72"/>
        <v>2015</v>
      </c>
      <c r="F822" s="86">
        <v>23483000000</v>
      </c>
      <c r="G822" s="86">
        <v>16282000000</v>
      </c>
      <c r="H822" s="86">
        <v>3557000000</v>
      </c>
      <c r="I822" s="86">
        <v>0</v>
      </c>
      <c r="J822" s="86">
        <v>1531000000</v>
      </c>
      <c r="K822" s="83" t="s">
        <v>65</v>
      </c>
      <c r="L822" s="83" t="s">
        <v>102</v>
      </c>
      <c r="M822" s="91">
        <f t="shared" si="75"/>
        <v>7201000000</v>
      </c>
      <c r="N822" s="86">
        <f t="shared" si="76"/>
        <v>5088000000</v>
      </c>
      <c r="O822" s="86">
        <f t="shared" si="77"/>
        <v>2113000000</v>
      </c>
      <c r="P822" s="83">
        <f t="shared" si="73"/>
        <v>8.9979985521441042E-2</v>
      </c>
      <c r="Q822" s="83">
        <f t="shared" si="74"/>
        <v>0.30664736192138997</v>
      </c>
    </row>
    <row r="823" spans="1:17">
      <c r="A823" s="87">
        <v>849</v>
      </c>
      <c r="B823" s="87" t="s">
        <v>327</v>
      </c>
      <c r="C823" s="87" t="s">
        <v>22</v>
      </c>
      <c r="D823" s="84">
        <v>42095</v>
      </c>
      <c r="E823" s="88">
        <f t="shared" si="72"/>
        <v>2015</v>
      </c>
      <c r="F823" s="89">
        <v>23617000000</v>
      </c>
      <c r="G823" s="89">
        <v>16254000000</v>
      </c>
      <c r="H823" s="89">
        <v>3494000000</v>
      </c>
      <c r="I823" s="89">
        <v>0</v>
      </c>
      <c r="J823" s="89">
        <v>1406000000</v>
      </c>
      <c r="K823" s="87" t="s">
        <v>65</v>
      </c>
      <c r="L823" s="87" t="s">
        <v>102</v>
      </c>
      <c r="M823" s="90">
        <f t="shared" si="75"/>
        <v>7363000000</v>
      </c>
      <c r="N823" s="89">
        <f t="shared" si="76"/>
        <v>4900000000</v>
      </c>
      <c r="O823" s="89">
        <f t="shared" si="77"/>
        <v>2463000000</v>
      </c>
      <c r="P823" s="87">
        <f t="shared" si="73"/>
        <v>0.10428928314349832</v>
      </c>
      <c r="Q823" s="87">
        <f t="shared" si="74"/>
        <v>0.31176694753779055</v>
      </c>
    </row>
    <row r="824" spans="1:17">
      <c r="A824" s="83">
        <v>850</v>
      </c>
      <c r="B824" s="83" t="s">
        <v>327</v>
      </c>
      <c r="C824" s="83" t="s">
        <v>23</v>
      </c>
      <c r="D824" s="84">
        <v>42096</v>
      </c>
      <c r="E824" s="85">
        <f t="shared" si="72"/>
        <v>2015</v>
      </c>
      <c r="F824" s="86">
        <v>22365000000</v>
      </c>
      <c r="G824" s="86">
        <v>15468000000</v>
      </c>
      <c r="H824" s="86">
        <v>3219000000</v>
      </c>
      <c r="I824" s="86">
        <v>0</v>
      </c>
      <c r="J824" s="86">
        <v>1294000000</v>
      </c>
      <c r="K824" s="83" t="s">
        <v>65</v>
      </c>
      <c r="L824" s="83" t="s">
        <v>102</v>
      </c>
      <c r="M824" s="91">
        <f t="shared" si="75"/>
        <v>6897000000</v>
      </c>
      <c r="N824" s="86">
        <f t="shared" si="76"/>
        <v>4513000000</v>
      </c>
      <c r="O824" s="86">
        <f t="shared" si="77"/>
        <v>2384000000</v>
      </c>
      <c r="P824" s="83">
        <f t="shared" si="73"/>
        <v>0.10659512631343618</v>
      </c>
      <c r="Q824" s="83">
        <f t="shared" si="74"/>
        <v>0.30838363514419853</v>
      </c>
    </row>
    <row r="825" spans="1:17">
      <c r="A825" s="87">
        <v>851</v>
      </c>
      <c r="B825" s="87" t="s">
        <v>328</v>
      </c>
      <c r="C825" s="87" t="s">
        <v>18</v>
      </c>
      <c r="D825" s="84">
        <v>42097</v>
      </c>
      <c r="E825" s="88">
        <f t="shared" si="72"/>
        <v>2015</v>
      </c>
      <c r="F825" s="89">
        <v>6956200000</v>
      </c>
      <c r="G825" s="89">
        <v>0</v>
      </c>
      <c r="H825" s="89">
        <v>6279100000</v>
      </c>
      <c r="I825" s="89">
        <v>0</v>
      </c>
      <c r="J825" s="89">
        <v>0</v>
      </c>
      <c r="K825" s="87" t="s">
        <v>25</v>
      </c>
      <c r="L825" s="87" t="s">
        <v>329</v>
      </c>
      <c r="M825" s="90">
        <f t="shared" si="75"/>
        <v>6956200000</v>
      </c>
      <c r="N825" s="89">
        <f t="shared" si="76"/>
        <v>6279100000</v>
      </c>
      <c r="O825" s="89">
        <f t="shared" si="77"/>
        <v>677100000</v>
      </c>
      <c r="P825" s="87">
        <f t="shared" si="73"/>
        <v>9.7337626865242513E-2</v>
      </c>
      <c r="Q825" s="87">
        <f t="shared" si="74"/>
        <v>1</v>
      </c>
    </row>
    <row r="826" spans="1:17">
      <c r="A826" s="83">
        <v>852</v>
      </c>
      <c r="B826" s="83" t="s">
        <v>328</v>
      </c>
      <c r="C826" s="83" t="s">
        <v>21</v>
      </c>
      <c r="D826" s="84">
        <v>42098</v>
      </c>
      <c r="E826" s="85">
        <f t="shared" si="72"/>
        <v>2015</v>
      </c>
      <c r="F826" s="86">
        <v>7122300000</v>
      </c>
      <c r="G826" s="86">
        <v>0</v>
      </c>
      <c r="H826" s="86">
        <v>6463400000</v>
      </c>
      <c r="I826" s="86">
        <v>0</v>
      </c>
      <c r="J826" s="86">
        <v>0</v>
      </c>
      <c r="K826" s="83" t="s">
        <v>25</v>
      </c>
      <c r="L826" s="83" t="s">
        <v>329</v>
      </c>
      <c r="M826" s="91">
        <f t="shared" si="75"/>
        <v>7122300000</v>
      </c>
      <c r="N826" s="86">
        <f t="shared" si="76"/>
        <v>6463400000</v>
      </c>
      <c r="O826" s="86">
        <f t="shared" si="77"/>
        <v>658900000</v>
      </c>
      <c r="P826" s="83">
        <f t="shared" si="73"/>
        <v>9.2512250256237452E-2</v>
      </c>
      <c r="Q826" s="83">
        <f t="shared" si="74"/>
        <v>1</v>
      </c>
    </row>
    <row r="827" spans="1:17">
      <c r="A827" s="87">
        <v>853</v>
      </c>
      <c r="B827" s="87" t="s">
        <v>328</v>
      </c>
      <c r="C827" s="87" t="s">
        <v>22</v>
      </c>
      <c r="D827" s="84">
        <v>42099</v>
      </c>
      <c r="E827" s="88">
        <f t="shared" si="72"/>
        <v>2015</v>
      </c>
      <c r="F827" s="89">
        <v>7537100000</v>
      </c>
      <c r="G827" s="89">
        <v>0</v>
      </c>
      <c r="H827" s="89">
        <v>6748500000</v>
      </c>
      <c r="I827" s="89">
        <v>0</v>
      </c>
      <c r="J827" s="89">
        <v>0</v>
      </c>
      <c r="K827" s="87" t="s">
        <v>25</v>
      </c>
      <c r="L827" s="87" t="s">
        <v>329</v>
      </c>
      <c r="M827" s="90">
        <f t="shared" si="75"/>
        <v>7537100000</v>
      </c>
      <c r="N827" s="89">
        <f t="shared" si="76"/>
        <v>6748500000</v>
      </c>
      <c r="O827" s="89">
        <f t="shared" si="77"/>
        <v>788600000</v>
      </c>
      <c r="P827" s="87">
        <f t="shared" si="73"/>
        <v>0.10462910137851428</v>
      </c>
      <c r="Q827" s="87">
        <f t="shared" si="74"/>
        <v>1</v>
      </c>
    </row>
    <row r="828" spans="1:17">
      <c r="A828" s="83">
        <v>854</v>
      </c>
      <c r="B828" s="83" t="s">
        <v>328</v>
      </c>
      <c r="C828" s="83" t="s">
        <v>23</v>
      </c>
      <c r="D828" s="84">
        <v>42100</v>
      </c>
      <c r="E828" s="85">
        <f t="shared" si="72"/>
        <v>2015</v>
      </c>
      <c r="F828" s="86">
        <v>7613800000</v>
      </c>
      <c r="G828" s="86">
        <v>0</v>
      </c>
      <c r="H828" s="86">
        <v>6742700000</v>
      </c>
      <c r="I828" s="86">
        <v>0</v>
      </c>
      <c r="J828" s="86">
        <v>0</v>
      </c>
      <c r="K828" s="83" t="s">
        <v>25</v>
      </c>
      <c r="L828" s="83" t="s">
        <v>329</v>
      </c>
      <c r="M828" s="91">
        <f t="shared" si="75"/>
        <v>7613800000</v>
      </c>
      <c r="N828" s="86">
        <f t="shared" si="76"/>
        <v>6742700000</v>
      </c>
      <c r="O828" s="86">
        <f t="shared" si="77"/>
        <v>871100000</v>
      </c>
      <c r="P828" s="83">
        <f t="shared" si="73"/>
        <v>0.11441067535264914</v>
      </c>
      <c r="Q828" s="83">
        <f t="shared" si="74"/>
        <v>1</v>
      </c>
    </row>
    <row r="829" spans="1:17">
      <c r="A829" s="87">
        <v>855</v>
      </c>
      <c r="B829" s="87" t="s">
        <v>330</v>
      </c>
      <c r="C829" s="87" t="s">
        <v>18</v>
      </c>
      <c r="D829" s="84">
        <v>42101</v>
      </c>
      <c r="E829" s="88">
        <f t="shared" si="72"/>
        <v>2015</v>
      </c>
      <c r="F829" s="89">
        <v>3003955000</v>
      </c>
      <c r="G829" s="89">
        <v>1277113000</v>
      </c>
      <c r="H829" s="89">
        <v>850371000</v>
      </c>
      <c r="I829" s="89">
        <v>0</v>
      </c>
      <c r="J829" s="89">
        <v>316344000</v>
      </c>
      <c r="K829" s="87" t="s">
        <v>58</v>
      </c>
      <c r="L829" s="87" t="s">
        <v>59</v>
      </c>
      <c r="M829" s="90">
        <f t="shared" si="75"/>
        <v>1726842000</v>
      </c>
      <c r="N829" s="89">
        <f t="shared" si="76"/>
        <v>1166715000</v>
      </c>
      <c r="O829" s="89">
        <f t="shared" si="77"/>
        <v>560127000</v>
      </c>
      <c r="P829" s="87">
        <f t="shared" si="73"/>
        <v>0.18646317937519039</v>
      </c>
      <c r="Q829" s="87">
        <f t="shared" si="74"/>
        <v>0.57485614797824869</v>
      </c>
    </row>
    <row r="830" spans="1:17">
      <c r="A830" s="83">
        <v>856</v>
      </c>
      <c r="B830" s="83" t="s">
        <v>330</v>
      </c>
      <c r="C830" s="83" t="s">
        <v>21</v>
      </c>
      <c r="D830" s="84">
        <v>42102</v>
      </c>
      <c r="E830" s="85">
        <f t="shared" si="72"/>
        <v>2015</v>
      </c>
      <c r="F830" s="86">
        <v>3024623000</v>
      </c>
      <c r="G830" s="86">
        <v>1288878000</v>
      </c>
      <c r="H830" s="86">
        <v>924031000</v>
      </c>
      <c r="I830" s="86">
        <v>0</v>
      </c>
      <c r="J830" s="86">
        <v>322037000</v>
      </c>
      <c r="K830" s="83" t="s">
        <v>58</v>
      </c>
      <c r="L830" s="83" t="s">
        <v>59</v>
      </c>
      <c r="M830" s="91">
        <f t="shared" si="75"/>
        <v>1735745000</v>
      </c>
      <c r="N830" s="86">
        <f t="shared" si="76"/>
        <v>1246068000</v>
      </c>
      <c r="O830" s="86">
        <f t="shared" si="77"/>
        <v>489677000</v>
      </c>
      <c r="P830" s="83">
        <f t="shared" si="73"/>
        <v>0.16189687111418513</v>
      </c>
      <c r="Q830" s="83">
        <f t="shared" si="74"/>
        <v>0.57387152051677182</v>
      </c>
    </row>
    <row r="831" spans="1:17">
      <c r="A831" s="87">
        <v>857</v>
      </c>
      <c r="B831" s="87" t="s">
        <v>330</v>
      </c>
      <c r="C831" s="87" t="s">
        <v>22</v>
      </c>
      <c r="D831" s="84">
        <v>42103</v>
      </c>
      <c r="E831" s="88">
        <f t="shared" ref="E831:E894" si="78">YEAR(D831)</f>
        <v>2015</v>
      </c>
      <c r="F831" s="89">
        <v>3117693000</v>
      </c>
      <c r="G831" s="89">
        <v>1344636000</v>
      </c>
      <c r="H831" s="89">
        <v>869572000</v>
      </c>
      <c r="I831" s="89">
        <v>0</v>
      </c>
      <c r="J831" s="89">
        <v>353143000</v>
      </c>
      <c r="K831" s="87" t="s">
        <v>58</v>
      </c>
      <c r="L831" s="87" t="s">
        <v>59</v>
      </c>
      <c r="M831" s="90">
        <f t="shared" si="75"/>
        <v>1773057000</v>
      </c>
      <c r="N831" s="89">
        <f t="shared" si="76"/>
        <v>1222715000</v>
      </c>
      <c r="O831" s="89">
        <f t="shared" si="77"/>
        <v>550342000</v>
      </c>
      <c r="P831" s="87">
        <f t="shared" si="73"/>
        <v>0.1765221912484648</v>
      </c>
      <c r="Q831" s="87">
        <f t="shared" si="74"/>
        <v>0.56870801583093655</v>
      </c>
    </row>
    <row r="832" spans="1:17">
      <c r="A832" s="83">
        <v>858</v>
      </c>
      <c r="B832" s="83" t="s">
        <v>330</v>
      </c>
      <c r="C832" s="83" t="s">
        <v>23</v>
      </c>
      <c r="D832" s="84">
        <v>42104</v>
      </c>
      <c r="E832" s="85">
        <f t="shared" si="78"/>
        <v>2015</v>
      </c>
      <c r="F832" s="86">
        <v>3007976000</v>
      </c>
      <c r="G832" s="86">
        <v>1290025000</v>
      </c>
      <c r="H832" s="86">
        <v>844960000</v>
      </c>
      <c r="I832" s="86">
        <v>0</v>
      </c>
      <c r="J832" s="86">
        <v>345464000</v>
      </c>
      <c r="K832" s="83" t="s">
        <v>58</v>
      </c>
      <c r="L832" s="83" t="s">
        <v>59</v>
      </c>
      <c r="M832" s="91">
        <f t="shared" si="75"/>
        <v>1717951000</v>
      </c>
      <c r="N832" s="86">
        <f t="shared" si="76"/>
        <v>1190424000</v>
      </c>
      <c r="O832" s="86">
        <f t="shared" si="77"/>
        <v>527527000</v>
      </c>
      <c r="P832" s="83">
        <f t="shared" si="73"/>
        <v>0.17537606683032045</v>
      </c>
      <c r="Q832" s="83">
        <f t="shared" si="74"/>
        <v>0.57113188403098958</v>
      </c>
    </row>
    <row r="833" spans="1:17">
      <c r="A833" s="87">
        <v>859</v>
      </c>
      <c r="B833" s="87" t="s">
        <v>331</v>
      </c>
      <c r="C833" s="87" t="s">
        <v>18</v>
      </c>
      <c r="D833" s="84">
        <v>42105</v>
      </c>
      <c r="E833" s="88">
        <f t="shared" si="78"/>
        <v>2015</v>
      </c>
      <c r="F833" s="89">
        <v>2265100000</v>
      </c>
      <c r="G833" s="89">
        <v>670900000</v>
      </c>
      <c r="H833" s="89">
        <v>574000000</v>
      </c>
      <c r="I833" s="89">
        <v>167700000</v>
      </c>
      <c r="J833" s="89">
        <v>0</v>
      </c>
      <c r="K833" s="87" t="s">
        <v>31</v>
      </c>
      <c r="L833" s="87" t="s">
        <v>36</v>
      </c>
      <c r="M833" s="90">
        <f t="shared" si="75"/>
        <v>1594200000</v>
      </c>
      <c r="N833" s="89">
        <f t="shared" si="76"/>
        <v>741700000</v>
      </c>
      <c r="O833" s="89">
        <f t="shared" si="77"/>
        <v>852500000</v>
      </c>
      <c r="P833" s="87">
        <f t="shared" si="73"/>
        <v>0.37636307447794798</v>
      </c>
      <c r="Q833" s="87">
        <f t="shared" si="74"/>
        <v>0.7038099863140701</v>
      </c>
    </row>
    <row r="834" spans="1:17">
      <c r="A834" s="83">
        <v>860</v>
      </c>
      <c r="B834" s="83" t="s">
        <v>331</v>
      </c>
      <c r="C834" s="83" t="s">
        <v>21</v>
      </c>
      <c r="D834" s="84">
        <v>42106</v>
      </c>
      <c r="E834" s="85">
        <f t="shared" si="78"/>
        <v>2015</v>
      </c>
      <c r="F834" s="86">
        <v>2131700000</v>
      </c>
      <c r="G834" s="86">
        <v>717900000</v>
      </c>
      <c r="H834" s="86">
        <v>691000000</v>
      </c>
      <c r="I834" s="86">
        <v>178000000</v>
      </c>
      <c r="J834" s="86">
        <v>0</v>
      </c>
      <c r="K834" s="83" t="s">
        <v>31</v>
      </c>
      <c r="L834" s="83" t="s">
        <v>36</v>
      </c>
      <c r="M834" s="91">
        <f t="shared" si="75"/>
        <v>1413800000</v>
      </c>
      <c r="N834" s="86">
        <f t="shared" si="76"/>
        <v>869000000</v>
      </c>
      <c r="O834" s="86">
        <f t="shared" si="77"/>
        <v>544800000</v>
      </c>
      <c r="P834" s="83">
        <f t="shared" ref="P834:P897" si="79">O834/F834</f>
        <v>0.25557067129521038</v>
      </c>
      <c r="Q834" s="83">
        <f t="shared" ref="Q834:Q897" si="80">1-G834/F834</f>
        <v>0.66322653281418587</v>
      </c>
    </row>
    <row r="835" spans="1:17">
      <c r="A835" s="87">
        <v>861</v>
      </c>
      <c r="B835" s="87" t="s">
        <v>331</v>
      </c>
      <c r="C835" s="87" t="s">
        <v>22</v>
      </c>
      <c r="D835" s="84">
        <v>42107</v>
      </c>
      <c r="E835" s="88">
        <f t="shared" si="78"/>
        <v>2015</v>
      </c>
      <c r="F835" s="89">
        <v>2384400000</v>
      </c>
      <c r="G835" s="89">
        <v>806500000</v>
      </c>
      <c r="H835" s="89">
        <v>640500000</v>
      </c>
      <c r="I835" s="89">
        <v>197400000</v>
      </c>
      <c r="J835" s="89">
        <v>0</v>
      </c>
      <c r="K835" s="87" t="s">
        <v>31</v>
      </c>
      <c r="L835" s="87" t="s">
        <v>36</v>
      </c>
      <c r="M835" s="90">
        <f t="shared" ref="M835:M898" si="81">F835-G835</f>
        <v>1577900000</v>
      </c>
      <c r="N835" s="89">
        <f t="shared" ref="N835:N898" si="82">H835+I835+J835</f>
        <v>837900000</v>
      </c>
      <c r="O835" s="89">
        <f t="shared" ref="O835:O898" si="83">M835-N835</f>
        <v>740000000</v>
      </c>
      <c r="P835" s="87">
        <f t="shared" si="79"/>
        <v>0.31035061231337024</v>
      </c>
      <c r="Q835" s="87">
        <f t="shared" si="80"/>
        <v>0.66175977185036072</v>
      </c>
    </row>
    <row r="836" spans="1:17">
      <c r="A836" s="83">
        <v>862</v>
      </c>
      <c r="B836" s="83" t="s">
        <v>331</v>
      </c>
      <c r="C836" s="83" t="s">
        <v>23</v>
      </c>
      <c r="D836" s="84">
        <v>42108</v>
      </c>
      <c r="E836" s="85">
        <f t="shared" si="78"/>
        <v>2015</v>
      </c>
      <c r="F836" s="86">
        <v>2704400000</v>
      </c>
      <c r="G836" s="86">
        <v>814300000</v>
      </c>
      <c r="H836" s="86">
        <v>705300000</v>
      </c>
      <c r="I836" s="86">
        <v>239600000</v>
      </c>
      <c r="J836" s="86">
        <v>0</v>
      </c>
      <c r="K836" s="83" t="s">
        <v>31</v>
      </c>
      <c r="L836" s="83" t="s">
        <v>36</v>
      </c>
      <c r="M836" s="91">
        <f t="shared" si="81"/>
        <v>1890100000</v>
      </c>
      <c r="N836" s="86">
        <f t="shared" si="82"/>
        <v>944900000</v>
      </c>
      <c r="O836" s="86">
        <f t="shared" si="83"/>
        <v>945200000</v>
      </c>
      <c r="P836" s="83">
        <f t="shared" si="79"/>
        <v>0.34950451116698711</v>
      </c>
      <c r="Q836" s="83">
        <f t="shared" si="80"/>
        <v>0.69889809199822506</v>
      </c>
    </row>
    <row r="837" spans="1:17">
      <c r="A837" s="87">
        <v>863</v>
      </c>
      <c r="B837" s="87" t="s">
        <v>332</v>
      </c>
      <c r="C837" s="87" t="s">
        <v>18</v>
      </c>
      <c r="D837" s="84">
        <v>42109</v>
      </c>
      <c r="E837" s="88">
        <f t="shared" si="78"/>
        <v>2015</v>
      </c>
      <c r="F837" s="89">
        <v>14135000000</v>
      </c>
      <c r="G837" s="89">
        <v>8554000000</v>
      </c>
      <c r="H837" s="89">
        <v>2815000000</v>
      </c>
      <c r="I837" s="89">
        <v>0</v>
      </c>
      <c r="J837" s="89">
        <v>250000000</v>
      </c>
      <c r="K837" s="87" t="s">
        <v>19</v>
      </c>
      <c r="L837" s="87" t="s">
        <v>163</v>
      </c>
      <c r="M837" s="90">
        <f t="shared" si="81"/>
        <v>5581000000</v>
      </c>
      <c r="N837" s="89">
        <f t="shared" si="82"/>
        <v>3065000000</v>
      </c>
      <c r="O837" s="89">
        <f t="shared" si="83"/>
        <v>2516000000</v>
      </c>
      <c r="P837" s="87">
        <f t="shared" si="79"/>
        <v>0.17799787760877256</v>
      </c>
      <c r="Q837" s="87">
        <f t="shared" si="80"/>
        <v>0.39483551467987266</v>
      </c>
    </row>
    <row r="838" spans="1:17">
      <c r="A838" s="83">
        <v>864</v>
      </c>
      <c r="B838" s="83" t="s">
        <v>332</v>
      </c>
      <c r="C838" s="83" t="s">
        <v>21</v>
      </c>
      <c r="D838" s="84">
        <v>42110</v>
      </c>
      <c r="E838" s="85">
        <f t="shared" si="78"/>
        <v>2015</v>
      </c>
      <c r="F838" s="86">
        <v>14484000000</v>
      </c>
      <c r="G838" s="86">
        <v>8673000000</v>
      </c>
      <c r="H838" s="86">
        <v>2678000000</v>
      </c>
      <c r="I838" s="86">
        <v>0</v>
      </c>
      <c r="J838" s="86">
        <v>245000000</v>
      </c>
      <c r="K838" s="83" t="s">
        <v>19</v>
      </c>
      <c r="L838" s="83" t="s">
        <v>163</v>
      </c>
      <c r="M838" s="91">
        <f t="shared" si="81"/>
        <v>5811000000</v>
      </c>
      <c r="N838" s="86">
        <f t="shared" si="82"/>
        <v>2923000000</v>
      </c>
      <c r="O838" s="86">
        <f t="shared" si="83"/>
        <v>2888000000</v>
      </c>
      <c r="P838" s="83">
        <f t="shared" si="79"/>
        <v>0.19939243302954984</v>
      </c>
      <c r="Q838" s="83">
        <f t="shared" si="80"/>
        <v>0.40120132560066279</v>
      </c>
    </row>
    <row r="839" spans="1:17">
      <c r="A839" s="87">
        <v>865</v>
      </c>
      <c r="B839" s="87" t="s">
        <v>332</v>
      </c>
      <c r="C839" s="87" t="s">
        <v>22</v>
      </c>
      <c r="D839" s="84">
        <v>42111</v>
      </c>
      <c r="E839" s="88">
        <f t="shared" si="78"/>
        <v>2015</v>
      </c>
      <c r="F839" s="89">
        <v>13405000000</v>
      </c>
      <c r="G839" s="89">
        <v>7888000000</v>
      </c>
      <c r="H839" s="89">
        <v>2417000000</v>
      </c>
      <c r="I839" s="89">
        <v>0</v>
      </c>
      <c r="J839" s="89">
        <v>233000000</v>
      </c>
      <c r="K839" s="87" t="s">
        <v>19</v>
      </c>
      <c r="L839" s="87" t="s">
        <v>163</v>
      </c>
      <c r="M839" s="90">
        <f t="shared" si="81"/>
        <v>5517000000</v>
      </c>
      <c r="N839" s="89">
        <f t="shared" si="82"/>
        <v>2650000000</v>
      </c>
      <c r="O839" s="89">
        <f t="shared" si="83"/>
        <v>2867000000</v>
      </c>
      <c r="P839" s="87">
        <f t="shared" si="79"/>
        <v>0.21387541961954495</v>
      </c>
      <c r="Q839" s="87">
        <f t="shared" si="80"/>
        <v>0.41156284968295409</v>
      </c>
    </row>
    <row r="840" spans="1:17">
      <c r="A840" s="83">
        <v>866</v>
      </c>
      <c r="B840" s="83" t="s">
        <v>332</v>
      </c>
      <c r="C840" s="83" t="s">
        <v>23</v>
      </c>
      <c r="D840" s="84">
        <v>42112</v>
      </c>
      <c r="E840" s="85">
        <f t="shared" si="78"/>
        <v>2015</v>
      </c>
      <c r="F840" s="86">
        <v>13599000000</v>
      </c>
      <c r="G840" s="86">
        <v>7896000000</v>
      </c>
      <c r="H840" s="86">
        <v>2415000000</v>
      </c>
      <c r="I840" s="86">
        <v>0</v>
      </c>
      <c r="J840" s="86">
        <v>224000000</v>
      </c>
      <c r="K840" s="83" t="s">
        <v>19</v>
      </c>
      <c r="L840" s="83" t="s">
        <v>163</v>
      </c>
      <c r="M840" s="91">
        <f t="shared" si="81"/>
        <v>5703000000</v>
      </c>
      <c r="N840" s="86">
        <f t="shared" si="82"/>
        <v>2639000000</v>
      </c>
      <c r="O840" s="86">
        <f t="shared" si="83"/>
        <v>3064000000</v>
      </c>
      <c r="P840" s="83">
        <f t="shared" si="79"/>
        <v>0.22531068460916243</v>
      </c>
      <c r="Q840" s="83">
        <f t="shared" si="80"/>
        <v>0.41936907125523937</v>
      </c>
    </row>
    <row r="841" spans="1:17">
      <c r="A841" s="87">
        <v>867</v>
      </c>
      <c r="B841" s="87" t="s">
        <v>333</v>
      </c>
      <c r="C841" s="87" t="s">
        <v>18</v>
      </c>
      <c r="D841" s="84">
        <v>42113</v>
      </c>
      <c r="E841" s="88">
        <f t="shared" si="78"/>
        <v>2015</v>
      </c>
      <c r="F841" s="89">
        <v>4050400000</v>
      </c>
      <c r="G841" s="89">
        <v>0</v>
      </c>
      <c r="H841" s="89">
        <v>3207800000</v>
      </c>
      <c r="I841" s="89">
        <v>0</v>
      </c>
      <c r="J841" s="89">
        <v>0</v>
      </c>
      <c r="K841" s="87" t="s">
        <v>53</v>
      </c>
      <c r="L841" s="87" t="s">
        <v>79</v>
      </c>
      <c r="M841" s="90">
        <f t="shared" si="81"/>
        <v>4050400000</v>
      </c>
      <c r="N841" s="89">
        <f t="shared" si="82"/>
        <v>3207800000</v>
      </c>
      <c r="O841" s="89">
        <f t="shared" si="83"/>
        <v>842600000</v>
      </c>
      <c r="P841" s="87">
        <f t="shared" si="79"/>
        <v>0.20802883665810784</v>
      </c>
      <c r="Q841" s="87">
        <f t="shared" si="80"/>
        <v>1</v>
      </c>
    </row>
    <row r="842" spans="1:17">
      <c r="A842" s="83">
        <v>868</v>
      </c>
      <c r="B842" s="83" t="s">
        <v>333</v>
      </c>
      <c r="C842" s="83" t="s">
        <v>21</v>
      </c>
      <c r="D842" s="84">
        <v>42114</v>
      </c>
      <c r="E842" s="85">
        <f t="shared" si="78"/>
        <v>2015</v>
      </c>
      <c r="F842" s="86">
        <v>4644600000</v>
      </c>
      <c r="G842" s="86">
        <v>0</v>
      </c>
      <c r="H842" s="86">
        <v>3524400000</v>
      </c>
      <c r="I842" s="86">
        <v>0</v>
      </c>
      <c r="J842" s="86">
        <v>0</v>
      </c>
      <c r="K842" s="83" t="s">
        <v>53</v>
      </c>
      <c r="L842" s="83" t="s">
        <v>79</v>
      </c>
      <c r="M842" s="91">
        <f t="shared" si="81"/>
        <v>4644600000</v>
      </c>
      <c r="N842" s="86">
        <f t="shared" si="82"/>
        <v>3524400000</v>
      </c>
      <c r="O842" s="86">
        <f t="shared" si="83"/>
        <v>1120200000</v>
      </c>
      <c r="P842" s="83">
        <f t="shared" si="79"/>
        <v>0.24118330964991602</v>
      </c>
      <c r="Q842" s="83">
        <f t="shared" si="80"/>
        <v>1</v>
      </c>
    </row>
    <row r="843" spans="1:17">
      <c r="A843" s="87">
        <v>869</v>
      </c>
      <c r="B843" s="87" t="s">
        <v>333</v>
      </c>
      <c r="C843" s="87" t="s">
        <v>22</v>
      </c>
      <c r="D843" s="84">
        <v>42115</v>
      </c>
      <c r="E843" s="88">
        <f t="shared" si="78"/>
        <v>2015</v>
      </c>
      <c r="F843" s="89">
        <v>5147100000</v>
      </c>
      <c r="G843" s="89">
        <v>0</v>
      </c>
      <c r="H843" s="89">
        <v>3870200000</v>
      </c>
      <c r="I843" s="89">
        <v>0</v>
      </c>
      <c r="J843" s="89">
        <v>0</v>
      </c>
      <c r="K843" s="87" t="s">
        <v>53</v>
      </c>
      <c r="L843" s="87" t="s">
        <v>79</v>
      </c>
      <c r="M843" s="90">
        <f t="shared" si="81"/>
        <v>5147100000</v>
      </c>
      <c r="N843" s="89">
        <f t="shared" si="82"/>
        <v>3870200000</v>
      </c>
      <c r="O843" s="89">
        <f t="shared" si="83"/>
        <v>1276900000</v>
      </c>
      <c r="P843" s="87">
        <f t="shared" si="79"/>
        <v>0.24808144391987721</v>
      </c>
      <c r="Q843" s="87">
        <f t="shared" si="80"/>
        <v>1</v>
      </c>
    </row>
    <row r="844" spans="1:17">
      <c r="A844" s="83">
        <v>870</v>
      </c>
      <c r="B844" s="83" t="s">
        <v>333</v>
      </c>
      <c r="C844" s="83" t="s">
        <v>23</v>
      </c>
      <c r="D844" s="84">
        <v>42116</v>
      </c>
      <c r="E844" s="85">
        <f t="shared" si="78"/>
        <v>2015</v>
      </c>
      <c r="F844" s="86">
        <v>5122900000</v>
      </c>
      <c r="G844" s="86">
        <v>0</v>
      </c>
      <c r="H844" s="86">
        <v>3764500000</v>
      </c>
      <c r="I844" s="86">
        <v>0</v>
      </c>
      <c r="J844" s="86">
        <v>0</v>
      </c>
      <c r="K844" s="83" t="s">
        <v>53</v>
      </c>
      <c r="L844" s="83" t="s">
        <v>79</v>
      </c>
      <c r="M844" s="91">
        <f t="shared" si="81"/>
        <v>5122900000</v>
      </c>
      <c r="N844" s="86">
        <f t="shared" si="82"/>
        <v>3764500000</v>
      </c>
      <c r="O844" s="86">
        <f t="shared" si="83"/>
        <v>1358400000</v>
      </c>
      <c r="P844" s="83">
        <f t="shared" si="79"/>
        <v>0.26516231041011928</v>
      </c>
      <c r="Q844" s="83">
        <f t="shared" si="80"/>
        <v>1</v>
      </c>
    </row>
    <row r="845" spans="1:17">
      <c r="A845" s="87">
        <v>871</v>
      </c>
      <c r="B845" s="87" t="s">
        <v>334</v>
      </c>
      <c r="C845" s="87" t="s">
        <v>18</v>
      </c>
      <c r="D845" s="84">
        <v>42117</v>
      </c>
      <c r="E845" s="88">
        <f t="shared" si="78"/>
        <v>2015</v>
      </c>
      <c r="F845" s="89">
        <v>5054980000</v>
      </c>
      <c r="G845" s="89">
        <v>3230857000</v>
      </c>
      <c r="H845" s="89">
        <v>1064757000</v>
      </c>
      <c r="I845" s="89">
        <v>0</v>
      </c>
      <c r="J845" s="89">
        <v>229166000</v>
      </c>
      <c r="K845" s="87" t="s">
        <v>19</v>
      </c>
      <c r="L845" s="87" t="s">
        <v>335</v>
      </c>
      <c r="M845" s="90">
        <f t="shared" si="81"/>
        <v>1824123000</v>
      </c>
      <c r="N845" s="89">
        <f t="shared" si="82"/>
        <v>1293923000</v>
      </c>
      <c r="O845" s="89">
        <f t="shared" si="83"/>
        <v>530200000</v>
      </c>
      <c r="P845" s="87">
        <f t="shared" si="79"/>
        <v>0.10488666621826397</v>
      </c>
      <c r="Q845" s="87">
        <f t="shared" si="80"/>
        <v>0.36085662059988366</v>
      </c>
    </row>
    <row r="846" spans="1:17">
      <c r="A846" s="83">
        <v>872</v>
      </c>
      <c r="B846" s="83" t="s">
        <v>334</v>
      </c>
      <c r="C846" s="83" t="s">
        <v>21</v>
      </c>
      <c r="D846" s="84">
        <v>42118</v>
      </c>
      <c r="E846" s="85">
        <f t="shared" si="78"/>
        <v>2015</v>
      </c>
      <c r="F846" s="86">
        <v>5584571000</v>
      </c>
      <c r="G846" s="86">
        <v>3570801000</v>
      </c>
      <c r="H846" s="86">
        <v>1183682000</v>
      </c>
      <c r="I846" s="86">
        <v>0</v>
      </c>
      <c r="J846" s="86">
        <v>253380000</v>
      </c>
      <c r="K846" s="83" t="s">
        <v>19</v>
      </c>
      <c r="L846" s="83" t="s">
        <v>335</v>
      </c>
      <c r="M846" s="91">
        <f t="shared" si="81"/>
        <v>2013770000</v>
      </c>
      <c r="N846" s="86">
        <f t="shared" si="82"/>
        <v>1437062000</v>
      </c>
      <c r="O846" s="86">
        <f t="shared" si="83"/>
        <v>576708000</v>
      </c>
      <c r="P846" s="83">
        <f t="shared" si="79"/>
        <v>0.10326809346680345</v>
      </c>
      <c r="Q846" s="83">
        <f t="shared" si="80"/>
        <v>0.36059529013061165</v>
      </c>
    </row>
    <row r="847" spans="1:17">
      <c r="A847" s="87">
        <v>873</v>
      </c>
      <c r="B847" s="87" t="s">
        <v>334</v>
      </c>
      <c r="C847" s="87" t="s">
        <v>22</v>
      </c>
      <c r="D847" s="84">
        <v>42119</v>
      </c>
      <c r="E847" s="88">
        <f t="shared" si="78"/>
        <v>2015</v>
      </c>
      <c r="F847" s="89">
        <v>6165441000</v>
      </c>
      <c r="G847" s="89">
        <v>3898403000</v>
      </c>
      <c r="H847" s="89">
        <v>1341000000</v>
      </c>
      <c r="I847" s="89">
        <v>0</v>
      </c>
      <c r="J847" s="89">
        <v>294496000</v>
      </c>
      <c r="K847" s="87" t="s">
        <v>19</v>
      </c>
      <c r="L847" s="87" t="s">
        <v>335</v>
      </c>
      <c r="M847" s="90">
        <f t="shared" si="81"/>
        <v>2267038000</v>
      </c>
      <c r="N847" s="89">
        <f t="shared" si="82"/>
        <v>1635496000</v>
      </c>
      <c r="O847" s="89">
        <f t="shared" si="83"/>
        <v>631542000</v>
      </c>
      <c r="P847" s="87">
        <f t="shared" si="79"/>
        <v>0.10243257538268552</v>
      </c>
      <c r="Q847" s="87">
        <f t="shared" si="80"/>
        <v>0.36770086681552872</v>
      </c>
    </row>
    <row r="848" spans="1:17">
      <c r="A848" s="83">
        <v>874</v>
      </c>
      <c r="B848" s="83" t="s">
        <v>334</v>
      </c>
      <c r="C848" s="83" t="s">
        <v>23</v>
      </c>
      <c r="D848" s="84">
        <v>42120</v>
      </c>
      <c r="E848" s="85">
        <f t="shared" si="78"/>
        <v>2015</v>
      </c>
      <c r="F848" s="86">
        <v>6187646000</v>
      </c>
      <c r="G848" s="86">
        <v>3665578000</v>
      </c>
      <c r="H848" s="86">
        <v>1466761000</v>
      </c>
      <c r="I848" s="86">
        <v>0</v>
      </c>
      <c r="J848" s="86">
        <v>339613000</v>
      </c>
      <c r="K848" s="83" t="s">
        <v>19</v>
      </c>
      <c r="L848" s="83" t="s">
        <v>335</v>
      </c>
      <c r="M848" s="91">
        <f t="shared" si="81"/>
        <v>2522068000</v>
      </c>
      <c r="N848" s="86">
        <f t="shared" si="82"/>
        <v>1806374000</v>
      </c>
      <c r="O848" s="86">
        <f t="shared" si="83"/>
        <v>715694000</v>
      </c>
      <c r="P848" s="83">
        <f t="shared" si="79"/>
        <v>0.11566498794533495</v>
      </c>
      <c r="Q848" s="83">
        <f t="shared" si="80"/>
        <v>0.40759733184477587</v>
      </c>
    </row>
    <row r="849" spans="1:17">
      <c r="A849" s="87">
        <v>875</v>
      </c>
      <c r="B849" s="87" t="s">
        <v>336</v>
      </c>
      <c r="C849" s="87" t="s">
        <v>18</v>
      </c>
      <c r="D849" s="84">
        <v>42121</v>
      </c>
      <c r="E849" s="88">
        <f t="shared" si="78"/>
        <v>2015</v>
      </c>
      <c r="F849" s="89">
        <v>11818376000</v>
      </c>
      <c r="G849" s="89">
        <v>9976057000</v>
      </c>
      <c r="H849" s="89">
        <v>1173340000</v>
      </c>
      <c r="I849" s="89">
        <v>0</v>
      </c>
      <c r="J849" s="89">
        <v>0</v>
      </c>
      <c r="K849" s="87" t="s">
        <v>19</v>
      </c>
      <c r="L849" s="87" t="s">
        <v>170</v>
      </c>
      <c r="M849" s="90">
        <f t="shared" si="81"/>
        <v>1842319000</v>
      </c>
      <c r="N849" s="89">
        <f t="shared" si="82"/>
        <v>1173340000</v>
      </c>
      <c r="O849" s="89">
        <f t="shared" si="83"/>
        <v>668979000</v>
      </c>
      <c r="P849" s="87">
        <f t="shared" si="79"/>
        <v>5.6604985321164258E-2</v>
      </c>
      <c r="Q849" s="87">
        <f t="shared" si="80"/>
        <v>0.1558859694428405</v>
      </c>
    </row>
    <row r="850" spans="1:17">
      <c r="A850" s="83">
        <v>876</v>
      </c>
      <c r="B850" s="83" t="s">
        <v>336</v>
      </c>
      <c r="C850" s="83" t="s">
        <v>21</v>
      </c>
      <c r="D850" s="84">
        <v>42122</v>
      </c>
      <c r="E850" s="85">
        <f t="shared" si="78"/>
        <v>2015</v>
      </c>
      <c r="F850" s="86">
        <v>12695157000</v>
      </c>
      <c r="G850" s="86">
        <v>10621373000</v>
      </c>
      <c r="H850" s="86">
        <v>1545716000</v>
      </c>
      <c r="I850" s="86">
        <v>0</v>
      </c>
      <c r="J850" s="86">
        <v>0</v>
      </c>
      <c r="K850" s="83" t="s">
        <v>19</v>
      </c>
      <c r="L850" s="83" t="s">
        <v>170</v>
      </c>
      <c r="M850" s="91">
        <f t="shared" si="81"/>
        <v>2073784000</v>
      </c>
      <c r="N850" s="86">
        <f t="shared" si="82"/>
        <v>1545716000</v>
      </c>
      <c r="O850" s="86">
        <f t="shared" si="83"/>
        <v>528068000</v>
      </c>
      <c r="P850" s="83">
        <f t="shared" si="79"/>
        <v>4.1596019647492349E-2</v>
      </c>
      <c r="Q850" s="83">
        <f t="shared" si="80"/>
        <v>0.16335237130190672</v>
      </c>
    </row>
    <row r="851" spans="1:17">
      <c r="A851" s="87">
        <v>877</v>
      </c>
      <c r="B851" s="87" t="s">
        <v>336</v>
      </c>
      <c r="C851" s="87" t="s">
        <v>22</v>
      </c>
      <c r="D851" s="84">
        <v>42123</v>
      </c>
      <c r="E851" s="88">
        <f t="shared" si="78"/>
        <v>2015</v>
      </c>
      <c r="F851" s="89">
        <v>12114832000</v>
      </c>
      <c r="G851" s="89">
        <v>10146494000</v>
      </c>
      <c r="H851" s="89">
        <v>1522811000</v>
      </c>
      <c r="I851" s="89">
        <v>0</v>
      </c>
      <c r="J851" s="89">
        <v>0</v>
      </c>
      <c r="K851" s="87" t="s">
        <v>19</v>
      </c>
      <c r="L851" s="87" t="s">
        <v>170</v>
      </c>
      <c r="M851" s="90">
        <f t="shared" si="81"/>
        <v>1968338000</v>
      </c>
      <c r="N851" s="89">
        <f t="shared" si="82"/>
        <v>1522811000</v>
      </c>
      <c r="O851" s="89">
        <f t="shared" si="83"/>
        <v>445527000</v>
      </c>
      <c r="P851" s="87">
        <f t="shared" si="79"/>
        <v>3.6775334565101687E-2</v>
      </c>
      <c r="Q851" s="87">
        <f t="shared" si="80"/>
        <v>0.1624734045011933</v>
      </c>
    </row>
    <row r="852" spans="1:17">
      <c r="A852" s="83">
        <v>878</v>
      </c>
      <c r="B852" s="83" t="s">
        <v>336</v>
      </c>
      <c r="C852" s="83" t="s">
        <v>23</v>
      </c>
      <c r="D852" s="84">
        <v>42124</v>
      </c>
      <c r="E852" s="85">
        <f t="shared" si="78"/>
        <v>2015</v>
      </c>
      <c r="F852" s="86">
        <v>10964157000</v>
      </c>
      <c r="G852" s="86">
        <v>9196326000</v>
      </c>
      <c r="H852" s="86">
        <v>1429233000</v>
      </c>
      <c r="I852" s="86">
        <v>0</v>
      </c>
      <c r="J852" s="86">
        <v>0</v>
      </c>
      <c r="K852" s="83" t="s">
        <v>19</v>
      </c>
      <c r="L852" s="83" t="s">
        <v>170</v>
      </c>
      <c r="M852" s="91">
        <f t="shared" si="81"/>
        <v>1767831000</v>
      </c>
      <c r="N852" s="86">
        <f t="shared" si="82"/>
        <v>1429233000</v>
      </c>
      <c r="O852" s="86">
        <f t="shared" si="83"/>
        <v>338598000</v>
      </c>
      <c r="P852" s="83">
        <f t="shared" si="79"/>
        <v>3.0882264819812412E-2</v>
      </c>
      <c r="Q852" s="83">
        <f t="shared" si="80"/>
        <v>0.16123729348275473</v>
      </c>
    </row>
    <row r="853" spans="1:17">
      <c r="A853" s="87">
        <v>879</v>
      </c>
      <c r="B853" s="87" t="s">
        <v>337</v>
      </c>
      <c r="C853" s="87" t="s">
        <v>18</v>
      </c>
      <c r="D853" s="84">
        <v>42125</v>
      </c>
      <c r="E853" s="88">
        <f t="shared" si="78"/>
        <v>2015</v>
      </c>
      <c r="F853" s="89">
        <v>4365400000</v>
      </c>
      <c r="G853" s="89">
        <v>1656600000</v>
      </c>
      <c r="H853" s="89">
        <v>1252300000</v>
      </c>
      <c r="I853" s="89">
        <v>1101600000</v>
      </c>
      <c r="J853" s="89">
        <v>0</v>
      </c>
      <c r="K853" s="87" t="s">
        <v>28</v>
      </c>
      <c r="L853" s="87" t="s">
        <v>180</v>
      </c>
      <c r="M853" s="90">
        <f t="shared" si="81"/>
        <v>2708800000</v>
      </c>
      <c r="N853" s="89">
        <f t="shared" si="82"/>
        <v>2353900000</v>
      </c>
      <c r="O853" s="89">
        <f t="shared" si="83"/>
        <v>354900000</v>
      </c>
      <c r="P853" s="87">
        <f t="shared" si="79"/>
        <v>8.1298391899940439E-2</v>
      </c>
      <c r="Q853" s="87">
        <f t="shared" si="80"/>
        <v>0.62051587483392123</v>
      </c>
    </row>
    <row r="854" spans="1:17">
      <c r="A854" s="83">
        <v>880</v>
      </c>
      <c r="B854" s="83" t="s">
        <v>337</v>
      </c>
      <c r="C854" s="83" t="s">
        <v>21</v>
      </c>
      <c r="D854" s="84">
        <v>42126</v>
      </c>
      <c r="E854" s="85">
        <f t="shared" si="78"/>
        <v>2015</v>
      </c>
      <c r="F854" s="86">
        <v>4669100000</v>
      </c>
      <c r="G854" s="86">
        <v>1727700000</v>
      </c>
      <c r="H854" s="86">
        <v>1293200000</v>
      </c>
      <c r="I854" s="86">
        <v>1043200000</v>
      </c>
      <c r="J854" s="86">
        <v>0</v>
      </c>
      <c r="K854" s="83" t="s">
        <v>28</v>
      </c>
      <c r="L854" s="83" t="s">
        <v>180</v>
      </c>
      <c r="M854" s="91">
        <f t="shared" si="81"/>
        <v>2941400000</v>
      </c>
      <c r="N854" s="86">
        <f t="shared" si="82"/>
        <v>2336400000</v>
      </c>
      <c r="O854" s="86">
        <f t="shared" si="83"/>
        <v>605000000</v>
      </c>
      <c r="P854" s="83">
        <f t="shared" si="79"/>
        <v>0.12957529288299671</v>
      </c>
      <c r="Q854" s="83">
        <f t="shared" si="80"/>
        <v>0.62997151485296954</v>
      </c>
    </row>
    <row r="855" spans="1:17">
      <c r="A855" s="87">
        <v>881</v>
      </c>
      <c r="B855" s="87" t="s">
        <v>337</v>
      </c>
      <c r="C855" s="87" t="s">
        <v>22</v>
      </c>
      <c r="D855" s="84">
        <v>42127</v>
      </c>
      <c r="E855" s="88">
        <f t="shared" si="78"/>
        <v>2015</v>
      </c>
      <c r="F855" s="89">
        <v>4627100000</v>
      </c>
      <c r="G855" s="89">
        <v>1768900000</v>
      </c>
      <c r="H855" s="89">
        <v>1254700000</v>
      </c>
      <c r="I855" s="89">
        <v>1006200000</v>
      </c>
      <c r="J855" s="89">
        <v>0</v>
      </c>
      <c r="K855" s="87" t="s">
        <v>28</v>
      </c>
      <c r="L855" s="87" t="s">
        <v>180</v>
      </c>
      <c r="M855" s="90">
        <f t="shared" si="81"/>
        <v>2858200000</v>
      </c>
      <c r="N855" s="89">
        <f t="shared" si="82"/>
        <v>2260900000</v>
      </c>
      <c r="O855" s="89">
        <f t="shared" si="83"/>
        <v>597300000</v>
      </c>
      <c r="P855" s="87">
        <f t="shared" si="79"/>
        <v>0.12908733331892547</v>
      </c>
      <c r="Q855" s="87">
        <f t="shared" si="80"/>
        <v>0.61770871604244559</v>
      </c>
    </row>
    <row r="856" spans="1:17">
      <c r="A856" s="83">
        <v>882</v>
      </c>
      <c r="B856" s="83" t="s">
        <v>337</v>
      </c>
      <c r="C856" s="83" t="s">
        <v>23</v>
      </c>
      <c r="D856" s="84">
        <v>42128</v>
      </c>
      <c r="E856" s="85">
        <f t="shared" si="78"/>
        <v>2015</v>
      </c>
      <c r="F856" s="86">
        <v>4857800000</v>
      </c>
      <c r="G856" s="86">
        <v>1779200000</v>
      </c>
      <c r="H856" s="86">
        <v>1172700000</v>
      </c>
      <c r="I856" s="86">
        <v>994500000</v>
      </c>
      <c r="J856" s="86">
        <v>0</v>
      </c>
      <c r="K856" s="83" t="s">
        <v>28</v>
      </c>
      <c r="L856" s="83" t="s">
        <v>180</v>
      </c>
      <c r="M856" s="91">
        <f t="shared" si="81"/>
        <v>3078600000</v>
      </c>
      <c r="N856" s="86">
        <f t="shared" si="82"/>
        <v>2167200000</v>
      </c>
      <c r="O856" s="86">
        <f t="shared" si="83"/>
        <v>911400000</v>
      </c>
      <c r="P856" s="83">
        <f t="shared" si="79"/>
        <v>0.18761579315739635</v>
      </c>
      <c r="Q856" s="83">
        <f t="shared" si="80"/>
        <v>0.6337436699740624</v>
      </c>
    </row>
    <row r="857" spans="1:17">
      <c r="A857" s="87">
        <v>883</v>
      </c>
      <c r="B857" s="87" t="s">
        <v>338</v>
      </c>
      <c r="C857" s="87" t="s">
        <v>18</v>
      </c>
      <c r="D857" s="84">
        <v>42129</v>
      </c>
      <c r="E857" s="88">
        <f t="shared" si="78"/>
        <v>2015</v>
      </c>
      <c r="F857" s="89">
        <v>93646000000</v>
      </c>
      <c r="G857" s="89">
        <v>0</v>
      </c>
      <c r="H857" s="89">
        <v>64729000000</v>
      </c>
      <c r="I857" s="89">
        <v>0</v>
      </c>
      <c r="J857" s="89">
        <v>3385000000</v>
      </c>
      <c r="K857" s="87" t="s">
        <v>53</v>
      </c>
      <c r="L857" s="87" t="s">
        <v>111</v>
      </c>
      <c r="M857" s="90">
        <f t="shared" si="81"/>
        <v>93646000000</v>
      </c>
      <c r="N857" s="89">
        <f t="shared" si="82"/>
        <v>68114000000</v>
      </c>
      <c r="O857" s="89">
        <f t="shared" si="83"/>
        <v>25532000000</v>
      </c>
      <c r="P857" s="87">
        <f t="shared" si="79"/>
        <v>0.27264378617346174</v>
      </c>
      <c r="Q857" s="87">
        <f t="shared" si="80"/>
        <v>1</v>
      </c>
    </row>
    <row r="858" spans="1:17">
      <c r="A858" s="83">
        <v>884</v>
      </c>
      <c r="B858" s="83" t="s">
        <v>338</v>
      </c>
      <c r="C858" s="83" t="s">
        <v>21</v>
      </c>
      <c r="D858" s="84">
        <v>42130</v>
      </c>
      <c r="E858" s="85">
        <f t="shared" si="78"/>
        <v>2015</v>
      </c>
      <c r="F858" s="86">
        <v>97142000000</v>
      </c>
      <c r="G858" s="86">
        <v>0</v>
      </c>
      <c r="H858" s="86">
        <v>70467000000</v>
      </c>
      <c r="I858" s="86">
        <v>0</v>
      </c>
      <c r="J858" s="86">
        <v>225000000</v>
      </c>
      <c r="K858" s="83" t="s">
        <v>53</v>
      </c>
      <c r="L858" s="83" t="s">
        <v>111</v>
      </c>
      <c r="M858" s="91">
        <f t="shared" si="81"/>
        <v>97142000000</v>
      </c>
      <c r="N858" s="86">
        <f t="shared" si="82"/>
        <v>70692000000</v>
      </c>
      <c r="O858" s="86">
        <f t="shared" si="83"/>
        <v>26450000000</v>
      </c>
      <c r="P858" s="83">
        <f t="shared" si="79"/>
        <v>0.27228181425130221</v>
      </c>
      <c r="Q858" s="83">
        <f t="shared" si="80"/>
        <v>1</v>
      </c>
    </row>
    <row r="859" spans="1:17">
      <c r="A859" s="87">
        <v>885</v>
      </c>
      <c r="B859" s="87" t="s">
        <v>338</v>
      </c>
      <c r="C859" s="87" t="s">
        <v>22</v>
      </c>
      <c r="D859" s="84">
        <v>42131</v>
      </c>
      <c r="E859" s="88">
        <f t="shared" si="78"/>
        <v>2015</v>
      </c>
      <c r="F859" s="89">
        <v>91973000000</v>
      </c>
      <c r="G859" s="89">
        <v>0</v>
      </c>
      <c r="H859" s="89">
        <v>61274000000</v>
      </c>
      <c r="I859" s="89">
        <v>0</v>
      </c>
      <c r="J859" s="89">
        <v>3139000000</v>
      </c>
      <c r="K859" s="87" t="s">
        <v>53</v>
      </c>
      <c r="L859" s="87" t="s">
        <v>111</v>
      </c>
      <c r="M859" s="90">
        <f t="shared" si="81"/>
        <v>91973000000</v>
      </c>
      <c r="N859" s="89">
        <f t="shared" si="82"/>
        <v>64413000000</v>
      </c>
      <c r="O859" s="89">
        <f t="shared" si="83"/>
        <v>27560000000</v>
      </c>
      <c r="P859" s="87">
        <f t="shared" si="79"/>
        <v>0.29965315907929502</v>
      </c>
      <c r="Q859" s="87">
        <f t="shared" si="80"/>
        <v>1</v>
      </c>
    </row>
    <row r="860" spans="1:17">
      <c r="A860" s="83">
        <v>886</v>
      </c>
      <c r="B860" s="83" t="s">
        <v>338</v>
      </c>
      <c r="C860" s="83" t="s">
        <v>23</v>
      </c>
      <c r="D860" s="84">
        <v>42132</v>
      </c>
      <c r="E860" s="85">
        <f t="shared" si="78"/>
        <v>2015</v>
      </c>
      <c r="F860" s="86">
        <v>89716000000</v>
      </c>
      <c r="G860" s="86">
        <v>0</v>
      </c>
      <c r="H860" s="86">
        <v>59014000000</v>
      </c>
      <c r="I860" s="86">
        <v>0</v>
      </c>
      <c r="J860" s="86">
        <v>3827000000</v>
      </c>
      <c r="K860" s="83" t="s">
        <v>53</v>
      </c>
      <c r="L860" s="83" t="s">
        <v>111</v>
      </c>
      <c r="M860" s="91">
        <f t="shared" si="81"/>
        <v>89716000000</v>
      </c>
      <c r="N860" s="86">
        <f t="shared" si="82"/>
        <v>62841000000</v>
      </c>
      <c r="O860" s="86">
        <f t="shared" si="83"/>
        <v>26875000000</v>
      </c>
      <c r="P860" s="83">
        <f t="shared" si="79"/>
        <v>0.29955637790360695</v>
      </c>
      <c r="Q860" s="83">
        <f t="shared" si="80"/>
        <v>1</v>
      </c>
    </row>
    <row r="861" spans="1:17">
      <c r="A861" s="87">
        <v>887</v>
      </c>
      <c r="B861" s="87" t="s">
        <v>339</v>
      </c>
      <c r="C861" s="87" t="s">
        <v>18</v>
      </c>
      <c r="D861" s="84">
        <v>42133</v>
      </c>
      <c r="E861" s="88">
        <f t="shared" si="78"/>
        <v>2015</v>
      </c>
      <c r="F861" s="89">
        <v>12134000000</v>
      </c>
      <c r="G861" s="89">
        <v>7432000000</v>
      </c>
      <c r="H861" s="89">
        <v>3357000000</v>
      </c>
      <c r="I861" s="89">
        <v>0</v>
      </c>
      <c r="J861" s="89">
        <v>0</v>
      </c>
      <c r="K861" s="87" t="s">
        <v>25</v>
      </c>
      <c r="L861" s="87" t="s">
        <v>340</v>
      </c>
      <c r="M861" s="90">
        <f t="shared" si="81"/>
        <v>4702000000</v>
      </c>
      <c r="N861" s="89">
        <f t="shared" si="82"/>
        <v>3357000000</v>
      </c>
      <c r="O861" s="89">
        <f t="shared" si="83"/>
        <v>1345000000</v>
      </c>
      <c r="P861" s="87">
        <f t="shared" si="79"/>
        <v>0.11084555793637713</v>
      </c>
      <c r="Q861" s="87">
        <f t="shared" si="80"/>
        <v>0.38750618097906708</v>
      </c>
    </row>
    <row r="862" spans="1:17">
      <c r="A862" s="83">
        <v>888</v>
      </c>
      <c r="B862" s="83" t="s">
        <v>339</v>
      </c>
      <c r="C862" s="83" t="s">
        <v>21</v>
      </c>
      <c r="D862" s="84">
        <v>42134</v>
      </c>
      <c r="E862" s="85">
        <f t="shared" si="78"/>
        <v>2015</v>
      </c>
      <c r="F862" s="86">
        <v>12540000000</v>
      </c>
      <c r="G862" s="86">
        <v>7737000000</v>
      </c>
      <c r="H862" s="86">
        <v>3453000000</v>
      </c>
      <c r="I862" s="86">
        <v>0</v>
      </c>
      <c r="J862" s="86">
        <v>0</v>
      </c>
      <c r="K862" s="83" t="s">
        <v>25</v>
      </c>
      <c r="L862" s="83" t="s">
        <v>340</v>
      </c>
      <c r="M862" s="91">
        <f t="shared" si="81"/>
        <v>4803000000</v>
      </c>
      <c r="N862" s="86">
        <f t="shared" si="82"/>
        <v>3453000000</v>
      </c>
      <c r="O862" s="86">
        <f t="shared" si="83"/>
        <v>1350000000</v>
      </c>
      <c r="P862" s="83">
        <f t="shared" si="79"/>
        <v>0.1076555023923445</v>
      </c>
      <c r="Q862" s="83">
        <f t="shared" si="80"/>
        <v>0.3830143540669857</v>
      </c>
    </row>
    <row r="863" spans="1:17">
      <c r="A863" s="87">
        <v>889</v>
      </c>
      <c r="B863" s="87" t="s">
        <v>339</v>
      </c>
      <c r="C863" s="87" t="s">
        <v>22</v>
      </c>
      <c r="D863" s="84">
        <v>42135</v>
      </c>
      <c r="E863" s="88">
        <f t="shared" si="78"/>
        <v>2015</v>
      </c>
      <c r="F863" s="89">
        <v>13506000000</v>
      </c>
      <c r="G863" s="89">
        <v>8406000000</v>
      </c>
      <c r="H863" s="89">
        <v>3777000000</v>
      </c>
      <c r="I863" s="89">
        <v>0</v>
      </c>
      <c r="J863" s="89">
        <v>0</v>
      </c>
      <c r="K863" s="87" t="s">
        <v>25</v>
      </c>
      <c r="L863" s="87" t="s">
        <v>340</v>
      </c>
      <c r="M863" s="90">
        <f t="shared" si="81"/>
        <v>5100000000</v>
      </c>
      <c r="N863" s="89">
        <f t="shared" si="82"/>
        <v>3777000000</v>
      </c>
      <c r="O863" s="89">
        <f t="shared" si="83"/>
        <v>1323000000</v>
      </c>
      <c r="P863" s="87">
        <f t="shared" si="79"/>
        <v>9.7956463793869394E-2</v>
      </c>
      <c r="Q863" s="87">
        <f t="shared" si="80"/>
        <v>0.3776099511328298</v>
      </c>
    </row>
    <row r="864" spans="1:17">
      <c r="A864" s="83">
        <v>890</v>
      </c>
      <c r="B864" s="83" t="s">
        <v>339</v>
      </c>
      <c r="C864" s="83" t="s">
        <v>23</v>
      </c>
      <c r="D864" s="84">
        <v>42136</v>
      </c>
      <c r="E864" s="85">
        <f t="shared" si="78"/>
        <v>2015</v>
      </c>
      <c r="F864" s="86">
        <v>14437000000</v>
      </c>
      <c r="G864" s="86">
        <v>9168000000</v>
      </c>
      <c r="H864" s="86">
        <v>4168000000</v>
      </c>
      <c r="I864" s="86">
        <v>0</v>
      </c>
      <c r="J864" s="86">
        <v>0</v>
      </c>
      <c r="K864" s="83" t="s">
        <v>25</v>
      </c>
      <c r="L864" s="83" t="s">
        <v>340</v>
      </c>
      <c r="M864" s="91">
        <f t="shared" si="81"/>
        <v>5269000000</v>
      </c>
      <c r="N864" s="86">
        <f t="shared" si="82"/>
        <v>4168000000</v>
      </c>
      <c r="O864" s="86">
        <f t="shared" si="83"/>
        <v>1101000000</v>
      </c>
      <c r="P864" s="83">
        <f t="shared" si="79"/>
        <v>7.6262381381173375E-2</v>
      </c>
      <c r="Q864" s="83">
        <f t="shared" si="80"/>
        <v>0.36496502043360812</v>
      </c>
    </row>
    <row r="865" spans="1:17">
      <c r="A865" s="87">
        <v>891</v>
      </c>
      <c r="B865" s="87" t="s">
        <v>341</v>
      </c>
      <c r="C865" s="87" t="s">
        <v>18</v>
      </c>
      <c r="D865" s="84">
        <v>42137</v>
      </c>
      <c r="E865" s="88">
        <f t="shared" si="78"/>
        <v>2015</v>
      </c>
      <c r="F865" s="89">
        <v>14197000000</v>
      </c>
      <c r="G865" s="89">
        <v>8763000000</v>
      </c>
      <c r="H865" s="89">
        <v>3872000000</v>
      </c>
      <c r="I865" s="89">
        <v>0</v>
      </c>
      <c r="J865" s="89">
        <v>0</v>
      </c>
      <c r="K865" s="87" t="s">
        <v>42</v>
      </c>
      <c r="L865" s="87" t="s">
        <v>130</v>
      </c>
      <c r="M865" s="90">
        <f t="shared" si="81"/>
        <v>5434000000</v>
      </c>
      <c r="N865" s="89">
        <f t="shared" si="82"/>
        <v>3872000000</v>
      </c>
      <c r="O865" s="89">
        <f t="shared" si="83"/>
        <v>1562000000</v>
      </c>
      <c r="P865" s="87">
        <f t="shared" si="79"/>
        <v>0.11002324434739734</v>
      </c>
      <c r="Q865" s="87">
        <f t="shared" si="80"/>
        <v>0.38275692047615695</v>
      </c>
    </row>
    <row r="866" spans="1:17">
      <c r="A866" s="83">
        <v>892</v>
      </c>
      <c r="B866" s="83" t="s">
        <v>341</v>
      </c>
      <c r="C866" s="83" t="s">
        <v>21</v>
      </c>
      <c r="D866" s="84">
        <v>42138</v>
      </c>
      <c r="E866" s="85">
        <f t="shared" si="78"/>
        <v>2015</v>
      </c>
      <c r="F866" s="86">
        <v>14792000000</v>
      </c>
      <c r="G866" s="86">
        <v>8689000000</v>
      </c>
      <c r="H866" s="86">
        <v>3266000000</v>
      </c>
      <c r="I866" s="86">
        <v>0</v>
      </c>
      <c r="J866" s="86">
        <v>0</v>
      </c>
      <c r="K866" s="83" t="s">
        <v>42</v>
      </c>
      <c r="L866" s="83" t="s">
        <v>130</v>
      </c>
      <c r="M866" s="91">
        <f t="shared" si="81"/>
        <v>6103000000</v>
      </c>
      <c r="N866" s="86">
        <f t="shared" si="82"/>
        <v>3266000000</v>
      </c>
      <c r="O866" s="86">
        <f t="shared" si="83"/>
        <v>2837000000</v>
      </c>
      <c r="P866" s="83">
        <f t="shared" si="79"/>
        <v>0.19179286100594917</v>
      </c>
      <c r="Q866" s="83">
        <f t="shared" si="80"/>
        <v>0.41258788534342883</v>
      </c>
    </row>
    <row r="867" spans="1:17">
      <c r="A867" s="87">
        <v>893</v>
      </c>
      <c r="B867" s="87" t="s">
        <v>341</v>
      </c>
      <c r="C867" s="87" t="s">
        <v>22</v>
      </c>
      <c r="D867" s="84">
        <v>42139</v>
      </c>
      <c r="E867" s="88">
        <f t="shared" si="78"/>
        <v>2015</v>
      </c>
      <c r="F867" s="89">
        <v>14580000000</v>
      </c>
      <c r="G867" s="89">
        <v>9517000000</v>
      </c>
      <c r="H867" s="89">
        <v>4039000000</v>
      </c>
      <c r="I867" s="89">
        <v>0</v>
      </c>
      <c r="J867" s="89">
        <v>0</v>
      </c>
      <c r="K867" s="87" t="s">
        <v>42</v>
      </c>
      <c r="L867" s="87" t="s">
        <v>130</v>
      </c>
      <c r="M867" s="90">
        <f t="shared" si="81"/>
        <v>5063000000</v>
      </c>
      <c r="N867" s="89">
        <f t="shared" si="82"/>
        <v>4039000000</v>
      </c>
      <c r="O867" s="89">
        <f t="shared" si="83"/>
        <v>1024000000</v>
      </c>
      <c r="P867" s="87">
        <f t="shared" si="79"/>
        <v>7.0233196159122088E-2</v>
      </c>
      <c r="Q867" s="87">
        <f t="shared" si="80"/>
        <v>0.34725651577503425</v>
      </c>
    </row>
    <row r="868" spans="1:17">
      <c r="A868" s="83">
        <v>894</v>
      </c>
      <c r="B868" s="83" t="s">
        <v>341</v>
      </c>
      <c r="C868" s="83" t="s">
        <v>23</v>
      </c>
      <c r="D868" s="84">
        <v>42140</v>
      </c>
      <c r="E868" s="85">
        <f t="shared" si="78"/>
        <v>2015</v>
      </c>
      <c r="F868" s="86">
        <v>13525000000</v>
      </c>
      <c r="G868" s="86">
        <v>8844000000</v>
      </c>
      <c r="H868" s="86">
        <v>3590000000</v>
      </c>
      <c r="I868" s="86">
        <v>0</v>
      </c>
      <c r="J868" s="86">
        <v>0</v>
      </c>
      <c r="K868" s="83" t="s">
        <v>42</v>
      </c>
      <c r="L868" s="83" t="s">
        <v>130</v>
      </c>
      <c r="M868" s="91">
        <f t="shared" si="81"/>
        <v>4681000000</v>
      </c>
      <c r="N868" s="86">
        <f t="shared" si="82"/>
        <v>3590000000</v>
      </c>
      <c r="O868" s="86">
        <f t="shared" si="83"/>
        <v>1091000000</v>
      </c>
      <c r="P868" s="83">
        <f t="shared" si="79"/>
        <v>8.0665434380776335E-2</v>
      </c>
      <c r="Q868" s="83">
        <f t="shared" si="80"/>
        <v>0.34609981515711641</v>
      </c>
    </row>
    <row r="869" spans="1:17">
      <c r="A869" s="87">
        <v>895</v>
      </c>
      <c r="B869" s="87" t="s">
        <v>342</v>
      </c>
      <c r="C869" s="87" t="s">
        <v>18</v>
      </c>
      <c r="D869" s="84">
        <v>42141</v>
      </c>
      <c r="E869" s="88">
        <f t="shared" si="78"/>
        <v>2015</v>
      </c>
      <c r="F869" s="89">
        <v>1287577000</v>
      </c>
      <c r="G869" s="89">
        <v>1073447000</v>
      </c>
      <c r="H869" s="89">
        <v>174085000</v>
      </c>
      <c r="I869" s="89">
        <v>0</v>
      </c>
      <c r="J869" s="89">
        <v>12784000</v>
      </c>
      <c r="K869" s="87" t="s">
        <v>53</v>
      </c>
      <c r="L869" s="87" t="s">
        <v>111</v>
      </c>
      <c r="M869" s="90">
        <f t="shared" si="81"/>
        <v>214130000</v>
      </c>
      <c r="N869" s="89">
        <f t="shared" si="82"/>
        <v>186869000</v>
      </c>
      <c r="O869" s="89">
        <f t="shared" si="83"/>
        <v>27261000</v>
      </c>
      <c r="P869" s="87">
        <f t="shared" si="79"/>
        <v>2.1172326004580695E-2</v>
      </c>
      <c r="Q869" s="87">
        <f t="shared" si="80"/>
        <v>0.16630461712192746</v>
      </c>
    </row>
    <row r="870" spans="1:17">
      <c r="A870" s="83">
        <v>896</v>
      </c>
      <c r="B870" s="83" t="s">
        <v>342</v>
      </c>
      <c r="C870" s="83" t="s">
        <v>21</v>
      </c>
      <c r="D870" s="84">
        <v>42142</v>
      </c>
      <c r="E870" s="85">
        <f t="shared" si="78"/>
        <v>2015</v>
      </c>
      <c r="F870" s="86">
        <v>1463767000</v>
      </c>
      <c r="G870" s="86">
        <v>1200308000</v>
      </c>
      <c r="H870" s="86">
        <v>194491000</v>
      </c>
      <c r="I870" s="86">
        <v>0</v>
      </c>
      <c r="J870" s="86">
        <v>13279000</v>
      </c>
      <c r="K870" s="83" t="s">
        <v>53</v>
      </c>
      <c r="L870" s="83" t="s">
        <v>111</v>
      </c>
      <c r="M870" s="91">
        <f t="shared" si="81"/>
        <v>263459000</v>
      </c>
      <c r="N870" s="86">
        <f t="shared" si="82"/>
        <v>207770000</v>
      </c>
      <c r="O870" s="86">
        <f t="shared" si="83"/>
        <v>55689000</v>
      </c>
      <c r="P870" s="83">
        <f t="shared" si="79"/>
        <v>3.8044989400635484E-2</v>
      </c>
      <c r="Q870" s="83">
        <f t="shared" si="80"/>
        <v>0.17998697880195413</v>
      </c>
    </row>
    <row r="871" spans="1:17">
      <c r="A871" s="87">
        <v>897</v>
      </c>
      <c r="B871" s="87" t="s">
        <v>342</v>
      </c>
      <c r="C871" s="87" t="s">
        <v>22</v>
      </c>
      <c r="D871" s="84">
        <v>42143</v>
      </c>
      <c r="E871" s="88">
        <f t="shared" si="78"/>
        <v>2015</v>
      </c>
      <c r="F871" s="89">
        <v>1627413000</v>
      </c>
      <c r="G871" s="89">
        <v>1354969000</v>
      </c>
      <c r="H871" s="89">
        <v>207519000</v>
      </c>
      <c r="I871" s="89">
        <v>0</v>
      </c>
      <c r="J871" s="89">
        <v>13338000</v>
      </c>
      <c r="K871" s="87" t="s">
        <v>53</v>
      </c>
      <c r="L871" s="87" t="s">
        <v>111</v>
      </c>
      <c r="M871" s="90">
        <f t="shared" si="81"/>
        <v>272444000</v>
      </c>
      <c r="N871" s="89">
        <f t="shared" si="82"/>
        <v>220857000</v>
      </c>
      <c r="O871" s="89">
        <f t="shared" si="83"/>
        <v>51587000</v>
      </c>
      <c r="P871" s="87">
        <f t="shared" si="79"/>
        <v>3.1698775909987202E-2</v>
      </c>
      <c r="Q871" s="87">
        <f t="shared" si="80"/>
        <v>0.16740925628589665</v>
      </c>
    </row>
    <row r="872" spans="1:17">
      <c r="A872" s="83">
        <v>898</v>
      </c>
      <c r="B872" s="83" t="s">
        <v>342</v>
      </c>
      <c r="C872" s="83" t="s">
        <v>23</v>
      </c>
      <c r="D872" s="84">
        <v>42144</v>
      </c>
      <c r="E872" s="85">
        <f t="shared" si="78"/>
        <v>2015</v>
      </c>
      <c r="F872" s="86">
        <v>1822114000</v>
      </c>
      <c r="G872" s="86">
        <v>1524907000</v>
      </c>
      <c r="H872" s="86">
        <v>224088000</v>
      </c>
      <c r="I872" s="86">
        <v>0</v>
      </c>
      <c r="J872" s="86">
        <v>13794000</v>
      </c>
      <c r="K872" s="83" t="s">
        <v>53</v>
      </c>
      <c r="L872" s="83" t="s">
        <v>111</v>
      </c>
      <c r="M872" s="91">
        <f t="shared" si="81"/>
        <v>297207000</v>
      </c>
      <c r="N872" s="86">
        <f t="shared" si="82"/>
        <v>237882000</v>
      </c>
      <c r="O872" s="86">
        <f t="shared" si="83"/>
        <v>59325000</v>
      </c>
      <c r="P872" s="83">
        <f t="shared" si="79"/>
        <v>3.2558336086545625E-2</v>
      </c>
      <c r="Q872" s="83">
        <f t="shared" si="80"/>
        <v>0.16311108964642174</v>
      </c>
    </row>
    <row r="873" spans="1:17">
      <c r="A873" s="87">
        <v>899</v>
      </c>
      <c r="B873" s="87" t="s">
        <v>343</v>
      </c>
      <c r="C873" s="87" t="s">
        <v>18</v>
      </c>
      <c r="D873" s="84">
        <v>42145</v>
      </c>
      <c r="E873" s="88">
        <f t="shared" si="78"/>
        <v>2015</v>
      </c>
      <c r="F873" s="89">
        <v>793373000</v>
      </c>
      <c r="G873" s="89">
        <v>206974000</v>
      </c>
      <c r="H873" s="89">
        <v>123524000</v>
      </c>
      <c r="I873" s="89">
        <v>0</v>
      </c>
      <c r="J873" s="89">
        <v>214827000</v>
      </c>
      <c r="K873" s="87" t="s">
        <v>58</v>
      </c>
      <c r="L873" s="87" t="s">
        <v>59</v>
      </c>
      <c r="M873" s="90">
        <f t="shared" si="81"/>
        <v>586399000</v>
      </c>
      <c r="N873" s="89">
        <f t="shared" si="82"/>
        <v>338351000</v>
      </c>
      <c r="O873" s="89">
        <f t="shared" si="83"/>
        <v>248048000</v>
      </c>
      <c r="P873" s="87">
        <f t="shared" si="79"/>
        <v>0.31264991372280126</v>
      </c>
      <c r="Q873" s="87">
        <f t="shared" si="80"/>
        <v>0.7391214472889801</v>
      </c>
    </row>
    <row r="874" spans="1:17">
      <c r="A874" s="83">
        <v>900</v>
      </c>
      <c r="B874" s="83" t="s">
        <v>343</v>
      </c>
      <c r="C874" s="83" t="s">
        <v>21</v>
      </c>
      <c r="D874" s="84">
        <v>42146</v>
      </c>
      <c r="E874" s="85">
        <f t="shared" si="78"/>
        <v>2015</v>
      </c>
      <c r="F874" s="86">
        <v>861527000</v>
      </c>
      <c r="G874" s="86">
        <v>221498000</v>
      </c>
      <c r="H874" s="86">
        <v>127470000</v>
      </c>
      <c r="I874" s="86">
        <v>0</v>
      </c>
      <c r="J874" s="86">
        <v>224713000</v>
      </c>
      <c r="K874" s="83" t="s">
        <v>58</v>
      </c>
      <c r="L874" s="83" t="s">
        <v>59</v>
      </c>
      <c r="M874" s="91">
        <f t="shared" si="81"/>
        <v>640029000</v>
      </c>
      <c r="N874" s="86">
        <f t="shared" si="82"/>
        <v>352183000</v>
      </c>
      <c r="O874" s="86">
        <f t="shared" si="83"/>
        <v>287846000</v>
      </c>
      <c r="P874" s="83">
        <f t="shared" si="79"/>
        <v>0.33411140916071114</v>
      </c>
      <c r="Q874" s="83">
        <f t="shared" si="80"/>
        <v>0.74290068680377974</v>
      </c>
    </row>
    <row r="875" spans="1:17">
      <c r="A875" s="87">
        <v>901</v>
      </c>
      <c r="B875" s="87" t="s">
        <v>343</v>
      </c>
      <c r="C875" s="87" t="s">
        <v>22</v>
      </c>
      <c r="D875" s="84">
        <v>42147</v>
      </c>
      <c r="E875" s="88">
        <f t="shared" si="78"/>
        <v>2015</v>
      </c>
      <c r="F875" s="89">
        <v>993897000</v>
      </c>
      <c r="G875" s="89">
        <v>258617000</v>
      </c>
      <c r="H875" s="89">
        <v>122201000</v>
      </c>
      <c r="I875" s="89">
        <v>0</v>
      </c>
      <c r="J875" s="89">
        <v>258074000</v>
      </c>
      <c r="K875" s="87" t="s">
        <v>58</v>
      </c>
      <c r="L875" s="87" t="s">
        <v>59</v>
      </c>
      <c r="M875" s="90">
        <f t="shared" si="81"/>
        <v>735280000</v>
      </c>
      <c r="N875" s="89">
        <f t="shared" si="82"/>
        <v>380275000</v>
      </c>
      <c r="O875" s="89">
        <f t="shared" si="83"/>
        <v>355005000</v>
      </c>
      <c r="P875" s="87">
        <f t="shared" si="79"/>
        <v>0.35718489944129017</v>
      </c>
      <c r="Q875" s="87">
        <f t="shared" si="80"/>
        <v>0.73979496869393913</v>
      </c>
    </row>
    <row r="876" spans="1:17">
      <c r="A876" s="83">
        <v>902</v>
      </c>
      <c r="B876" s="83" t="s">
        <v>343</v>
      </c>
      <c r="C876" s="83" t="s">
        <v>23</v>
      </c>
      <c r="D876" s="84">
        <v>42148</v>
      </c>
      <c r="E876" s="85">
        <f t="shared" si="78"/>
        <v>2015</v>
      </c>
      <c r="F876" s="86">
        <v>1166769000</v>
      </c>
      <c r="G876" s="86">
        <v>304477000</v>
      </c>
      <c r="H876" s="86">
        <v>122735000</v>
      </c>
      <c r="I876" s="86">
        <v>0</v>
      </c>
      <c r="J876" s="86">
        <v>344527000</v>
      </c>
      <c r="K876" s="83" t="s">
        <v>58</v>
      </c>
      <c r="L876" s="83" t="s">
        <v>59</v>
      </c>
      <c r="M876" s="91">
        <f t="shared" si="81"/>
        <v>862292000</v>
      </c>
      <c r="N876" s="86">
        <f t="shared" si="82"/>
        <v>467262000</v>
      </c>
      <c r="O876" s="86">
        <f t="shared" si="83"/>
        <v>395030000</v>
      </c>
      <c r="P876" s="83">
        <f t="shared" si="79"/>
        <v>0.33856744565548108</v>
      </c>
      <c r="Q876" s="83">
        <f t="shared" si="80"/>
        <v>0.73904260397730825</v>
      </c>
    </row>
    <row r="877" spans="1:17">
      <c r="A877" s="87">
        <v>903</v>
      </c>
      <c r="B877" s="87" t="s">
        <v>344</v>
      </c>
      <c r="C877" s="87" t="s">
        <v>18</v>
      </c>
      <c r="D877" s="84">
        <v>42149</v>
      </c>
      <c r="E877" s="88">
        <f t="shared" si="78"/>
        <v>2015</v>
      </c>
      <c r="F877" s="89">
        <v>2842781000</v>
      </c>
      <c r="G877" s="89">
        <v>1237452000</v>
      </c>
      <c r="H877" s="89">
        <v>387812000</v>
      </c>
      <c r="I877" s="89">
        <v>487832000</v>
      </c>
      <c r="J877" s="89">
        <v>0</v>
      </c>
      <c r="K877" s="87" t="s">
        <v>28</v>
      </c>
      <c r="L877" s="87" t="s">
        <v>74</v>
      </c>
      <c r="M877" s="90">
        <f t="shared" si="81"/>
        <v>1605329000</v>
      </c>
      <c r="N877" s="89">
        <f t="shared" si="82"/>
        <v>875644000</v>
      </c>
      <c r="O877" s="89">
        <f t="shared" si="83"/>
        <v>729685000</v>
      </c>
      <c r="P877" s="87">
        <f t="shared" si="79"/>
        <v>0.25667999047411671</v>
      </c>
      <c r="Q877" s="87">
        <f t="shared" si="80"/>
        <v>0.56470371794380214</v>
      </c>
    </row>
    <row r="878" spans="1:17">
      <c r="A878" s="83">
        <v>904</v>
      </c>
      <c r="B878" s="83" t="s">
        <v>344</v>
      </c>
      <c r="C878" s="83" t="s">
        <v>21</v>
      </c>
      <c r="D878" s="84">
        <v>42150</v>
      </c>
      <c r="E878" s="85">
        <f t="shared" si="78"/>
        <v>2015</v>
      </c>
      <c r="F878" s="86">
        <v>2929408000</v>
      </c>
      <c r="G878" s="86">
        <v>1232962000</v>
      </c>
      <c r="H878" s="86">
        <v>384907000</v>
      </c>
      <c r="I878" s="86">
        <v>539469000</v>
      </c>
      <c r="J878" s="86">
        <v>0</v>
      </c>
      <c r="K878" s="83" t="s">
        <v>28</v>
      </c>
      <c r="L878" s="83" t="s">
        <v>74</v>
      </c>
      <c r="M878" s="91">
        <f t="shared" si="81"/>
        <v>1696446000</v>
      </c>
      <c r="N878" s="86">
        <f t="shared" si="82"/>
        <v>924376000</v>
      </c>
      <c r="O878" s="86">
        <f t="shared" si="83"/>
        <v>772070000</v>
      </c>
      <c r="P878" s="83">
        <f t="shared" si="79"/>
        <v>0.26355837083806694</v>
      </c>
      <c r="Q878" s="83">
        <f t="shared" si="80"/>
        <v>0.5791088165253867</v>
      </c>
    </row>
    <row r="879" spans="1:17">
      <c r="A879" s="87">
        <v>905</v>
      </c>
      <c r="B879" s="87" t="s">
        <v>344</v>
      </c>
      <c r="C879" s="87" t="s">
        <v>22</v>
      </c>
      <c r="D879" s="84">
        <v>42151</v>
      </c>
      <c r="E879" s="88">
        <f t="shared" si="78"/>
        <v>2015</v>
      </c>
      <c r="F879" s="89">
        <v>2814049000</v>
      </c>
      <c r="G879" s="89">
        <v>1215229000</v>
      </c>
      <c r="H879" s="89">
        <v>406864000</v>
      </c>
      <c r="I879" s="89">
        <v>530616000</v>
      </c>
      <c r="J879" s="89">
        <v>0</v>
      </c>
      <c r="K879" s="87" t="s">
        <v>28</v>
      </c>
      <c r="L879" s="87" t="s">
        <v>74</v>
      </c>
      <c r="M879" s="90">
        <f t="shared" si="81"/>
        <v>1598820000</v>
      </c>
      <c r="N879" s="89">
        <f t="shared" si="82"/>
        <v>937480000</v>
      </c>
      <c r="O879" s="89">
        <f t="shared" si="83"/>
        <v>661340000</v>
      </c>
      <c r="P879" s="87">
        <f t="shared" si="79"/>
        <v>0.2350136760234097</v>
      </c>
      <c r="Q879" s="87">
        <f t="shared" si="80"/>
        <v>0.56815641802967898</v>
      </c>
    </row>
    <row r="880" spans="1:17">
      <c r="A880" s="83">
        <v>906</v>
      </c>
      <c r="B880" s="83" t="s">
        <v>344</v>
      </c>
      <c r="C880" s="83" t="s">
        <v>23</v>
      </c>
      <c r="D880" s="84">
        <v>42152</v>
      </c>
      <c r="E880" s="85">
        <f t="shared" si="78"/>
        <v>2015</v>
      </c>
      <c r="F880" s="86">
        <v>2984493000</v>
      </c>
      <c r="G880" s="86">
        <v>1163391000</v>
      </c>
      <c r="H880" s="86">
        <v>379399000</v>
      </c>
      <c r="I880" s="86">
        <v>481258000</v>
      </c>
      <c r="J880" s="86">
        <v>0</v>
      </c>
      <c r="K880" s="83" t="s">
        <v>28</v>
      </c>
      <c r="L880" s="83" t="s">
        <v>74</v>
      </c>
      <c r="M880" s="91">
        <f t="shared" si="81"/>
        <v>1821102000</v>
      </c>
      <c r="N880" s="86">
        <f t="shared" si="82"/>
        <v>860657000</v>
      </c>
      <c r="O880" s="86">
        <f t="shared" si="83"/>
        <v>960445000</v>
      </c>
      <c r="P880" s="83">
        <f t="shared" si="79"/>
        <v>0.32181177841596548</v>
      </c>
      <c r="Q880" s="83">
        <f t="shared" si="80"/>
        <v>0.61018806209295851</v>
      </c>
    </row>
    <row r="881" spans="1:17">
      <c r="A881" s="87">
        <v>907</v>
      </c>
      <c r="B881" s="87" t="s">
        <v>345</v>
      </c>
      <c r="C881" s="87" t="s">
        <v>18</v>
      </c>
      <c r="D881" s="84">
        <v>42153</v>
      </c>
      <c r="E881" s="88">
        <f t="shared" si="78"/>
        <v>2015</v>
      </c>
      <c r="F881" s="89">
        <v>19561000000</v>
      </c>
      <c r="G881" s="89">
        <v>12952000000</v>
      </c>
      <c r="H881" s="89">
        <v>3706000000</v>
      </c>
      <c r="I881" s="89">
        <v>0</v>
      </c>
      <c r="J881" s="89">
        <v>0</v>
      </c>
      <c r="K881" s="87" t="s">
        <v>42</v>
      </c>
      <c r="L881" s="87" t="s">
        <v>148</v>
      </c>
      <c r="M881" s="90">
        <f t="shared" si="81"/>
        <v>6609000000</v>
      </c>
      <c r="N881" s="89">
        <f t="shared" si="82"/>
        <v>3706000000</v>
      </c>
      <c r="O881" s="89">
        <f t="shared" si="83"/>
        <v>2903000000</v>
      </c>
      <c r="P881" s="87">
        <f t="shared" si="79"/>
        <v>0.14840754562650171</v>
      </c>
      <c r="Q881" s="87">
        <f t="shared" si="80"/>
        <v>0.33786616226164301</v>
      </c>
    </row>
    <row r="882" spans="1:17">
      <c r="A882" s="83">
        <v>908</v>
      </c>
      <c r="B882" s="83" t="s">
        <v>345</v>
      </c>
      <c r="C882" s="83" t="s">
        <v>21</v>
      </c>
      <c r="D882" s="84">
        <v>42154</v>
      </c>
      <c r="E882" s="85">
        <f t="shared" si="78"/>
        <v>2015</v>
      </c>
      <c r="F882" s="86">
        <v>19724000000</v>
      </c>
      <c r="G882" s="86">
        <v>13041000000</v>
      </c>
      <c r="H882" s="86">
        <v>4162000000</v>
      </c>
      <c r="I882" s="86">
        <v>0</v>
      </c>
      <c r="J882" s="86">
        <v>0</v>
      </c>
      <c r="K882" s="83" t="s">
        <v>42</v>
      </c>
      <c r="L882" s="83" t="s">
        <v>148</v>
      </c>
      <c r="M882" s="91">
        <f t="shared" si="81"/>
        <v>6683000000</v>
      </c>
      <c r="N882" s="86">
        <f t="shared" si="82"/>
        <v>4162000000</v>
      </c>
      <c r="O882" s="86">
        <f t="shared" si="83"/>
        <v>2521000000</v>
      </c>
      <c r="P882" s="83">
        <f t="shared" si="79"/>
        <v>0.12781383086595011</v>
      </c>
      <c r="Q882" s="83">
        <f t="shared" si="80"/>
        <v>0.33882579598458729</v>
      </c>
    </row>
    <row r="883" spans="1:17">
      <c r="A883" s="87">
        <v>909</v>
      </c>
      <c r="B883" s="87" t="s">
        <v>345</v>
      </c>
      <c r="C883" s="87" t="s">
        <v>22</v>
      </c>
      <c r="D883" s="84">
        <v>42155</v>
      </c>
      <c r="E883" s="88">
        <f t="shared" si="78"/>
        <v>2015</v>
      </c>
      <c r="F883" s="89">
        <v>18591000000</v>
      </c>
      <c r="G883" s="89">
        <v>11967000000</v>
      </c>
      <c r="H883" s="89">
        <v>5011000000</v>
      </c>
      <c r="I883" s="89">
        <v>0</v>
      </c>
      <c r="J883" s="89">
        <v>0</v>
      </c>
      <c r="K883" s="87" t="s">
        <v>42</v>
      </c>
      <c r="L883" s="87" t="s">
        <v>148</v>
      </c>
      <c r="M883" s="90">
        <f t="shared" si="81"/>
        <v>6624000000</v>
      </c>
      <c r="N883" s="89">
        <f t="shared" si="82"/>
        <v>5011000000</v>
      </c>
      <c r="O883" s="89">
        <f t="shared" si="83"/>
        <v>1613000000</v>
      </c>
      <c r="P883" s="87">
        <f t="shared" si="79"/>
        <v>8.676241191974611E-2</v>
      </c>
      <c r="Q883" s="87">
        <f t="shared" si="80"/>
        <v>0.35630143617879617</v>
      </c>
    </row>
    <row r="884" spans="1:17">
      <c r="A884" s="83">
        <v>910</v>
      </c>
      <c r="B884" s="83" t="s">
        <v>345</v>
      </c>
      <c r="C884" s="83" t="s">
        <v>23</v>
      </c>
      <c r="D884" s="84">
        <v>42156</v>
      </c>
      <c r="E884" s="85">
        <f t="shared" si="78"/>
        <v>2015</v>
      </c>
      <c r="F884" s="86">
        <v>18202000000</v>
      </c>
      <c r="G884" s="86">
        <v>11551000000</v>
      </c>
      <c r="H884" s="86">
        <v>3334000000</v>
      </c>
      <c r="I884" s="86">
        <v>0</v>
      </c>
      <c r="J884" s="86">
        <v>0</v>
      </c>
      <c r="K884" s="83" t="s">
        <v>42</v>
      </c>
      <c r="L884" s="83" t="s">
        <v>148</v>
      </c>
      <c r="M884" s="91">
        <f t="shared" si="81"/>
        <v>6651000000</v>
      </c>
      <c r="N884" s="86">
        <f t="shared" si="82"/>
        <v>3334000000</v>
      </c>
      <c r="O884" s="86">
        <f t="shared" si="83"/>
        <v>3317000000</v>
      </c>
      <c r="P884" s="83">
        <f t="shared" si="79"/>
        <v>0.18223272167893639</v>
      </c>
      <c r="Q884" s="83">
        <f t="shared" si="80"/>
        <v>0.36539940665860893</v>
      </c>
    </row>
    <row r="885" spans="1:17">
      <c r="A885" s="87">
        <v>911</v>
      </c>
      <c r="B885" s="87" t="s">
        <v>346</v>
      </c>
      <c r="C885" s="87" t="s">
        <v>18</v>
      </c>
      <c r="D885" s="84">
        <v>42157</v>
      </c>
      <c r="E885" s="88">
        <f t="shared" si="78"/>
        <v>2015</v>
      </c>
      <c r="F885" s="89">
        <v>14070000000</v>
      </c>
      <c r="G885" s="89">
        <v>7365000000</v>
      </c>
      <c r="H885" s="89">
        <v>1007000000</v>
      </c>
      <c r="I885" s="89">
        <v>0</v>
      </c>
      <c r="J885" s="89">
        <v>1806000000</v>
      </c>
      <c r="K885" s="87" t="s">
        <v>89</v>
      </c>
      <c r="L885" s="87" t="s">
        <v>347</v>
      </c>
      <c r="M885" s="90">
        <f t="shared" si="81"/>
        <v>6705000000</v>
      </c>
      <c r="N885" s="89">
        <f t="shared" si="82"/>
        <v>2813000000</v>
      </c>
      <c r="O885" s="89">
        <f t="shared" si="83"/>
        <v>3892000000</v>
      </c>
      <c r="P885" s="87">
        <f t="shared" si="79"/>
        <v>0.27661691542288558</v>
      </c>
      <c r="Q885" s="87">
        <f t="shared" si="80"/>
        <v>0.47654584221748397</v>
      </c>
    </row>
    <row r="886" spans="1:17">
      <c r="A886" s="83">
        <v>912</v>
      </c>
      <c r="B886" s="83" t="s">
        <v>346</v>
      </c>
      <c r="C886" s="83" t="s">
        <v>21</v>
      </c>
      <c r="D886" s="84">
        <v>42158</v>
      </c>
      <c r="E886" s="85">
        <f t="shared" si="78"/>
        <v>2015</v>
      </c>
      <c r="F886" s="86">
        <v>16226000000</v>
      </c>
      <c r="G886" s="86">
        <v>8435000000</v>
      </c>
      <c r="H886" s="86">
        <v>1029000000</v>
      </c>
      <c r="I886" s="86">
        <v>0</v>
      </c>
      <c r="J886" s="86">
        <v>2040000000</v>
      </c>
      <c r="K886" s="83" t="s">
        <v>89</v>
      </c>
      <c r="L886" s="83" t="s">
        <v>347</v>
      </c>
      <c r="M886" s="91">
        <f t="shared" si="81"/>
        <v>7791000000</v>
      </c>
      <c r="N886" s="86">
        <f t="shared" si="82"/>
        <v>3069000000</v>
      </c>
      <c r="O886" s="86">
        <f t="shared" si="83"/>
        <v>4722000000</v>
      </c>
      <c r="P886" s="83">
        <f t="shared" si="79"/>
        <v>0.29101442129914951</v>
      </c>
      <c r="Q886" s="83">
        <f t="shared" si="80"/>
        <v>0.4801553062985332</v>
      </c>
    </row>
    <row r="887" spans="1:17">
      <c r="A887" s="87">
        <v>913</v>
      </c>
      <c r="B887" s="87" t="s">
        <v>346</v>
      </c>
      <c r="C887" s="87" t="s">
        <v>22</v>
      </c>
      <c r="D887" s="84">
        <v>42159</v>
      </c>
      <c r="E887" s="88">
        <f t="shared" si="78"/>
        <v>2015</v>
      </c>
      <c r="F887" s="89">
        <v>14403000000</v>
      </c>
      <c r="G887" s="89">
        <v>6452000000</v>
      </c>
      <c r="H887" s="89">
        <v>1126000000</v>
      </c>
      <c r="I887" s="89">
        <v>0</v>
      </c>
      <c r="J887" s="89">
        <v>2309000000</v>
      </c>
      <c r="K887" s="87" t="s">
        <v>89</v>
      </c>
      <c r="L887" s="87" t="s">
        <v>347</v>
      </c>
      <c r="M887" s="90">
        <f t="shared" si="81"/>
        <v>7951000000</v>
      </c>
      <c r="N887" s="89">
        <f t="shared" si="82"/>
        <v>3435000000</v>
      </c>
      <c r="O887" s="89">
        <f t="shared" si="83"/>
        <v>4516000000</v>
      </c>
      <c r="P887" s="87">
        <f t="shared" si="79"/>
        <v>0.31354578907172115</v>
      </c>
      <c r="Q887" s="87">
        <f t="shared" si="80"/>
        <v>0.55203776990904674</v>
      </c>
    </row>
    <row r="888" spans="1:17">
      <c r="A888" s="83">
        <v>914</v>
      </c>
      <c r="B888" s="83" t="s">
        <v>346</v>
      </c>
      <c r="C888" s="83" t="s">
        <v>23</v>
      </c>
      <c r="D888" s="84">
        <v>42160</v>
      </c>
      <c r="E888" s="85">
        <f t="shared" si="78"/>
        <v>2015</v>
      </c>
      <c r="F888" s="86">
        <v>13058000000</v>
      </c>
      <c r="G888" s="86">
        <v>5801000000</v>
      </c>
      <c r="H888" s="86">
        <v>1089000000</v>
      </c>
      <c r="I888" s="86">
        <v>0</v>
      </c>
      <c r="J888" s="86">
        <v>2209000000</v>
      </c>
      <c r="K888" s="83" t="s">
        <v>89</v>
      </c>
      <c r="L888" s="83" t="s">
        <v>347</v>
      </c>
      <c r="M888" s="91">
        <f t="shared" si="81"/>
        <v>7257000000</v>
      </c>
      <c r="N888" s="86">
        <f t="shared" si="82"/>
        <v>3298000000</v>
      </c>
      <c r="O888" s="86">
        <f t="shared" si="83"/>
        <v>3959000000</v>
      </c>
      <c r="P888" s="83">
        <f t="shared" si="79"/>
        <v>0.30318578649104</v>
      </c>
      <c r="Q888" s="83">
        <f t="shared" si="80"/>
        <v>0.5557512635931996</v>
      </c>
    </row>
    <row r="889" spans="1:17">
      <c r="A889" s="87">
        <v>915</v>
      </c>
      <c r="B889" s="87" t="s">
        <v>348</v>
      </c>
      <c r="C889" s="87" t="s">
        <v>18</v>
      </c>
      <c r="D889" s="84">
        <v>42161</v>
      </c>
      <c r="E889" s="88">
        <f t="shared" si="78"/>
        <v>2015</v>
      </c>
      <c r="F889" s="89">
        <v>10962818000</v>
      </c>
      <c r="G889" s="89">
        <v>9498456000</v>
      </c>
      <c r="H889" s="89">
        <v>731767000</v>
      </c>
      <c r="I889" s="89">
        <v>0</v>
      </c>
      <c r="J889" s="89">
        <v>0</v>
      </c>
      <c r="K889" s="87" t="s">
        <v>25</v>
      </c>
      <c r="L889" s="87" t="s">
        <v>85</v>
      </c>
      <c r="M889" s="90">
        <f t="shared" si="81"/>
        <v>1464362000</v>
      </c>
      <c r="N889" s="89">
        <f t="shared" si="82"/>
        <v>731767000</v>
      </c>
      <c r="O889" s="89">
        <f t="shared" si="83"/>
        <v>732595000</v>
      </c>
      <c r="P889" s="87">
        <f t="shared" si="79"/>
        <v>6.6825427549741315E-2</v>
      </c>
      <c r="Q889" s="87">
        <f t="shared" si="80"/>
        <v>0.13357532707375053</v>
      </c>
    </row>
    <row r="890" spans="1:17">
      <c r="A890" s="83">
        <v>916</v>
      </c>
      <c r="B890" s="83" t="s">
        <v>348</v>
      </c>
      <c r="C890" s="83" t="s">
        <v>21</v>
      </c>
      <c r="D890" s="84">
        <v>42162</v>
      </c>
      <c r="E890" s="85">
        <f t="shared" si="78"/>
        <v>2015</v>
      </c>
      <c r="F890" s="86">
        <v>12574299000</v>
      </c>
      <c r="G890" s="86">
        <v>10925598000</v>
      </c>
      <c r="H890" s="86">
        <v>819048000</v>
      </c>
      <c r="I890" s="86">
        <v>0</v>
      </c>
      <c r="J890" s="86">
        <v>0</v>
      </c>
      <c r="K890" s="83" t="s">
        <v>25</v>
      </c>
      <c r="L890" s="83" t="s">
        <v>85</v>
      </c>
      <c r="M890" s="91">
        <f t="shared" si="81"/>
        <v>1648701000</v>
      </c>
      <c r="N890" s="86">
        <f t="shared" si="82"/>
        <v>819048000</v>
      </c>
      <c r="O890" s="86">
        <f t="shared" si="83"/>
        <v>829653000</v>
      </c>
      <c r="P890" s="83">
        <f t="shared" si="79"/>
        <v>6.5980059802936128E-2</v>
      </c>
      <c r="Q890" s="83">
        <f t="shared" si="80"/>
        <v>0.13111673263058243</v>
      </c>
    </row>
    <row r="891" spans="1:17">
      <c r="A891" s="87">
        <v>917</v>
      </c>
      <c r="B891" s="87" t="s">
        <v>348</v>
      </c>
      <c r="C891" s="87" t="s">
        <v>22</v>
      </c>
      <c r="D891" s="84">
        <v>42163</v>
      </c>
      <c r="E891" s="88">
        <f t="shared" si="78"/>
        <v>2015</v>
      </c>
      <c r="F891" s="89">
        <v>14268716000</v>
      </c>
      <c r="G891" s="89">
        <v>12381189000</v>
      </c>
      <c r="H891" s="89">
        <v>890431000</v>
      </c>
      <c r="I891" s="89">
        <v>0</v>
      </c>
      <c r="J891" s="89">
        <v>0</v>
      </c>
      <c r="K891" s="87" t="s">
        <v>25</v>
      </c>
      <c r="L891" s="87" t="s">
        <v>85</v>
      </c>
      <c r="M891" s="90">
        <f t="shared" si="81"/>
        <v>1887527000</v>
      </c>
      <c r="N891" s="89">
        <f t="shared" si="82"/>
        <v>890431000</v>
      </c>
      <c r="O891" s="89">
        <f t="shared" si="83"/>
        <v>997096000</v>
      </c>
      <c r="P891" s="87">
        <f t="shared" si="79"/>
        <v>6.9879868658118918E-2</v>
      </c>
      <c r="Q891" s="87">
        <f t="shared" si="80"/>
        <v>0.13228429243388118</v>
      </c>
    </row>
    <row r="892" spans="1:17">
      <c r="A892" s="83">
        <v>918</v>
      </c>
      <c r="B892" s="83" t="s">
        <v>348</v>
      </c>
      <c r="C892" s="83" t="s">
        <v>23</v>
      </c>
      <c r="D892" s="84">
        <v>42164</v>
      </c>
      <c r="E892" s="85">
        <f t="shared" si="78"/>
        <v>2015</v>
      </c>
      <c r="F892" s="86">
        <v>15149675000</v>
      </c>
      <c r="G892" s="86">
        <v>13130915000</v>
      </c>
      <c r="H892" s="86">
        <v>959899000</v>
      </c>
      <c r="I892" s="86">
        <v>0</v>
      </c>
      <c r="J892" s="86">
        <v>0</v>
      </c>
      <c r="K892" s="83" t="s">
        <v>25</v>
      </c>
      <c r="L892" s="83" t="s">
        <v>85</v>
      </c>
      <c r="M892" s="91">
        <f t="shared" si="81"/>
        <v>2018760000</v>
      </c>
      <c r="N892" s="86">
        <f t="shared" si="82"/>
        <v>959899000</v>
      </c>
      <c r="O892" s="86">
        <f t="shared" si="83"/>
        <v>1058861000</v>
      </c>
      <c r="P892" s="83">
        <f t="shared" si="79"/>
        <v>6.9893314543051255E-2</v>
      </c>
      <c r="Q892" s="83">
        <f t="shared" si="80"/>
        <v>0.13325434374004719</v>
      </c>
    </row>
    <row r="893" spans="1:17">
      <c r="A893" s="87">
        <v>919</v>
      </c>
      <c r="B893" s="87" t="s">
        <v>349</v>
      </c>
      <c r="C893" s="87" t="s">
        <v>18</v>
      </c>
      <c r="D893" s="84">
        <v>42165</v>
      </c>
      <c r="E893" s="88">
        <f t="shared" si="78"/>
        <v>2015</v>
      </c>
      <c r="F893" s="89">
        <v>48017000000</v>
      </c>
      <c r="G893" s="89">
        <v>19053000000</v>
      </c>
      <c r="H893" s="89">
        <v>18185000000</v>
      </c>
      <c r="I893" s="89">
        <v>0</v>
      </c>
      <c r="J893" s="89">
        <v>0</v>
      </c>
      <c r="K893" s="87" t="s">
        <v>42</v>
      </c>
      <c r="L893" s="87" t="s">
        <v>220</v>
      </c>
      <c r="M893" s="90">
        <f t="shared" si="81"/>
        <v>28964000000</v>
      </c>
      <c r="N893" s="89">
        <f t="shared" si="82"/>
        <v>18185000000</v>
      </c>
      <c r="O893" s="89">
        <f t="shared" si="83"/>
        <v>10779000000</v>
      </c>
      <c r="P893" s="87">
        <f t="shared" si="79"/>
        <v>0.22448299560572296</v>
      </c>
      <c r="Q893" s="87">
        <f t="shared" si="80"/>
        <v>0.60320303225940819</v>
      </c>
    </row>
    <row r="894" spans="1:17">
      <c r="A894" s="83">
        <v>920</v>
      </c>
      <c r="B894" s="83" t="s">
        <v>349</v>
      </c>
      <c r="C894" s="83" t="s">
        <v>21</v>
      </c>
      <c r="D894" s="84">
        <v>42166</v>
      </c>
      <c r="E894" s="85">
        <f t="shared" si="78"/>
        <v>2015</v>
      </c>
      <c r="F894" s="86">
        <v>46854000000</v>
      </c>
      <c r="G894" s="86">
        <v>18421000000</v>
      </c>
      <c r="H894" s="86">
        <v>18205000000</v>
      </c>
      <c r="I894" s="86">
        <v>0</v>
      </c>
      <c r="J894" s="86">
        <v>0</v>
      </c>
      <c r="K894" s="83" t="s">
        <v>42</v>
      </c>
      <c r="L894" s="83" t="s">
        <v>220</v>
      </c>
      <c r="M894" s="91">
        <f t="shared" si="81"/>
        <v>28433000000</v>
      </c>
      <c r="N894" s="86">
        <f t="shared" si="82"/>
        <v>18205000000</v>
      </c>
      <c r="O894" s="86">
        <f t="shared" si="83"/>
        <v>10228000000</v>
      </c>
      <c r="P894" s="83">
        <f t="shared" si="79"/>
        <v>0.21829512955137234</v>
      </c>
      <c r="Q894" s="83">
        <f t="shared" si="80"/>
        <v>0.60684253212105688</v>
      </c>
    </row>
    <row r="895" spans="1:17">
      <c r="A895" s="87">
        <v>921</v>
      </c>
      <c r="B895" s="87" t="s">
        <v>349</v>
      </c>
      <c r="C895" s="87" t="s">
        <v>22</v>
      </c>
      <c r="D895" s="84">
        <v>42167</v>
      </c>
      <c r="E895" s="88">
        <f t="shared" ref="E895:E958" si="84">YEAR(D895)</f>
        <v>2015</v>
      </c>
      <c r="F895" s="89">
        <v>45998000000</v>
      </c>
      <c r="G895" s="89">
        <v>17889000000</v>
      </c>
      <c r="H895" s="89">
        <v>18401000000</v>
      </c>
      <c r="I895" s="89">
        <v>0</v>
      </c>
      <c r="J895" s="89">
        <v>0</v>
      </c>
      <c r="K895" s="87" t="s">
        <v>42</v>
      </c>
      <c r="L895" s="87" t="s">
        <v>220</v>
      </c>
      <c r="M895" s="90">
        <f t="shared" si="81"/>
        <v>28109000000</v>
      </c>
      <c r="N895" s="89">
        <f t="shared" si="82"/>
        <v>18401000000</v>
      </c>
      <c r="O895" s="89">
        <f t="shared" si="83"/>
        <v>9708000000</v>
      </c>
      <c r="P895" s="87">
        <f t="shared" si="79"/>
        <v>0.21105265446323754</v>
      </c>
      <c r="Q895" s="87">
        <f t="shared" si="80"/>
        <v>0.61109178659941743</v>
      </c>
    </row>
    <row r="896" spans="1:17">
      <c r="A896" s="83">
        <v>922</v>
      </c>
      <c r="B896" s="83" t="s">
        <v>349</v>
      </c>
      <c r="C896" s="83" t="s">
        <v>23</v>
      </c>
      <c r="D896" s="84">
        <v>42168</v>
      </c>
      <c r="E896" s="85">
        <f t="shared" si="84"/>
        <v>2015</v>
      </c>
      <c r="F896" s="86">
        <v>44294000000</v>
      </c>
      <c r="G896" s="86">
        <v>17482000000</v>
      </c>
      <c r="H896" s="86">
        <v>18084000000</v>
      </c>
      <c r="I896" s="86">
        <v>0</v>
      </c>
      <c r="J896" s="86">
        <v>0</v>
      </c>
      <c r="K896" s="83" t="s">
        <v>42</v>
      </c>
      <c r="L896" s="83" t="s">
        <v>220</v>
      </c>
      <c r="M896" s="91">
        <f t="shared" si="81"/>
        <v>26812000000</v>
      </c>
      <c r="N896" s="86">
        <f t="shared" si="82"/>
        <v>18084000000</v>
      </c>
      <c r="O896" s="86">
        <f t="shared" si="83"/>
        <v>8728000000</v>
      </c>
      <c r="P896" s="83">
        <f t="shared" si="79"/>
        <v>0.19704700410890866</v>
      </c>
      <c r="Q896" s="83">
        <f t="shared" si="80"/>
        <v>0.60531900483135415</v>
      </c>
    </row>
    <row r="897" spans="1:17">
      <c r="A897" s="87">
        <v>923</v>
      </c>
      <c r="B897" s="87" t="s">
        <v>350</v>
      </c>
      <c r="C897" s="87" t="s">
        <v>18</v>
      </c>
      <c r="D897" s="84">
        <v>42169</v>
      </c>
      <c r="E897" s="88">
        <f t="shared" si="84"/>
        <v>2015</v>
      </c>
      <c r="F897" s="89">
        <v>2181732000</v>
      </c>
      <c r="G897" s="89">
        <v>875166000</v>
      </c>
      <c r="H897" s="89">
        <v>621536000</v>
      </c>
      <c r="I897" s="89">
        <v>0</v>
      </c>
      <c r="J897" s="89">
        <v>54291000</v>
      </c>
      <c r="K897" s="87" t="s">
        <v>25</v>
      </c>
      <c r="L897" s="87" t="s">
        <v>295</v>
      </c>
      <c r="M897" s="90">
        <f t="shared" si="81"/>
        <v>1306566000</v>
      </c>
      <c r="N897" s="89">
        <f t="shared" si="82"/>
        <v>675827000</v>
      </c>
      <c r="O897" s="89">
        <f t="shared" si="83"/>
        <v>630739000</v>
      </c>
      <c r="P897" s="87">
        <f t="shared" si="79"/>
        <v>0.28910012778838096</v>
      </c>
      <c r="Q897" s="87">
        <f t="shared" si="80"/>
        <v>0.59886640522300638</v>
      </c>
    </row>
    <row r="898" spans="1:17">
      <c r="A898" s="83">
        <v>924</v>
      </c>
      <c r="B898" s="83" t="s">
        <v>350</v>
      </c>
      <c r="C898" s="83" t="s">
        <v>21</v>
      </c>
      <c r="D898" s="84">
        <v>42170</v>
      </c>
      <c r="E898" s="85">
        <f t="shared" si="84"/>
        <v>2015</v>
      </c>
      <c r="F898" s="86">
        <v>3310800000</v>
      </c>
      <c r="G898" s="86">
        <v>1294700000</v>
      </c>
      <c r="H898" s="86">
        <v>926900000</v>
      </c>
      <c r="I898" s="86">
        <v>0</v>
      </c>
      <c r="J898" s="86">
        <v>79700000</v>
      </c>
      <c r="K898" s="83" t="s">
        <v>25</v>
      </c>
      <c r="L898" s="83" t="s">
        <v>295</v>
      </c>
      <c r="M898" s="91">
        <f t="shared" si="81"/>
        <v>2016100000</v>
      </c>
      <c r="N898" s="86">
        <f t="shared" si="82"/>
        <v>1006600000</v>
      </c>
      <c r="O898" s="86">
        <f t="shared" si="83"/>
        <v>1009500000</v>
      </c>
      <c r="P898" s="83">
        <f t="shared" ref="P898:P961" si="85">O898/F898</f>
        <v>0.30491119971003988</v>
      </c>
      <c r="Q898" s="83">
        <f t="shared" ref="Q898:Q961" si="86">1-G898/F898</f>
        <v>0.60894647819258185</v>
      </c>
    </row>
    <row r="899" spans="1:17">
      <c r="A899" s="87">
        <v>925</v>
      </c>
      <c r="B899" s="87" t="s">
        <v>350</v>
      </c>
      <c r="C899" s="87" t="s">
        <v>22</v>
      </c>
      <c r="D899" s="84">
        <v>42171</v>
      </c>
      <c r="E899" s="88">
        <f t="shared" si="84"/>
        <v>2015</v>
      </c>
      <c r="F899" s="89">
        <v>4371500000</v>
      </c>
      <c r="G899" s="89">
        <v>1723800000</v>
      </c>
      <c r="H899" s="89">
        <v>1251500000</v>
      </c>
      <c r="I899" s="89">
        <v>0</v>
      </c>
      <c r="J899" s="89">
        <v>138400000</v>
      </c>
      <c r="K899" s="87" t="s">
        <v>25</v>
      </c>
      <c r="L899" s="87" t="s">
        <v>295</v>
      </c>
      <c r="M899" s="90">
        <f t="shared" ref="M899:M962" si="87">F899-G899</f>
        <v>2647700000</v>
      </c>
      <c r="N899" s="89">
        <f t="shared" ref="N899:N962" si="88">H899+I899+J899</f>
        <v>1389900000</v>
      </c>
      <c r="O899" s="89">
        <f t="shared" ref="O899:O962" si="89">M899-N899</f>
        <v>1257800000</v>
      </c>
      <c r="P899" s="87">
        <f t="shared" si="85"/>
        <v>0.28772732471691637</v>
      </c>
      <c r="Q899" s="87">
        <f t="shared" si="86"/>
        <v>0.60567310991650469</v>
      </c>
    </row>
    <row r="900" spans="1:17">
      <c r="A900" s="83">
        <v>926</v>
      </c>
      <c r="B900" s="83" t="s">
        <v>350</v>
      </c>
      <c r="C900" s="83" t="s">
        <v>23</v>
      </c>
      <c r="D900" s="84">
        <v>42172</v>
      </c>
      <c r="E900" s="85">
        <f t="shared" si="84"/>
        <v>2015</v>
      </c>
      <c r="F900" s="86">
        <v>4712100000</v>
      </c>
      <c r="G900" s="86">
        <v>1914900000</v>
      </c>
      <c r="H900" s="86">
        <v>1428000000</v>
      </c>
      <c r="I900" s="86">
        <v>0</v>
      </c>
      <c r="J900" s="86">
        <v>183200000</v>
      </c>
      <c r="K900" s="83" t="s">
        <v>25</v>
      </c>
      <c r="L900" s="83" t="s">
        <v>295</v>
      </c>
      <c r="M900" s="91">
        <f t="shared" si="87"/>
        <v>2797200000</v>
      </c>
      <c r="N900" s="86">
        <f t="shared" si="88"/>
        <v>1611200000</v>
      </c>
      <c r="O900" s="86">
        <f t="shared" si="89"/>
        <v>1186000000</v>
      </c>
      <c r="P900" s="83">
        <f t="shared" si="85"/>
        <v>0.25169245134865559</v>
      </c>
      <c r="Q900" s="83">
        <f t="shared" si="86"/>
        <v>0.59362067867829627</v>
      </c>
    </row>
    <row r="901" spans="1:17">
      <c r="A901" s="87">
        <v>927</v>
      </c>
      <c r="B901" s="87" t="s">
        <v>351</v>
      </c>
      <c r="C901" s="87" t="s">
        <v>18</v>
      </c>
      <c r="D901" s="84">
        <v>42173</v>
      </c>
      <c r="E901" s="88">
        <f t="shared" si="84"/>
        <v>2015</v>
      </c>
      <c r="F901" s="89">
        <v>96619000000</v>
      </c>
      <c r="G901" s="89">
        <v>76726000000</v>
      </c>
      <c r="H901" s="89">
        <v>15477000000</v>
      </c>
      <c r="I901" s="89">
        <v>0</v>
      </c>
      <c r="J901" s="89">
        <v>1652000000</v>
      </c>
      <c r="K901" s="87" t="s">
        <v>42</v>
      </c>
      <c r="L901" s="87" t="s">
        <v>352</v>
      </c>
      <c r="M901" s="90">
        <f t="shared" si="87"/>
        <v>19893000000</v>
      </c>
      <c r="N901" s="89">
        <f t="shared" si="88"/>
        <v>17129000000</v>
      </c>
      <c r="O901" s="89">
        <f t="shared" si="89"/>
        <v>2764000000</v>
      </c>
      <c r="P901" s="87">
        <f t="shared" si="85"/>
        <v>2.8607209762055084E-2</v>
      </c>
      <c r="Q901" s="87">
        <f t="shared" si="86"/>
        <v>0.20589118082364755</v>
      </c>
    </row>
    <row r="902" spans="1:17">
      <c r="A902" s="83">
        <v>928</v>
      </c>
      <c r="B902" s="83" t="s">
        <v>351</v>
      </c>
      <c r="C902" s="83" t="s">
        <v>21</v>
      </c>
      <c r="D902" s="84">
        <v>42174</v>
      </c>
      <c r="E902" s="85">
        <f t="shared" si="84"/>
        <v>2015</v>
      </c>
      <c r="F902" s="86">
        <v>98375000000</v>
      </c>
      <c r="G902" s="86">
        <v>78138000000</v>
      </c>
      <c r="H902" s="86">
        <v>15809000000</v>
      </c>
      <c r="I902" s="86">
        <v>0</v>
      </c>
      <c r="J902" s="86">
        <v>1703000000</v>
      </c>
      <c r="K902" s="83" t="s">
        <v>42</v>
      </c>
      <c r="L902" s="83" t="s">
        <v>352</v>
      </c>
      <c r="M902" s="91">
        <f t="shared" si="87"/>
        <v>20237000000</v>
      </c>
      <c r="N902" s="86">
        <f t="shared" si="88"/>
        <v>17512000000</v>
      </c>
      <c r="O902" s="86">
        <f t="shared" si="89"/>
        <v>2725000000</v>
      </c>
      <c r="P902" s="83">
        <f t="shared" si="85"/>
        <v>2.770012706480305E-2</v>
      </c>
      <c r="Q902" s="83">
        <f t="shared" si="86"/>
        <v>0.20571283354510805</v>
      </c>
    </row>
    <row r="903" spans="1:17">
      <c r="A903" s="87">
        <v>929</v>
      </c>
      <c r="B903" s="87" t="s">
        <v>351</v>
      </c>
      <c r="C903" s="87" t="s">
        <v>22</v>
      </c>
      <c r="D903" s="84">
        <v>42175</v>
      </c>
      <c r="E903" s="88">
        <f t="shared" si="84"/>
        <v>2015</v>
      </c>
      <c r="F903" s="89">
        <v>108465000000</v>
      </c>
      <c r="G903" s="89">
        <v>85512000000</v>
      </c>
      <c r="H903" s="89">
        <v>17868000000</v>
      </c>
      <c r="I903" s="89">
        <v>0</v>
      </c>
      <c r="J903" s="89">
        <v>1948000000</v>
      </c>
      <c r="K903" s="87" t="s">
        <v>42</v>
      </c>
      <c r="L903" s="87" t="s">
        <v>352</v>
      </c>
      <c r="M903" s="90">
        <f t="shared" si="87"/>
        <v>22953000000</v>
      </c>
      <c r="N903" s="89">
        <f t="shared" si="88"/>
        <v>19816000000</v>
      </c>
      <c r="O903" s="89">
        <f t="shared" si="89"/>
        <v>3137000000</v>
      </c>
      <c r="P903" s="87">
        <f t="shared" si="85"/>
        <v>2.8921772000184393E-2</v>
      </c>
      <c r="Q903" s="87">
        <f t="shared" si="86"/>
        <v>0.21161665053242984</v>
      </c>
    </row>
    <row r="904" spans="1:17">
      <c r="A904" s="83">
        <v>930</v>
      </c>
      <c r="B904" s="83" t="s">
        <v>351</v>
      </c>
      <c r="C904" s="83" t="s">
        <v>23</v>
      </c>
      <c r="D904" s="84">
        <v>42176</v>
      </c>
      <c r="E904" s="85">
        <f t="shared" si="84"/>
        <v>2015</v>
      </c>
      <c r="F904" s="86">
        <v>109830000000</v>
      </c>
      <c r="G904" s="86">
        <v>85496000000</v>
      </c>
      <c r="H904" s="86">
        <v>18669000000</v>
      </c>
      <c r="I904" s="86">
        <v>0</v>
      </c>
      <c r="J904" s="86">
        <v>2089000000</v>
      </c>
      <c r="K904" s="83" t="s">
        <v>42</v>
      </c>
      <c r="L904" s="83" t="s">
        <v>352</v>
      </c>
      <c r="M904" s="91">
        <f t="shared" si="87"/>
        <v>24334000000</v>
      </c>
      <c r="N904" s="86">
        <f t="shared" si="88"/>
        <v>20758000000</v>
      </c>
      <c r="O904" s="86">
        <f t="shared" si="89"/>
        <v>3576000000</v>
      </c>
      <c r="P904" s="83">
        <f t="shared" si="85"/>
        <v>3.2559409997268508E-2</v>
      </c>
      <c r="Q904" s="83">
        <f t="shared" si="86"/>
        <v>0.22156059364472369</v>
      </c>
    </row>
    <row r="905" spans="1:17">
      <c r="A905" s="87">
        <v>931</v>
      </c>
      <c r="B905" s="87" t="s">
        <v>353</v>
      </c>
      <c r="C905" s="87" t="s">
        <v>18</v>
      </c>
      <c r="D905" s="84">
        <v>42177</v>
      </c>
      <c r="E905" s="88">
        <f t="shared" si="84"/>
        <v>2015</v>
      </c>
      <c r="F905" s="89">
        <v>19279000000</v>
      </c>
      <c r="G905" s="89">
        <v>12289000000</v>
      </c>
      <c r="H905" s="89">
        <v>4267000000</v>
      </c>
      <c r="I905" s="89">
        <v>0</v>
      </c>
      <c r="J905" s="89">
        <v>833000000</v>
      </c>
      <c r="K905" s="87" t="s">
        <v>25</v>
      </c>
      <c r="L905" s="87" t="s">
        <v>203</v>
      </c>
      <c r="M905" s="90">
        <f t="shared" si="87"/>
        <v>6990000000</v>
      </c>
      <c r="N905" s="89">
        <f t="shared" si="88"/>
        <v>5100000000</v>
      </c>
      <c r="O905" s="89">
        <f t="shared" si="89"/>
        <v>1890000000</v>
      </c>
      <c r="P905" s="87">
        <f t="shared" si="85"/>
        <v>9.8034130400954406E-2</v>
      </c>
      <c r="Q905" s="87">
        <f t="shared" si="86"/>
        <v>0.36257067275273613</v>
      </c>
    </row>
    <row r="906" spans="1:17">
      <c r="A906" s="83">
        <v>932</v>
      </c>
      <c r="B906" s="83" t="s">
        <v>353</v>
      </c>
      <c r="C906" s="83" t="s">
        <v>21</v>
      </c>
      <c r="D906" s="84">
        <v>42178</v>
      </c>
      <c r="E906" s="85">
        <f t="shared" si="84"/>
        <v>2015</v>
      </c>
      <c r="F906" s="86">
        <v>19031000000</v>
      </c>
      <c r="G906" s="86">
        <v>12087000000</v>
      </c>
      <c r="H906" s="86">
        <v>4313000000</v>
      </c>
      <c r="I906" s="86">
        <v>0</v>
      </c>
      <c r="J906" s="86">
        <v>889000000</v>
      </c>
      <c r="K906" s="83" t="s">
        <v>25</v>
      </c>
      <c r="L906" s="83" t="s">
        <v>203</v>
      </c>
      <c r="M906" s="91">
        <f t="shared" si="87"/>
        <v>6944000000</v>
      </c>
      <c r="N906" s="86">
        <f t="shared" si="88"/>
        <v>5202000000</v>
      </c>
      <c r="O906" s="86">
        <f t="shared" si="89"/>
        <v>1742000000</v>
      </c>
      <c r="P906" s="83">
        <f t="shared" si="85"/>
        <v>9.1534864168987443E-2</v>
      </c>
      <c r="Q906" s="83">
        <f t="shared" si="86"/>
        <v>0.36487835636592925</v>
      </c>
    </row>
    <row r="907" spans="1:17">
      <c r="A907" s="87">
        <v>933</v>
      </c>
      <c r="B907" s="87" t="s">
        <v>353</v>
      </c>
      <c r="C907" s="87" t="s">
        <v>22</v>
      </c>
      <c r="D907" s="84">
        <v>42179</v>
      </c>
      <c r="E907" s="88">
        <f t="shared" si="84"/>
        <v>2015</v>
      </c>
      <c r="F907" s="89">
        <v>19023000000</v>
      </c>
      <c r="G907" s="89">
        <v>12098000000</v>
      </c>
      <c r="H907" s="89">
        <v>4350000000</v>
      </c>
      <c r="I907" s="89">
        <v>0</v>
      </c>
      <c r="J907" s="89">
        <v>886000000</v>
      </c>
      <c r="K907" s="87" t="s">
        <v>25</v>
      </c>
      <c r="L907" s="87" t="s">
        <v>203</v>
      </c>
      <c r="M907" s="90">
        <f t="shared" si="87"/>
        <v>6925000000</v>
      </c>
      <c r="N907" s="89">
        <f t="shared" si="88"/>
        <v>5236000000</v>
      </c>
      <c r="O907" s="89">
        <f t="shared" si="89"/>
        <v>1689000000</v>
      </c>
      <c r="P907" s="87">
        <f t="shared" si="85"/>
        <v>8.8787257530357988E-2</v>
      </c>
      <c r="Q907" s="87">
        <f t="shared" si="86"/>
        <v>0.36403301266887456</v>
      </c>
    </row>
    <row r="908" spans="1:17">
      <c r="A908" s="83">
        <v>934</v>
      </c>
      <c r="B908" s="83" t="s">
        <v>353</v>
      </c>
      <c r="C908" s="83" t="s">
        <v>23</v>
      </c>
      <c r="D908" s="84">
        <v>42180</v>
      </c>
      <c r="E908" s="85">
        <f t="shared" si="84"/>
        <v>2015</v>
      </c>
      <c r="F908" s="86">
        <v>19204000000</v>
      </c>
      <c r="G908" s="86">
        <v>12265000000</v>
      </c>
      <c r="H908" s="86">
        <v>4452000000</v>
      </c>
      <c r="I908" s="86">
        <v>0</v>
      </c>
      <c r="J908" s="86">
        <v>934000000</v>
      </c>
      <c r="K908" s="83" t="s">
        <v>25</v>
      </c>
      <c r="L908" s="83" t="s">
        <v>203</v>
      </c>
      <c r="M908" s="91">
        <f t="shared" si="87"/>
        <v>6939000000</v>
      </c>
      <c r="N908" s="86">
        <f t="shared" si="88"/>
        <v>5386000000</v>
      </c>
      <c r="O908" s="86">
        <f t="shared" si="89"/>
        <v>1553000000</v>
      </c>
      <c r="P908" s="83">
        <f t="shared" si="85"/>
        <v>8.0868569048114972E-2</v>
      </c>
      <c r="Q908" s="83">
        <f t="shared" si="86"/>
        <v>0.36133097271401793</v>
      </c>
    </row>
    <row r="909" spans="1:17">
      <c r="A909" s="87">
        <v>935</v>
      </c>
      <c r="B909" s="87" t="s">
        <v>354</v>
      </c>
      <c r="C909" s="87" t="s">
        <v>18</v>
      </c>
      <c r="D909" s="84">
        <v>42181</v>
      </c>
      <c r="E909" s="88">
        <f t="shared" si="84"/>
        <v>2015</v>
      </c>
      <c r="F909" s="89">
        <v>2369300000</v>
      </c>
      <c r="G909" s="89">
        <v>805300000</v>
      </c>
      <c r="H909" s="89">
        <v>602100000</v>
      </c>
      <c r="I909" s="89">
        <v>0</v>
      </c>
      <c r="J909" s="89">
        <v>223300000</v>
      </c>
      <c r="K909" s="87" t="s">
        <v>19</v>
      </c>
      <c r="L909" s="87" t="s">
        <v>184</v>
      </c>
      <c r="M909" s="90">
        <f t="shared" si="87"/>
        <v>1564000000</v>
      </c>
      <c r="N909" s="89">
        <f t="shared" si="88"/>
        <v>825400000</v>
      </c>
      <c r="O909" s="89">
        <f t="shared" si="89"/>
        <v>738600000</v>
      </c>
      <c r="P909" s="87">
        <f t="shared" si="85"/>
        <v>0.31173764402988224</v>
      </c>
      <c r="Q909" s="87">
        <f t="shared" si="86"/>
        <v>0.66011058118431598</v>
      </c>
    </row>
    <row r="910" spans="1:17">
      <c r="A910" s="83">
        <v>936</v>
      </c>
      <c r="B910" s="83" t="s">
        <v>354</v>
      </c>
      <c r="C910" s="83" t="s">
        <v>21</v>
      </c>
      <c r="D910" s="84">
        <v>42182</v>
      </c>
      <c r="E910" s="85">
        <f t="shared" si="84"/>
        <v>2015</v>
      </c>
      <c r="F910" s="86">
        <v>2577100000</v>
      </c>
      <c r="G910" s="86">
        <v>877900000</v>
      </c>
      <c r="H910" s="86">
        <v>632000000</v>
      </c>
      <c r="I910" s="86">
        <v>0</v>
      </c>
      <c r="J910" s="86">
        <v>258100000</v>
      </c>
      <c r="K910" s="83" t="s">
        <v>19</v>
      </c>
      <c r="L910" s="83" t="s">
        <v>184</v>
      </c>
      <c r="M910" s="91">
        <f t="shared" si="87"/>
        <v>1699200000</v>
      </c>
      <c r="N910" s="86">
        <f t="shared" si="88"/>
        <v>890100000</v>
      </c>
      <c r="O910" s="86">
        <f t="shared" si="89"/>
        <v>809100000</v>
      </c>
      <c r="P910" s="83">
        <f t="shared" si="85"/>
        <v>0.31395754918319041</v>
      </c>
      <c r="Q910" s="83">
        <f t="shared" si="86"/>
        <v>0.65934577626013735</v>
      </c>
    </row>
    <row r="911" spans="1:17">
      <c r="A911" s="87">
        <v>937</v>
      </c>
      <c r="B911" s="87" t="s">
        <v>354</v>
      </c>
      <c r="C911" s="87" t="s">
        <v>22</v>
      </c>
      <c r="D911" s="84">
        <v>42183</v>
      </c>
      <c r="E911" s="88">
        <f t="shared" si="84"/>
        <v>2015</v>
      </c>
      <c r="F911" s="89">
        <v>2418800000</v>
      </c>
      <c r="G911" s="89">
        <v>759200000</v>
      </c>
      <c r="H911" s="89">
        <v>571200000</v>
      </c>
      <c r="I911" s="89">
        <v>0</v>
      </c>
      <c r="J911" s="89">
        <v>284600000</v>
      </c>
      <c r="K911" s="87" t="s">
        <v>19</v>
      </c>
      <c r="L911" s="87" t="s">
        <v>184</v>
      </c>
      <c r="M911" s="90">
        <f t="shared" si="87"/>
        <v>1659600000</v>
      </c>
      <c r="N911" s="89">
        <f t="shared" si="88"/>
        <v>855800000</v>
      </c>
      <c r="O911" s="89">
        <f t="shared" si="89"/>
        <v>803800000</v>
      </c>
      <c r="P911" s="87">
        <f t="shared" si="85"/>
        <v>0.3323135439060691</v>
      </c>
      <c r="Q911" s="87">
        <f t="shared" si="86"/>
        <v>0.68612535141392428</v>
      </c>
    </row>
    <row r="912" spans="1:17">
      <c r="A912" s="83">
        <v>938</v>
      </c>
      <c r="B912" s="83" t="s">
        <v>354</v>
      </c>
      <c r="C912" s="83" t="s">
        <v>23</v>
      </c>
      <c r="D912" s="84">
        <v>42184</v>
      </c>
      <c r="E912" s="85">
        <f t="shared" si="84"/>
        <v>2015</v>
      </c>
      <c r="F912" s="86">
        <v>2334200000</v>
      </c>
      <c r="G912" s="86">
        <v>691100000</v>
      </c>
      <c r="H912" s="86">
        <v>519600000</v>
      </c>
      <c r="I912" s="86">
        <v>0</v>
      </c>
      <c r="J912" s="86">
        <v>305000000</v>
      </c>
      <c r="K912" s="83" t="s">
        <v>19</v>
      </c>
      <c r="L912" s="83" t="s">
        <v>184</v>
      </c>
      <c r="M912" s="91">
        <f t="shared" si="87"/>
        <v>1643100000</v>
      </c>
      <c r="N912" s="86">
        <f t="shared" si="88"/>
        <v>824600000</v>
      </c>
      <c r="O912" s="86">
        <f t="shared" si="89"/>
        <v>818500000</v>
      </c>
      <c r="P912" s="83">
        <f t="shared" si="85"/>
        <v>0.35065547082512211</v>
      </c>
      <c r="Q912" s="83">
        <f t="shared" si="86"/>
        <v>0.70392425670465264</v>
      </c>
    </row>
    <row r="913" spans="1:17">
      <c r="A913" s="87">
        <v>939</v>
      </c>
      <c r="B913" s="87" t="s">
        <v>355</v>
      </c>
      <c r="C913" s="87" t="s">
        <v>18</v>
      </c>
      <c r="D913" s="84">
        <v>42185</v>
      </c>
      <c r="E913" s="88">
        <f t="shared" si="84"/>
        <v>2015</v>
      </c>
      <c r="F913" s="89">
        <v>10459000000</v>
      </c>
      <c r="G913" s="89">
        <v>6073000000</v>
      </c>
      <c r="H913" s="89">
        <v>2720000000</v>
      </c>
      <c r="I913" s="89">
        <v>0</v>
      </c>
      <c r="J913" s="89">
        <v>0</v>
      </c>
      <c r="K913" s="87" t="s">
        <v>25</v>
      </c>
      <c r="L913" s="87" t="s">
        <v>263</v>
      </c>
      <c r="M913" s="90">
        <f t="shared" si="87"/>
        <v>4386000000</v>
      </c>
      <c r="N913" s="89">
        <f t="shared" si="88"/>
        <v>2720000000</v>
      </c>
      <c r="O913" s="89">
        <f t="shared" si="89"/>
        <v>1666000000</v>
      </c>
      <c r="P913" s="87">
        <f t="shared" si="85"/>
        <v>0.15928865092265035</v>
      </c>
      <c r="Q913" s="87">
        <f t="shared" si="86"/>
        <v>0.41935175446983464</v>
      </c>
    </row>
    <row r="914" spans="1:17">
      <c r="A914" s="83">
        <v>940</v>
      </c>
      <c r="B914" s="83" t="s">
        <v>355</v>
      </c>
      <c r="C914" s="83" t="s">
        <v>21</v>
      </c>
      <c r="D914" s="84">
        <v>42186</v>
      </c>
      <c r="E914" s="85">
        <f t="shared" si="84"/>
        <v>2015</v>
      </c>
      <c r="F914" s="86">
        <v>10773000000</v>
      </c>
      <c r="G914" s="86">
        <v>6344000000</v>
      </c>
      <c r="H914" s="86">
        <v>2686000000</v>
      </c>
      <c r="I914" s="86">
        <v>0</v>
      </c>
      <c r="J914" s="86">
        <v>0</v>
      </c>
      <c r="K914" s="83" t="s">
        <v>25</v>
      </c>
      <c r="L914" s="83" t="s">
        <v>263</v>
      </c>
      <c r="M914" s="91">
        <f t="shared" si="87"/>
        <v>4429000000</v>
      </c>
      <c r="N914" s="86">
        <f t="shared" si="88"/>
        <v>2686000000</v>
      </c>
      <c r="O914" s="86">
        <f t="shared" si="89"/>
        <v>1743000000</v>
      </c>
      <c r="P914" s="83">
        <f t="shared" si="85"/>
        <v>0.1617933723196881</v>
      </c>
      <c r="Q914" s="83">
        <f t="shared" si="86"/>
        <v>0.41112039357653396</v>
      </c>
    </row>
    <row r="915" spans="1:17">
      <c r="A915" s="87">
        <v>941</v>
      </c>
      <c r="B915" s="87" t="s">
        <v>355</v>
      </c>
      <c r="C915" s="87" t="s">
        <v>22</v>
      </c>
      <c r="D915" s="84">
        <v>42187</v>
      </c>
      <c r="E915" s="88">
        <f t="shared" si="84"/>
        <v>2015</v>
      </c>
      <c r="F915" s="89">
        <v>11454000000</v>
      </c>
      <c r="G915" s="89">
        <v>6646000000</v>
      </c>
      <c r="H915" s="89">
        <v>2855000000</v>
      </c>
      <c r="I915" s="89">
        <v>0</v>
      </c>
      <c r="J915" s="89">
        <v>0</v>
      </c>
      <c r="K915" s="87" t="s">
        <v>25</v>
      </c>
      <c r="L915" s="87" t="s">
        <v>263</v>
      </c>
      <c r="M915" s="90">
        <f t="shared" si="87"/>
        <v>4808000000</v>
      </c>
      <c r="N915" s="89">
        <f t="shared" si="88"/>
        <v>2855000000</v>
      </c>
      <c r="O915" s="89">
        <f t="shared" si="89"/>
        <v>1953000000</v>
      </c>
      <c r="P915" s="87">
        <f t="shared" si="85"/>
        <v>0.17050811943425878</v>
      </c>
      <c r="Q915" s="87">
        <f t="shared" si="86"/>
        <v>0.4197660206041558</v>
      </c>
    </row>
    <row r="916" spans="1:17">
      <c r="A916" s="83">
        <v>942</v>
      </c>
      <c r="B916" s="83" t="s">
        <v>355</v>
      </c>
      <c r="C916" s="83" t="s">
        <v>23</v>
      </c>
      <c r="D916" s="84">
        <v>42188</v>
      </c>
      <c r="E916" s="85">
        <f t="shared" si="84"/>
        <v>2015</v>
      </c>
      <c r="F916" s="86">
        <v>12154000000</v>
      </c>
      <c r="G916" s="86">
        <v>6950000000</v>
      </c>
      <c r="H916" s="86">
        <v>3012000000</v>
      </c>
      <c r="I916" s="86">
        <v>0</v>
      </c>
      <c r="J916" s="86">
        <v>0</v>
      </c>
      <c r="K916" s="83" t="s">
        <v>25</v>
      </c>
      <c r="L916" s="83" t="s">
        <v>263</v>
      </c>
      <c r="M916" s="91">
        <f t="shared" si="87"/>
        <v>5204000000</v>
      </c>
      <c r="N916" s="86">
        <f t="shared" si="88"/>
        <v>3012000000</v>
      </c>
      <c r="O916" s="86">
        <f t="shared" si="89"/>
        <v>2192000000</v>
      </c>
      <c r="P916" s="83">
        <f t="shared" si="85"/>
        <v>0.18035214744117162</v>
      </c>
      <c r="Q916" s="83">
        <f t="shared" si="86"/>
        <v>0.42817179529373051</v>
      </c>
    </row>
    <row r="917" spans="1:17">
      <c r="A917" s="87">
        <v>943</v>
      </c>
      <c r="B917" s="87" t="s">
        <v>356</v>
      </c>
      <c r="C917" s="87" t="s">
        <v>18</v>
      </c>
      <c r="D917" s="84">
        <v>42189</v>
      </c>
      <c r="E917" s="88">
        <f t="shared" si="84"/>
        <v>2015</v>
      </c>
      <c r="F917" s="89">
        <v>3414500000</v>
      </c>
      <c r="G917" s="89">
        <v>2718900000</v>
      </c>
      <c r="H917" s="89">
        <v>346100000</v>
      </c>
      <c r="I917" s="89">
        <v>0</v>
      </c>
      <c r="J917" s="89">
        <v>25100000</v>
      </c>
      <c r="K917" s="87" t="s">
        <v>19</v>
      </c>
      <c r="L917" s="87" t="s">
        <v>170</v>
      </c>
      <c r="M917" s="90">
        <f t="shared" si="87"/>
        <v>695600000</v>
      </c>
      <c r="N917" s="89">
        <f t="shared" si="88"/>
        <v>371200000</v>
      </c>
      <c r="O917" s="89">
        <f t="shared" si="89"/>
        <v>324400000</v>
      </c>
      <c r="P917" s="87">
        <f t="shared" si="85"/>
        <v>9.5006589544589251E-2</v>
      </c>
      <c r="Q917" s="87">
        <f t="shared" si="86"/>
        <v>0.20371943183482211</v>
      </c>
    </row>
    <row r="918" spans="1:17">
      <c r="A918" s="83">
        <v>944</v>
      </c>
      <c r="B918" s="83" t="s">
        <v>356</v>
      </c>
      <c r="C918" s="83" t="s">
        <v>21</v>
      </c>
      <c r="D918" s="84">
        <v>42190</v>
      </c>
      <c r="E918" s="85">
        <f t="shared" si="84"/>
        <v>2015</v>
      </c>
      <c r="F918" s="86">
        <v>3477200000</v>
      </c>
      <c r="G918" s="86">
        <v>2767300000</v>
      </c>
      <c r="H918" s="86">
        <v>346900000</v>
      </c>
      <c r="I918" s="86">
        <v>0</v>
      </c>
      <c r="J918" s="86">
        <v>25400000</v>
      </c>
      <c r="K918" s="83" t="s">
        <v>19</v>
      </c>
      <c r="L918" s="83" t="s">
        <v>170</v>
      </c>
      <c r="M918" s="91">
        <f t="shared" si="87"/>
        <v>709900000</v>
      </c>
      <c r="N918" s="86">
        <f t="shared" si="88"/>
        <v>372300000</v>
      </c>
      <c r="O918" s="86">
        <f t="shared" si="89"/>
        <v>337600000</v>
      </c>
      <c r="P918" s="83">
        <f t="shared" si="85"/>
        <v>9.7089612331761194E-2</v>
      </c>
      <c r="Q918" s="83">
        <f t="shared" si="86"/>
        <v>0.20415851834809617</v>
      </c>
    </row>
    <row r="919" spans="1:17">
      <c r="A919" s="87">
        <v>945</v>
      </c>
      <c r="B919" s="87" t="s">
        <v>356</v>
      </c>
      <c r="C919" s="87" t="s">
        <v>22</v>
      </c>
      <c r="D919" s="84">
        <v>42191</v>
      </c>
      <c r="E919" s="88">
        <f t="shared" si="84"/>
        <v>2015</v>
      </c>
      <c r="F919" s="89">
        <v>3782300000</v>
      </c>
      <c r="G919" s="89">
        <v>2991900000</v>
      </c>
      <c r="H919" s="89">
        <v>439200000</v>
      </c>
      <c r="I919" s="89">
        <v>0</v>
      </c>
      <c r="J919" s="89">
        <v>19700000</v>
      </c>
      <c r="K919" s="87" t="s">
        <v>19</v>
      </c>
      <c r="L919" s="87" t="s">
        <v>170</v>
      </c>
      <c r="M919" s="90">
        <f t="shared" si="87"/>
        <v>790400000</v>
      </c>
      <c r="N919" s="89">
        <f t="shared" si="88"/>
        <v>458900000</v>
      </c>
      <c r="O919" s="89">
        <f t="shared" si="89"/>
        <v>331500000</v>
      </c>
      <c r="P919" s="87">
        <f t="shared" si="85"/>
        <v>8.7645083679242786E-2</v>
      </c>
      <c r="Q919" s="87">
        <f t="shared" si="86"/>
        <v>0.20897337598815535</v>
      </c>
    </row>
    <row r="920" spans="1:17">
      <c r="A920" s="83">
        <v>946</v>
      </c>
      <c r="B920" s="83" t="s">
        <v>356</v>
      </c>
      <c r="C920" s="83" t="s">
        <v>23</v>
      </c>
      <c r="D920" s="84">
        <v>42192</v>
      </c>
      <c r="E920" s="85">
        <f t="shared" si="84"/>
        <v>2015</v>
      </c>
      <c r="F920" s="86">
        <v>3917200000</v>
      </c>
      <c r="G920" s="86">
        <v>2994000000</v>
      </c>
      <c r="H920" s="86">
        <v>411800000</v>
      </c>
      <c r="I920" s="86">
        <v>0</v>
      </c>
      <c r="J920" s="86">
        <v>20800000</v>
      </c>
      <c r="K920" s="83" t="s">
        <v>19</v>
      </c>
      <c r="L920" s="83" t="s">
        <v>170</v>
      </c>
      <c r="M920" s="91">
        <f t="shared" si="87"/>
        <v>923200000</v>
      </c>
      <c r="N920" s="86">
        <f t="shared" si="88"/>
        <v>432600000</v>
      </c>
      <c r="O920" s="86">
        <f t="shared" si="89"/>
        <v>490600000</v>
      </c>
      <c r="P920" s="83">
        <f t="shared" si="85"/>
        <v>0.12524252016746656</v>
      </c>
      <c r="Q920" s="83">
        <f t="shared" si="86"/>
        <v>0.23567854590013271</v>
      </c>
    </row>
    <row r="921" spans="1:17">
      <c r="A921" s="87">
        <v>947</v>
      </c>
      <c r="B921" s="87" t="s">
        <v>357</v>
      </c>
      <c r="C921" s="87" t="s">
        <v>18</v>
      </c>
      <c r="D921" s="84">
        <v>42193</v>
      </c>
      <c r="E921" s="88">
        <f t="shared" si="84"/>
        <v>2015</v>
      </c>
      <c r="F921" s="89">
        <v>5935095000</v>
      </c>
      <c r="G921" s="89">
        <v>4920664000</v>
      </c>
      <c r="H921" s="89">
        <v>328595000</v>
      </c>
      <c r="I921" s="89">
        <v>0</v>
      </c>
      <c r="J921" s="89">
        <v>0</v>
      </c>
      <c r="K921" s="87" t="s">
        <v>25</v>
      </c>
      <c r="L921" s="87" t="s">
        <v>207</v>
      </c>
      <c r="M921" s="90">
        <f t="shared" si="87"/>
        <v>1014431000</v>
      </c>
      <c r="N921" s="89">
        <f t="shared" si="88"/>
        <v>328595000</v>
      </c>
      <c r="O921" s="89">
        <f t="shared" si="89"/>
        <v>685836000</v>
      </c>
      <c r="P921" s="87">
        <f t="shared" si="85"/>
        <v>0.11555602732559463</v>
      </c>
      <c r="Q921" s="87">
        <f t="shared" si="86"/>
        <v>0.17092076874927864</v>
      </c>
    </row>
    <row r="922" spans="1:17">
      <c r="A922" s="83">
        <v>948</v>
      </c>
      <c r="B922" s="83" t="s">
        <v>357</v>
      </c>
      <c r="C922" s="83" t="s">
        <v>21</v>
      </c>
      <c r="D922" s="84">
        <v>42194</v>
      </c>
      <c r="E922" s="85">
        <f t="shared" si="84"/>
        <v>2015</v>
      </c>
      <c r="F922" s="86">
        <v>7779812000</v>
      </c>
      <c r="G922" s="86">
        <v>6336272000</v>
      </c>
      <c r="H922" s="86">
        <v>521502000</v>
      </c>
      <c r="I922" s="86">
        <v>0</v>
      </c>
      <c r="J922" s="86">
        <v>0</v>
      </c>
      <c r="K922" s="83" t="s">
        <v>25</v>
      </c>
      <c r="L922" s="83" t="s">
        <v>207</v>
      </c>
      <c r="M922" s="91">
        <f t="shared" si="87"/>
        <v>1443540000</v>
      </c>
      <c r="N922" s="86">
        <f t="shared" si="88"/>
        <v>521502000</v>
      </c>
      <c r="O922" s="86">
        <f t="shared" si="89"/>
        <v>922038000</v>
      </c>
      <c r="P922" s="83">
        <f t="shared" si="85"/>
        <v>0.11851674564886658</v>
      </c>
      <c r="Q922" s="83">
        <f t="shared" si="86"/>
        <v>0.18554947086124962</v>
      </c>
    </row>
    <row r="923" spans="1:17">
      <c r="A923" s="87">
        <v>949</v>
      </c>
      <c r="B923" s="87" t="s">
        <v>357</v>
      </c>
      <c r="C923" s="87" t="s">
        <v>22</v>
      </c>
      <c r="D923" s="84">
        <v>42195</v>
      </c>
      <c r="E923" s="88">
        <f t="shared" si="84"/>
        <v>2015</v>
      </c>
      <c r="F923" s="89">
        <v>9474008000</v>
      </c>
      <c r="G923" s="89">
        <v>7757571000</v>
      </c>
      <c r="H923" s="89">
        <v>630421000</v>
      </c>
      <c r="I923" s="89">
        <v>0</v>
      </c>
      <c r="J923" s="89">
        <v>0</v>
      </c>
      <c r="K923" s="87" t="s">
        <v>25</v>
      </c>
      <c r="L923" s="87" t="s">
        <v>207</v>
      </c>
      <c r="M923" s="90">
        <f t="shared" si="87"/>
        <v>1716437000</v>
      </c>
      <c r="N923" s="89">
        <f t="shared" si="88"/>
        <v>630421000</v>
      </c>
      <c r="O923" s="89">
        <f t="shared" si="89"/>
        <v>1086016000</v>
      </c>
      <c r="P923" s="87">
        <f t="shared" si="85"/>
        <v>0.1146311043858101</v>
      </c>
      <c r="Q923" s="87">
        <f t="shared" si="86"/>
        <v>0.18117326901138353</v>
      </c>
    </row>
    <row r="924" spans="1:17">
      <c r="A924" s="83">
        <v>950</v>
      </c>
      <c r="B924" s="83" t="s">
        <v>357</v>
      </c>
      <c r="C924" s="83" t="s">
        <v>23</v>
      </c>
      <c r="D924" s="84">
        <v>42196</v>
      </c>
      <c r="E924" s="85">
        <f t="shared" si="84"/>
        <v>2015</v>
      </c>
      <c r="F924" s="86">
        <v>10949999000</v>
      </c>
      <c r="G924" s="86">
        <v>8923519000</v>
      </c>
      <c r="H924" s="86">
        <v>764117000</v>
      </c>
      <c r="I924" s="86">
        <v>0</v>
      </c>
      <c r="J924" s="86">
        <v>0</v>
      </c>
      <c r="K924" s="83" t="s">
        <v>25</v>
      </c>
      <c r="L924" s="83" t="s">
        <v>207</v>
      </c>
      <c r="M924" s="91">
        <f t="shared" si="87"/>
        <v>2026480000</v>
      </c>
      <c r="N924" s="86">
        <f t="shared" si="88"/>
        <v>764117000</v>
      </c>
      <c r="O924" s="86">
        <f t="shared" si="89"/>
        <v>1262363000</v>
      </c>
      <c r="P924" s="83">
        <f t="shared" si="85"/>
        <v>0.11528430276568975</v>
      </c>
      <c r="Q924" s="83">
        <f t="shared" si="86"/>
        <v>0.1850666835677337</v>
      </c>
    </row>
    <row r="925" spans="1:17">
      <c r="A925" s="87">
        <v>951</v>
      </c>
      <c r="B925" s="87" t="s">
        <v>358</v>
      </c>
      <c r="C925" s="87" t="s">
        <v>18</v>
      </c>
      <c r="D925" s="84">
        <v>42197</v>
      </c>
      <c r="E925" s="88">
        <f t="shared" si="84"/>
        <v>2015</v>
      </c>
      <c r="F925" s="89">
        <v>5671400000</v>
      </c>
      <c r="G925" s="89">
        <v>3421700000</v>
      </c>
      <c r="H925" s="89">
        <v>1114600000</v>
      </c>
      <c r="I925" s="89">
        <v>0</v>
      </c>
      <c r="J925" s="89">
        <v>86300000</v>
      </c>
      <c r="K925" s="87" t="s">
        <v>31</v>
      </c>
      <c r="L925" s="87" t="s">
        <v>205</v>
      </c>
      <c r="M925" s="90">
        <f t="shared" si="87"/>
        <v>2249700000</v>
      </c>
      <c r="N925" s="89">
        <f t="shared" si="88"/>
        <v>1200900000</v>
      </c>
      <c r="O925" s="89">
        <f t="shared" si="89"/>
        <v>1048800000</v>
      </c>
      <c r="P925" s="87">
        <f t="shared" si="85"/>
        <v>0.18492788376767641</v>
      </c>
      <c r="Q925" s="87">
        <f t="shared" si="86"/>
        <v>0.39667454244101985</v>
      </c>
    </row>
    <row r="926" spans="1:17">
      <c r="A926" s="83">
        <v>952</v>
      </c>
      <c r="B926" s="83" t="s">
        <v>358</v>
      </c>
      <c r="C926" s="83" t="s">
        <v>21</v>
      </c>
      <c r="D926" s="84">
        <v>42198</v>
      </c>
      <c r="E926" s="85">
        <f t="shared" si="84"/>
        <v>2015</v>
      </c>
      <c r="F926" s="86">
        <v>5808300000</v>
      </c>
      <c r="G926" s="86">
        <v>3585100000</v>
      </c>
      <c r="H926" s="86">
        <v>1128800000</v>
      </c>
      <c r="I926" s="86">
        <v>0</v>
      </c>
      <c r="J926" s="86">
        <v>81700000</v>
      </c>
      <c r="K926" s="83" t="s">
        <v>31</v>
      </c>
      <c r="L926" s="83" t="s">
        <v>205</v>
      </c>
      <c r="M926" s="91">
        <f t="shared" si="87"/>
        <v>2223200000</v>
      </c>
      <c r="N926" s="86">
        <f t="shared" si="88"/>
        <v>1210500000</v>
      </c>
      <c r="O926" s="86">
        <f t="shared" si="89"/>
        <v>1012700000</v>
      </c>
      <c r="P926" s="83">
        <f t="shared" si="85"/>
        <v>0.17435394177298005</v>
      </c>
      <c r="Q926" s="83">
        <f t="shared" si="86"/>
        <v>0.3827625983506362</v>
      </c>
    </row>
    <row r="927" spans="1:17">
      <c r="A927" s="87">
        <v>953</v>
      </c>
      <c r="B927" s="87" t="s">
        <v>358</v>
      </c>
      <c r="C927" s="87" t="s">
        <v>22</v>
      </c>
      <c r="D927" s="84">
        <v>42199</v>
      </c>
      <c r="E927" s="88">
        <f t="shared" si="84"/>
        <v>2015</v>
      </c>
      <c r="F927" s="89">
        <v>6011600000</v>
      </c>
      <c r="G927" s="89">
        <v>3808500000</v>
      </c>
      <c r="H927" s="89">
        <v>1198200000</v>
      </c>
      <c r="I927" s="89">
        <v>0</v>
      </c>
      <c r="J927" s="89">
        <v>76700000</v>
      </c>
      <c r="K927" s="87" t="s">
        <v>31</v>
      </c>
      <c r="L927" s="87" t="s">
        <v>205</v>
      </c>
      <c r="M927" s="90">
        <f t="shared" si="87"/>
        <v>2203100000</v>
      </c>
      <c r="N927" s="89">
        <f t="shared" si="88"/>
        <v>1274900000</v>
      </c>
      <c r="O927" s="89">
        <f t="shared" si="89"/>
        <v>928200000</v>
      </c>
      <c r="P927" s="87">
        <f t="shared" si="85"/>
        <v>0.15440149045179319</v>
      </c>
      <c r="Q927" s="87">
        <f t="shared" si="86"/>
        <v>0.36647481535697646</v>
      </c>
    </row>
    <row r="928" spans="1:17">
      <c r="A928" s="83">
        <v>954</v>
      </c>
      <c r="B928" s="83" t="s">
        <v>358</v>
      </c>
      <c r="C928" s="83" t="s">
        <v>23</v>
      </c>
      <c r="D928" s="84">
        <v>42200</v>
      </c>
      <c r="E928" s="85">
        <f t="shared" si="84"/>
        <v>2015</v>
      </c>
      <c r="F928" s="86">
        <v>8680100000</v>
      </c>
      <c r="G928" s="86">
        <v>5776800000</v>
      </c>
      <c r="H928" s="86">
        <v>1622000000</v>
      </c>
      <c r="I928" s="86">
        <v>0</v>
      </c>
      <c r="J928" s="86">
        <v>164500000</v>
      </c>
      <c r="K928" s="83" t="s">
        <v>31</v>
      </c>
      <c r="L928" s="83" t="s">
        <v>205</v>
      </c>
      <c r="M928" s="91">
        <f t="shared" si="87"/>
        <v>2903300000</v>
      </c>
      <c r="N928" s="86">
        <f t="shared" si="88"/>
        <v>1786500000</v>
      </c>
      <c r="O928" s="86">
        <f t="shared" si="89"/>
        <v>1116800000</v>
      </c>
      <c r="P928" s="83">
        <f t="shared" si="85"/>
        <v>0.12866211218764761</v>
      </c>
      <c r="Q928" s="83">
        <f t="shared" si="86"/>
        <v>0.33447771339039878</v>
      </c>
    </row>
    <row r="929" spans="1:17">
      <c r="A929" s="87">
        <v>955</v>
      </c>
      <c r="B929" s="87" t="s">
        <v>359</v>
      </c>
      <c r="C929" s="87" t="s">
        <v>18</v>
      </c>
      <c r="D929" s="84">
        <v>42201</v>
      </c>
      <c r="E929" s="88">
        <f t="shared" si="84"/>
        <v>2015</v>
      </c>
      <c r="F929" s="89">
        <v>4122930000</v>
      </c>
      <c r="G929" s="89">
        <v>2398790000</v>
      </c>
      <c r="H929" s="89">
        <v>1219343000</v>
      </c>
      <c r="I929" s="89">
        <v>0</v>
      </c>
      <c r="J929" s="89">
        <v>64093000</v>
      </c>
      <c r="K929" s="87" t="s">
        <v>25</v>
      </c>
      <c r="L929" s="87" t="s">
        <v>360</v>
      </c>
      <c r="M929" s="90">
        <f t="shared" si="87"/>
        <v>1724140000</v>
      </c>
      <c r="N929" s="89">
        <f t="shared" si="88"/>
        <v>1283436000</v>
      </c>
      <c r="O929" s="89">
        <f t="shared" si="89"/>
        <v>440704000</v>
      </c>
      <c r="P929" s="87">
        <f t="shared" si="85"/>
        <v>0.10689097316714084</v>
      </c>
      <c r="Q929" s="87">
        <f t="shared" si="86"/>
        <v>0.41818318525902698</v>
      </c>
    </row>
    <row r="930" spans="1:17">
      <c r="A930" s="83">
        <v>956</v>
      </c>
      <c r="B930" s="83" t="s">
        <v>359</v>
      </c>
      <c r="C930" s="83" t="s">
        <v>21</v>
      </c>
      <c r="D930" s="84">
        <v>42202</v>
      </c>
      <c r="E930" s="85">
        <f t="shared" si="84"/>
        <v>2015</v>
      </c>
      <c r="F930" s="86">
        <v>5062528000</v>
      </c>
      <c r="G930" s="86">
        <v>2987126000</v>
      </c>
      <c r="H930" s="86">
        <v>1454080000</v>
      </c>
      <c r="I930" s="86">
        <v>0</v>
      </c>
      <c r="J930" s="86">
        <v>80969000</v>
      </c>
      <c r="K930" s="83" t="s">
        <v>25</v>
      </c>
      <c r="L930" s="83" t="s">
        <v>360</v>
      </c>
      <c r="M930" s="91">
        <f t="shared" si="87"/>
        <v>2075402000</v>
      </c>
      <c r="N930" s="86">
        <f t="shared" si="88"/>
        <v>1535049000</v>
      </c>
      <c r="O930" s="86">
        <f t="shared" si="89"/>
        <v>540353000</v>
      </c>
      <c r="P930" s="83">
        <f t="shared" si="85"/>
        <v>0.10673580472048748</v>
      </c>
      <c r="Q930" s="83">
        <f t="shared" si="86"/>
        <v>0.40995368321913483</v>
      </c>
    </row>
    <row r="931" spans="1:17">
      <c r="A931" s="87">
        <v>957</v>
      </c>
      <c r="B931" s="87" t="s">
        <v>359</v>
      </c>
      <c r="C931" s="87" t="s">
        <v>22</v>
      </c>
      <c r="D931" s="84">
        <v>42203</v>
      </c>
      <c r="E931" s="88">
        <f t="shared" si="84"/>
        <v>2015</v>
      </c>
      <c r="F931" s="89">
        <v>6740064000</v>
      </c>
      <c r="G931" s="89">
        <v>4088151000</v>
      </c>
      <c r="H931" s="89">
        <v>1866520000</v>
      </c>
      <c r="I931" s="89">
        <v>0</v>
      </c>
      <c r="J931" s="89">
        <v>120719000</v>
      </c>
      <c r="K931" s="87" t="s">
        <v>25</v>
      </c>
      <c r="L931" s="87" t="s">
        <v>360</v>
      </c>
      <c r="M931" s="90">
        <f t="shared" si="87"/>
        <v>2651913000</v>
      </c>
      <c r="N931" s="89">
        <f t="shared" si="88"/>
        <v>1987239000</v>
      </c>
      <c r="O931" s="89">
        <f t="shared" si="89"/>
        <v>664674000</v>
      </c>
      <c r="P931" s="87">
        <f t="shared" si="85"/>
        <v>9.8615384067569686E-2</v>
      </c>
      <c r="Q931" s="87">
        <f t="shared" si="86"/>
        <v>0.39345516600435837</v>
      </c>
    </row>
    <row r="932" spans="1:17">
      <c r="A932" s="83">
        <v>958</v>
      </c>
      <c r="B932" s="83" t="s">
        <v>359</v>
      </c>
      <c r="C932" s="83" t="s">
        <v>23</v>
      </c>
      <c r="D932" s="84">
        <v>42204</v>
      </c>
      <c r="E932" s="85">
        <f t="shared" si="84"/>
        <v>2015</v>
      </c>
      <c r="F932" s="86">
        <v>7192633000</v>
      </c>
      <c r="G932" s="86">
        <v>4359104000</v>
      </c>
      <c r="H932" s="86">
        <v>1987271000</v>
      </c>
      <c r="I932" s="86">
        <v>0</v>
      </c>
      <c r="J932" s="86">
        <v>122120000</v>
      </c>
      <c r="K932" s="83" t="s">
        <v>25</v>
      </c>
      <c r="L932" s="83" t="s">
        <v>360</v>
      </c>
      <c r="M932" s="91">
        <f t="shared" si="87"/>
        <v>2833529000</v>
      </c>
      <c r="N932" s="86">
        <f t="shared" si="88"/>
        <v>2109391000</v>
      </c>
      <c r="O932" s="86">
        <f t="shared" si="89"/>
        <v>724138000</v>
      </c>
      <c r="P932" s="83">
        <f t="shared" si="85"/>
        <v>0.10067773512147776</v>
      </c>
      <c r="Q932" s="83">
        <f t="shared" si="86"/>
        <v>0.39394878064819938</v>
      </c>
    </row>
    <row r="933" spans="1:17">
      <c r="A933" s="87">
        <v>959</v>
      </c>
      <c r="B933" s="87" t="s">
        <v>361</v>
      </c>
      <c r="C933" s="87" t="s">
        <v>18</v>
      </c>
      <c r="D933" s="84">
        <v>42205</v>
      </c>
      <c r="E933" s="88">
        <f t="shared" si="84"/>
        <v>2015</v>
      </c>
      <c r="F933" s="89">
        <v>13107000000</v>
      </c>
      <c r="G933" s="89">
        <v>11799000000</v>
      </c>
      <c r="H933" s="89">
        <v>0</v>
      </c>
      <c r="I933" s="89">
        <v>0</v>
      </c>
      <c r="J933" s="89">
        <v>0</v>
      </c>
      <c r="K933" s="87" t="s">
        <v>19</v>
      </c>
      <c r="L933" s="87" t="s">
        <v>170</v>
      </c>
      <c r="M933" s="90">
        <f t="shared" si="87"/>
        <v>1308000000</v>
      </c>
      <c r="N933" s="89">
        <f t="shared" si="88"/>
        <v>0</v>
      </c>
      <c r="O933" s="89">
        <f t="shared" si="89"/>
        <v>1308000000</v>
      </c>
      <c r="P933" s="87">
        <f t="shared" si="85"/>
        <v>9.9794003204394605E-2</v>
      </c>
      <c r="Q933" s="87">
        <f t="shared" si="86"/>
        <v>9.9794003204394577E-2</v>
      </c>
    </row>
    <row r="934" spans="1:17">
      <c r="A934" s="83">
        <v>960</v>
      </c>
      <c r="B934" s="83" t="s">
        <v>361</v>
      </c>
      <c r="C934" s="83" t="s">
        <v>21</v>
      </c>
      <c r="D934" s="84">
        <v>42206</v>
      </c>
      <c r="E934" s="85">
        <f t="shared" si="84"/>
        <v>2015</v>
      </c>
      <c r="F934" s="86">
        <v>11420000000</v>
      </c>
      <c r="G934" s="86">
        <v>10303000000</v>
      </c>
      <c r="H934" s="86">
        <v>0</v>
      </c>
      <c r="I934" s="86">
        <v>0</v>
      </c>
      <c r="J934" s="86">
        <v>0</v>
      </c>
      <c r="K934" s="83" t="s">
        <v>19</v>
      </c>
      <c r="L934" s="83" t="s">
        <v>170</v>
      </c>
      <c r="M934" s="91">
        <f t="shared" si="87"/>
        <v>1117000000</v>
      </c>
      <c r="N934" s="86">
        <f t="shared" si="88"/>
        <v>0</v>
      </c>
      <c r="O934" s="86">
        <f t="shared" si="89"/>
        <v>1117000000</v>
      </c>
      <c r="P934" s="83">
        <f t="shared" si="85"/>
        <v>9.781085814360771E-2</v>
      </c>
      <c r="Q934" s="83">
        <f t="shared" si="86"/>
        <v>9.7810858143607682E-2</v>
      </c>
    </row>
    <row r="935" spans="1:17">
      <c r="A935" s="87">
        <v>961</v>
      </c>
      <c r="B935" s="87" t="s">
        <v>361</v>
      </c>
      <c r="C935" s="87" t="s">
        <v>22</v>
      </c>
      <c r="D935" s="84">
        <v>42207</v>
      </c>
      <c r="E935" s="88">
        <f t="shared" si="84"/>
        <v>2015</v>
      </c>
      <c r="F935" s="89">
        <v>10986000000</v>
      </c>
      <c r="G935" s="89">
        <v>9974000000</v>
      </c>
      <c r="H935" s="89">
        <v>0</v>
      </c>
      <c r="I935" s="89">
        <v>0</v>
      </c>
      <c r="J935" s="89">
        <v>0</v>
      </c>
      <c r="K935" s="87" t="s">
        <v>19</v>
      </c>
      <c r="L935" s="87" t="s">
        <v>170</v>
      </c>
      <c r="M935" s="90">
        <f t="shared" si="87"/>
        <v>1012000000</v>
      </c>
      <c r="N935" s="89">
        <f t="shared" si="88"/>
        <v>0</v>
      </c>
      <c r="O935" s="89">
        <f t="shared" si="89"/>
        <v>1012000000</v>
      </c>
      <c r="P935" s="87">
        <f t="shared" si="85"/>
        <v>9.2117240123793923E-2</v>
      </c>
      <c r="Q935" s="87">
        <f t="shared" si="86"/>
        <v>9.2117240123793964E-2</v>
      </c>
    </row>
    <row r="936" spans="1:17">
      <c r="A936" s="83">
        <v>962</v>
      </c>
      <c r="B936" s="83" t="s">
        <v>361</v>
      </c>
      <c r="C936" s="83" t="s">
        <v>23</v>
      </c>
      <c r="D936" s="84">
        <v>42208</v>
      </c>
      <c r="E936" s="85">
        <f t="shared" si="84"/>
        <v>2015</v>
      </c>
      <c r="F936" s="86">
        <v>10466000000</v>
      </c>
      <c r="G936" s="86">
        <v>9576000000</v>
      </c>
      <c r="H936" s="86">
        <v>0</v>
      </c>
      <c r="I936" s="86">
        <v>0</v>
      </c>
      <c r="J936" s="86">
        <v>0</v>
      </c>
      <c r="K936" s="83" t="s">
        <v>19</v>
      </c>
      <c r="L936" s="83" t="s">
        <v>170</v>
      </c>
      <c r="M936" s="91">
        <f t="shared" si="87"/>
        <v>890000000</v>
      </c>
      <c r="N936" s="86">
        <f t="shared" si="88"/>
        <v>0</v>
      </c>
      <c r="O936" s="86">
        <f t="shared" si="89"/>
        <v>890000000</v>
      </c>
      <c r="P936" s="83">
        <f t="shared" si="85"/>
        <v>8.503726351996943E-2</v>
      </c>
      <c r="Q936" s="83">
        <f t="shared" si="86"/>
        <v>8.503726351996943E-2</v>
      </c>
    </row>
    <row r="937" spans="1:17">
      <c r="A937" s="87">
        <v>963</v>
      </c>
      <c r="B937" s="87" t="s">
        <v>362</v>
      </c>
      <c r="C937" s="87" t="s">
        <v>18</v>
      </c>
      <c r="D937" s="84">
        <v>42209</v>
      </c>
      <c r="E937" s="88">
        <f t="shared" si="84"/>
        <v>2015</v>
      </c>
      <c r="F937" s="89">
        <v>1282236000</v>
      </c>
      <c r="G937" s="89">
        <v>322516000</v>
      </c>
      <c r="H937" s="89">
        <v>151382000</v>
      </c>
      <c r="I937" s="89">
        <v>235184000</v>
      </c>
      <c r="J937" s="89">
        <v>0</v>
      </c>
      <c r="K937" s="87" t="s">
        <v>28</v>
      </c>
      <c r="L937" s="87" t="s">
        <v>40</v>
      </c>
      <c r="M937" s="90">
        <f t="shared" si="87"/>
        <v>959720000</v>
      </c>
      <c r="N937" s="89">
        <f t="shared" si="88"/>
        <v>386566000</v>
      </c>
      <c r="O937" s="89">
        <f t="shared" si="89"/>
        <v>573154000</v>
      </c>
      <c r="P937" s="87">
        <f t="shared" si="85"/>
        <v>0.4469957168571152</v>
      </c>
      <c r="Q937" s="87">
        <f t="shared" si="86"/>
        <v>0.74847375990067344</v>
      </c>
    </row>
    <row r="938" spans="1:17">
      <c r="A938" s="83">
        <v>964</v>
      </c>
      <c r="B938" s="83" t="s">
        <v>362</v>
      </c>
      <c r="C938" s="83" t="s">
        <v>21</v>
      </c>
      <c r="D938" s="84">
        <v>42210</v>
      </c>
      <c r="E938" s="85">
        <f t="shared" si="84"/>
        <v>2015</v>
      </c>
      <c r="F938" s="86">
        <v>1388386000</v>
      </c>
      <c r="G938" s="86">
        <v>338580000</v>
      </c>
      <c r="H938" s="86">
        <v>159642000</v>
      </c>
      <c r="I938" s="86">
        <v>250434000</v>
      </c>
      <c r="J938" s="86">
        <v>0</v>
      </c>
      <c r="K938" s="83" t="s">
        <v>28</v>
      </c>
      <c r="L938" s="83" t="s">
        <v>40</v>
      </c>
      <c r="M938" s="91">
        <f t="shared" si="87"/>
        <v>1049806000</v>
      </c>
      <c r="N938" s="86">
        <f t="shared" si="88"/>
        <v>410076000</v>
      </c>
      <c r="O938" s="86">
        <f t="shared" si="89"/>
        <v>639730000</v>
      </c>
      <c r="P938" s="83">
        <f t="shared" si="85"/>
        <v>0.46077243648380206</v>
      </c>
      <c r="Q938" s="83">
        <f t="shared" si="86"/>
        <v>0.75613410103530287</v>
      </c>
    </row>
    <row r="939" spans="1:17">
      <c r="A939" s="87">
        <v>965</v>
      </c>
      <c r="B939" s="87" t="s">
        <v>362</v>
      </c>
      <c r="C939" s="87" t="s">
        <v>22</v>
      </c>
      <c r="D939" s="84">
        <v>42211</v>
      </c>
      <c r="E939" s="88">
        <f t="shared" si="84"/>
        <v>2015</v>
      </c>
      <c r="F939" s="89">
        <v>1475139000</v>
      </c>
      <c r="G939" s="89">
        <v>355727000</v>
      </c>
      <c r="H939" s="89">
        <v>169952000</v>
      </c>
      <c r="I939" s="89">
        <v>266761000</v>
      </c>
      <c r="J939" s="89">
        <v>0</v>
      </c>
      <c r="K939" s="87" t="s">
        <v>28</v>
      </c>
      <c r="L939" s="87" t="s">
        <v>40</v>
      </c>
      <c r="M939" s="90">
        <f t="shared" si="87"/>
        <v>1119412000</v>
      </c>
      <c r="N939" s="89">
        <f t="shared" si="88"/>
        <v>436713000</v>
      </c>
      <c r="O939" s="89">
        <f t="shared" si="89"/>
        <v>682699000</v>
      </c>
      <c r="P939" s="87">
        <f t="shared" si="85"/>
        <v>0.46280316634567997</v>
      </c>
      <c r="Q939" s="87">
        <f t="shared" si="86"/>
        <v>0.75885187768745865</v>
      </c>
    </row>
    <row r="940" spans="1:17">
      <c r="A940" s="83">
        <v>966</v>
      </c>
      <c r="B940" s="83" t="s">
        <v>362</v>
      </c>
      <c r="C940" s="83" t="s">
        <v>23</v>
      </c>
      <c r="D940" s="84">
        <v>42212</v>
      </c>
      <c r="E940" s="85">
        <f t="shared" si="84"/>
        <v>2015</v>
      </c>
      <c r="F940" s="86">
        <v>1423936000</v>
      </c>
      <c r="G940" s="86">
        <v>343801000</v>
      </c>
      <c r="H940" s="86">
        <v>170120000</v>
      </c>
      <c r="I940" s="86">
        <v>276462000</v>
      </c>
      <c r="J940" s="86">
        <v>0</v>
      </c>
      <c r="K940" s="83" t="s">
        <v>28</v>
      </c>
      <c r="L940" s="83" t="s">
        <v>40</v>
      </c>
      <c r="M940" s="91">
        <f t="shared" si="87"/>
        <v>1080135000</v>
      </c>
      <c r="N940" s="86">
        <f t="shared" si="88"/>
        <v>446582000</v>
      </c>
      <c r="O940" s="86">
        <f t="shared" si="89"/>
        <v>633553000</v>
      </c>
      <c r="P940" s="83">
        <f t="shared" si="85"/>
        <v>0.44493081149714592</v>
      </c>
      <c r="Q940" s="83">
        <f t="shared" si="86"/>
        <v>0.75855586206121628</v>
      </c>
    </row>
    <row r="941" spans="1:17">
      <c r="A941" s="87">
        <v>967</v>
      </c>
      <c r="B941" s="87" t="s">
        <v>363</v>
      </c>
      <c r="C941" s="87" t="s">
        <v>18</v>
      </c>
      <c r="D941" s="84">
        <v>42213</v>
      </c>
      <c r="E941" s="88">
        <f t="shared" si="84"/>
        <v>2015</v>
      </c>
      <c r="F941" s="89">
        <v>22603400000</v>
      </c>
      <c r="G941" s="89">
        <v>4796500000</v>
      </c>
      <c r="H941" s="89">
        <v>6839500000</v>
      </c>
      <c r="I941" s="89">
        <v>5278100000</v>
      </c>
      <c r="J941" s="89">
        <v>0</v>
      </c>
      <c r="K941" s="87" t="s">
        <v>31</v>
      </c>
      <c r="L941" s="87" t="s">
        <v>32</v>
      </c>
      <c r="M941" s="90">
        <f t="shared" si="87"/>
        <v>17806900000</v>
      </c>
      <c r="N941" s="89">
        <f t="shared" si="88"/>
        <v>12117600000</v>
      </c>
      <c r="O941" s="89">
        <f t="shared" si="89"/>
        <v>5689300000</v>
      </c>
      <c r="P941" s="87">
        <f t="shared" si="85"/>
        <v>0.25170107152021376</v>
      </c>
      <c r="Q941" s="87">
        <f t="shared" si="86"/>
        <v>0.78779741100896328</v>
      </c>
    </row>
    <row r="942" spans="1:17">
      <c r="A942" s="83">
        <v>968</v>
      </c>
      <c r="B942" s="83" t="s">
        <v>363</v>
      </c>
      <c r="C942" s="83" t="s">
        <v>21</v>
      </c>
      <c r="D942" s="84">
        <v>42214</v>
      </c>
      <c r="E942" s="85">
        <f t="shared" si="84"/>
        <v>2015</v>
      </c>
      <c r="F942" s="86">
        <v>23113100000</v>
      </c>
      <c r="G942" s="86">
        <v>4908100000</v>
      </c>
      <c r="H942" s="86">
        <v>6606700000</v>
      </c>
      <c r="I942" s="86">
        <v>5531300000</v>
      </c>
      <c r="J942" s="86">
        <v>0</v>
      </c>
      <c r="K942" s="83" t="s">
        <v>31</v>
      </c>
      <c r="L942" s="83" t="s">
        <v>32</v>
      </c>
      <c r="M942" s="91">
        <f t="shared" si="87"/>
        <v>18205000000</v>
      </c>
      <c r="N942" s="86">
        <f t="shared" si="88"/>
        <v>12138000000</v>
      </c>
      <c r="O942" s="86">
        <f t="shared" si="89"/>
        <v>6067000000</v>
      </c>
      <c r="P942" s="83">
        <f t="shared" si="85"/>
        <v>0.26249183363547079</v>
      </c>
      <c r="Q942" s="83">
        <f t="shared" si="86"/>
        <v>0.78764856293617036</v>
      </c>
    </row>
    <row r="943" spans="1:17">
      <c r="A943" s="87">
        <v>969</v>
      </c>
      <c r="B943" s="87" t="s">
        <v>363</v>
      </c>
      <c r="C943" s="87" t="s">
        <v>22</v>
      </c>
      <c r="D943" s="84">
        <v>42215</v>
      </c>
      <c r="E943" s="88">
        <f t="shared" si="84"/>
        <v>2015</v>
      </c>
      <c r="F943" s="89">
        <v>19615600000</v>
      </c>
      <c r="G943" s="89">
        <v>4932500000</v>
      </c>
      <c r="H943" s="89">
        <v>6280300000</v>
      </c>
      <c r="I943" s="89">
        <v>4733600000</v>
      </c>
      <c r="J943" s="89">
        <v>0</v>
      </c>
      <c r="K943" s="87" t="s">
        <v>31</v>
      </c>
      <c r="L943" s="87" t="s">
        <v>32</v>
      </c>
      <c r="M943" s="90">
        <f t="shared" si="87"/>
        <v>14683100000</v>
      </c>
      <c r="N943" s="89">
        <f t="shared" si="88"/>
        <v>11013900000</v>
      </c>
      <c r="O943" s="89">
        <f t="shared" si="89"/>
        <v>3669200000</v>
      </c>
      <c r="P943" s="87">
        <f t="shared" si="85"/>
        <v>0.18705520096249922</v>
      </c>
      <c r="Q943" s="87">
        <f t="shared" si="86"/>
        <v>0.74854197679398027</v>
      </c>
    </row>
    <row r="944" spans="1:17">
      <c r="A944" s="83">
        <v>970</v>
      </c>
      <c r="B944" s="83" t="s">
        <v>363</v>
      </c>
      <c r="C944" s="83" t="s">
        <v>23</v>
      </c>
      <c r="D944" s="84">
        <v>42216</v>
      </c>
      <c r="E944" s="85">
        <f t="shared" si="84"/>
        <v>2015</v>
      </c>
      <c r="F944" s="86">
        <v>19958700000</v>
      </c>
      <c r="G944" s="86">
        <v>5037200000</v>
      </c>
      <c r="H944" s="86">
        <v>6432400000</v>
      </c>
      <c r="I944" s="86">
        <v>4796400000</v>
      </c>
      <c r="J944" s="86">
        <v>0</v>
      </c>
      <c r="K944" s="83" t="s">
        <v>31</v>
      </c>
      <c r="L944" s="83" t="s">
        <v>32</v>
      </c>
      <c r="M944" s="91">
        <f t="shared" si="87"/>
        <v>14921500000</v>
      </c>
      <c r="N944" s="86">
        <f t="shared" si="88"/>
        <v>11228800000</v>
      </c>
      <c r="O944" s="86">
        <f t="shared" si="89"/>
        <v>3692700000</v>
      </c>
      <c r="P944" s="83">
        <f t="shared" si="85"/>
        <v>0.18501706022937367</v>
      </c>
      <c r="Q944" s="83">
        <f t="shared" si="86"/>
        <v>0.74761883288991771</v>
      </c>
    </row>
    <row r="945" spans="1:17">
      <c r="A945" s="87">
        <v>971</v>
      </c>
      <c r="B945" s="87" t="s">
        <v>364</v>
      </c>
      <c r="C945" s="87" t="s">
        <v>18</v>
      </c>
      <c r="D945" s="84">
        <v>42217</v>
      </c>
      <c r="E945" s="88">
        <f t="shared" si="84"/>
        <v>2015</v>
      </c>
      <c r="F945" s="89">
        <v>45358000000</v>
      </c>
      <c r="G945" s="89">
        <v>41171000000</v>
      </c>
      <c r="H945" s="89">
        <v>-318000000</v>
      </c>
      <c r="I945" s="89">
        <v>0</v>
      </c>
      <c r="J945" s="89">
        <v>0</v>
      </c>
      <c r="K945" s="87" t="s">
        <v>19</v>
      </c>
      <c r="L945" s="87" t="s">
        <v>97</v>
      </c>
      <c r="M945" s="90">
        <f t="shared" si="87"/>
        <v>4187000000</v>
      </c>
      <c r="N945" s="89">
        <f t="shared" si="88"/>
        <v>-318000000</v>
      </c>
      <c r="O945" s="89">
        <f t="shared" si="89"/>
        <v>4505000000</v>
      </c>
      <c r="P945" s="87">
        <f t="shared" si="85"/>
        <v>9.9320957714184935E-2</v>
      </c>
      <c r="Q945" s="87">
        <f t="shared" si="86"/>
        <v>9.2310066581418937E-2</v>
      </c>
    </row>
    <row r="946" spans="1:17">
      <c r="A946" s="83">
        <v>972</v>
      </c>
      <c r="B946" s="83" t="s">
        <v>364</v>
      </c>
      <c r="C946" s="83" t="s">
        <v>21</v>
      </c>
      <c r="D946" s="84">
        <v>42218</v>
      </c>
      <c r="E946" s="85">
        <f t="shared" si="84"/>
        <v>2015</v>
      </c>
      <c r="F946" s="86">
        <v>39946000000</v>
      </c>
      <c r="G946" s="86">
        <v>35263000000</v>
      </c>
      <c r="H946" s="86">
        <v>-329000000</v>
      </c>
      <c r="I946" s="86">
        <v>0</v>
      </c>
      <c r="J946" s="86">
        <v>0</v>
      </c>
      <c r="K946" s="83" t="s">
        <v>19</v>
      </c>
      <c r="L946" s="83" t="s">
        <v>97</v>
      </c>
      <c r="M946" s="91">
        <f t="shared" si="87"/>
        <v>4683000000</v>
      </c>
      <c r="N946" s="86">
        <f t="shared" si="88"/>
        <v>-329000000</v>
      </c>
      <c r="O946" s="86">
        <f t="shared" si="89"/>
        <v>5012000000</v>
      </c>
      <c r="P946" s="83">
        <f t="shared" si="85"/>
        <v>0.12546938366795174</v>
      </c>
      <c r="Q946" s="83">
        <f t="shared" si="86"/>
        <v>0.11723326490762531</v>
      </c>
    </row>
    <row r="947" spans="1:17">
      <c r="A947" s="87">
        <v>973</v>
      </c>
      <c r="B947" s="87" t="s">
        <v>364</v>
      </c>
      <c r="C947" s="87" t="s">
        <v>22</v>
      </c>
      <c r="D947" s="84">
        <v>42219</v>
      </c>
      <c r="E947" s="88">
        <f t="shared" si="84"/>
        <v>2015</v>
      </c>
      <c r="F947" s="89">
        <v>40536000000</v>
      </c>
      <c r="G947" s="89">
        <v>36044000000</v>
      </c>
      <c r="H947" s="89">
        <v>-220000000</v>
      </c>
      <c r="I947" s="89">
        <v>0</v>
      </c>
      <c r="J947" s="89">
        <v>0</v>
      </c>
      <c r="K947" s="87" t="s">
        <v>19</v>
      </c>
      <c r="L947" s="87" t="s">
        <v>97</v>
      </c>
      <c r="M947" s="90">
        <f t="shared" si="87"/>
        <v>4492000000</v>
      </c>
      <c r="N947" s="89">
        <f t="shared" si="88"/>
        <v>-220000000</v>
      </c>
      <c r="O947" s="89">
        <f t="shared" si="89"/>
        <v>4712000000</v>
      </c>
      <c r="P947" s="87">
        <f t="shared" si="85"/>
        <v>0.11624235247681074</v>
      </c>
      <c r="Q947" s="87">
        <f t="shared" si="86"/>
        <v>0.11081507795539769</v>
      </c>
    </row>
    <row r="948" spans="1:17">
      <c r="A948" s="83">
        <v>974</v>
      </c>
      <c r="B948" s="83" t="s">
        <v>364</v>
      </c>
      <c r="C948" s="83" t="s">
        <v>23</v>
      </c>
      <c r="D948" s="84">
        <v>42220</v>
      </c>
      <c r="E948" s="85">
        <f t="shared" si="84"/>
        <v>2015</v>
      </c>
      <c r="F948" s="86">
        <v>47248000000</v>
      </c>
      <c r="G948" s="86">
        <v>42186000000</v>
      </c>
      <c r="H948" s="86">
        <v>-487000000</v>
      </c>
      <c r="I948" s="86">
        <v>0</v>
      </c>
      <c r="J948" s="86">
        <v>0</v>
      </c>
      <c r="K948" s="83" t="s">
        <v>19</v>
      </c>
      <c r="L948" s="83" t="s">
        <v>97</v>
      </c>
      <c r="M948" s="91">
        <f t="shared" si="87"/>
        <v>5062000000</v>
      </c>
      <c r="N948" s="86">
        <f t="shared" si="88"/>
        <v>-487000000</v>
      </c>
      <c r="O948" s="86">
        <f t="shared" si="89"/>
        <v>5549000000</v>
      </c>
      <c r="P948" s="83">
        <f t="shared" si="85"/>
        <v>0.11744412461903149</v>
      </c>
      <c r="Q948" s="83">
        <f t="shared" si="86"/>
        <v>0.10713681002370468</v>
      </c>
    </row>
    <row r="949" spans="1:17">
      <c r="A949" s="87">
        <v>975</v>
      </c>
      <c r="B949" s="87" t="s">
        <v>365</v>
      </c>
      <c r="C949" s="87" t="s">
        <v>18</v>
      </c>
      <c r="D949" s="84">
        <v>42221</v>
      </c>
      <c r="E949" s="88">
        <f t="shared" si="84"/>
        <v>2015</v>
      </c>
      <c r="F949" s="89">
        <v>3094500000</v>
      </c>
      <c r="G949" s="89">
        <v>2144200000</v>
      </c>
      <c r="H949" s="89">
        <v>98200000</v>
      </c>
      <c r="I949" s="89">
        <v>0</v>
      </c>
      <c r="J949" s="89">
        <v>332400000</v>
      </c>
      <c r="K949" s="87" t="s">
        <v>48</v>
      </c>
      <c r="L949" s="87" t="s">
        <v>51</v>
      </c>
      <c r="M949" s="90">
        <f t="shared" si="87"/>
        <v>950300000</v>
      </c>
      <c r="N949" s="89">
        <f t="shared" si="88"/>
        <v>430600000</v>
      </c>
      <c r="O949" s="89">
        <f t="shared" si="89"/>
        <v>519700000</v>
      </c>
      <c r="P949" s="87">
        <f t="shared" si="85"/>
        <v>0.16794312489901439</v>
      </c>
      <c r="Q949" s="87">
        <f t="shared" si="86"/>
        <v>0.30709322992405885</v>
      </c>
    </row>
    <row r="950" spans="1:17">
      <c r="A950" s="83">
        <v>976</v>
      </c>
      <c r="B950" s="83" t="s">
        <v>365</v>
      </c>
      <c r="C950" s="83" t="s">
        <v>21</v>
      </c>
      <c r="D950" s="84">
        <v>42222</v>
      </c>
      <c r="E950" s="85">
        <f t="shared" si="84"/>
        <v>2015</v>
      </c>
      <c r="F950" s="86">
        <v>3276800000</v>
      </c>
      <c r="G950" s="86">
        <v>2272400000</v>
      </c>
      <c r="H950" s="86">
        <v>99600000</v>
      </c>
      <c r="I950" s="86">
        <v>0</v>
      </c>
      <c r="J950" s="86">
        <v>370900000</v>
      </c>
      <c r="K950" s="83" t="s">
        <v>48</v>
      </c>
      <c r="L950" s="83" t="s">
        <v>51</v>
      </c>
      <c r="M950" s="91">
        <f t="shared" si="87"/>
        <v>1004400000</v>
      </c>
      <c r="N950" s="86">
        <f t="shared" si="88"/>
        <v>470500000</v>
      </c>
      <c r="O950" s="86">
        <f t="shared" si="89"/>
        <v>533900000</v>
      </c>
      <c r="P950" s="83">
        <f t="shared" si="85"/>
        <v>0.162933349609375</v>
      </c>
      <c r="Q950" s="83">
        <f t="shared" si="86"/>
        <v>0.3065185546875</v>
      </c>
    </row>
    <row r="951" spans="1:17">
      <c r="A951" s="87">
        <v>977</v>
      </c>
      <c r="B951" s="87" t="s">
        <v>365</v>
      </c>
      <c r="C951" s="87" t="s">
        <v>22</v>
      </c>
      <c r="D951" s="84">
        <v>42223</v>
      </c>
      <c r="E951" s="88">
        <f t="shared" si="84"/>
        <v>2015</v>
      </c>
      <c r="F951" s="89">
        <v>3350300000</v>
      </c>
      <c r="G951" s="89">
        <v>2317500000</v>
      </c>
      <c r="H951" s="89">
        <v>101100000</v>
      </c>
      <c r="I951" s="89">
        <v>0</v>
      </c>
      <c r="J951" s="89">
        <v>388100000</v>
      </c>
      <c r="K951" s="87" t="s">
        <v>48</v>
      </c>
      <c r="L951" s="87" t="s">
        <v>51</v>
      </c>
      <c r="M951" s="90">
        <f t="shared" si="87"/>
        <v>1032800000</v>
      </c>
      <c r="N951" s="89">
        <f t="shared" si="88"/>
        <v>489200000</v>
      </c>
      <c r="O951" s="89">
        <f t="shared" si="89"/>
        <v>543600000</v>
      </c>
      <c r="P951" s="87">
        <f t="shared" si="85"/>
        <v>0.16225412649613469</v>
      </c>
      <c r="Q951" s="87">
        <f t="shared" si="86"/>
        <v>0.30827090111333311</v>
      </c>
    </row>
    <row r="952" spans="1:17">
      <c r="A952" s="83">
        <v>978</v>
      </c>
      <c r="B952" s="83" t="s">
        <v>365</v>
      </c>
      <c r="C952" s="83" t="s">
        <v>23</v>
      </c>
      <c r="D952" s="84">
        <v>42224</v>
      </c>
      <c r="E952" s="85">
        <f t="shared" si="84"/>
        <v>2015</v>
      </c>
      <c r="F952" s="86">
        <v>3253600000</v>
      </c>
      <c r="G952" s="86">
        <v>2171600000</v>
      </c>
      <c r="H952" s="86">
        <v>103700000</v>
      </c>
      <c r="I952" s="86">
        <v>0</v>
      </c>
      <c r="J952" s="86">
        <v>401300000</v>
      </c>
      <c r="K952" s="83" t="s">
        <v>48</v>
      </c>
      <c r="L952" s="83" t="s">
        <v>51</v>
      </c>
      <c r="M952" s="91">
        <f t="shared" si="87"/>
        <v>1082000000</v>
      </c>
      <c r="N952" s="86">
        <f t="shared" si="88"/>
        <v>505000000</v>
      </c>
      <c r="O952" s="86">
        <f t="shared" si="89"/>
        <v>577000000</v>
      </c>
      <c r="P952" s="83">
        <f t="shared" si="85"/>
        <v>0.17734202114580772</v>
      </c>
      <c r="Q952" s="83">
        <f t="shared" si="86"/>
        <v>0.33255470863044012</v>
      </c>
    </row>
    <row r="953" spans="1:17">
      <c r="A953" s="87">
        <v>979</v>
      </c>
      <c r="B953" s="87" t="s">
        <v>366</v>
      </c>
      <c r="C953" s="87" t="s">
        <v>18</v>
      </c>
      <c r="D953" s="84">
        <v>42225</v>
      </c>
      <c r="E953" s="88">
        <f t="shared" si="84"/>
        <v>2015</v>
      </c>
      <c r="F953" s="89">
        <v>50521000000</v>
      </c>
      <c r="G953" s="89">
        <v>33194000000</v>
      </c>
      <c r="H953" s="89">
        <v>12244000000</v>
      </c>
      <c r="I953" s="89">
        <v>0</v>
      </c>
      <c r="J953" s="89">
        <v>1523000000</v>
      </c>
      <c r="K953" s="87" t="s">
        <v>25</v>
      </c>
      <c r="L953" s="87" t="s">
        <v>300</v>
      </c>
      <c r="M953" s="90">
        <f t="shared" si="87"/>
        <v>17327000000</v>
      </c>
      <c r="N953" s="89">
        <f t="shared" si="88"/>
        <v>13767000000</v>
      </c>
      <c r="O953" s="89">
        <f t="shared" si="89"/>
        <v>3560000000</v>
      </c>
      <c r="P953" s="87">
        <f t="shared" si="85"/>
        <v>7.0465746917123567E-2</v>
      </c>
      <c r="Q953" s="87">
        <f t="shared" si="86"/>
        <v>0.34296629124522471</v>
      </c>
    </row>
    <row r="954" spans="1:17">
      <c r="A954" s="83">
        <v>980</v>
      </c>
      <c r="B954" s="83" t="s">
        <v>366</v>
      </c>
      <c r="C954" s="83" t="s">
        <v>21</v>
      </c>
      <c r="D954" s="84">
        <v>42226</v>
      </c>
      <c r="E954" s="85">
        <f t="shared" si="84"/>
        <v>2015</v>
      </c>
      <c r="F954" s="86">
        <v>53417000000</v>
      </c>
      <c r="G954" s="86">
        <v>34941000000</v>
      </c>
      <c r="H954" s="86">
        <v>12865000000</v>
      </c>
      <c r="I954" s="86">
        <v>0</v>
      </c>
      <c r="J954" s="86">
        <v>1462000000</v>
      </c>
      <c r="K954" s="83" t="s">
        <v>25</v>
      </c>
      <c r="L954" s="83" t="s">
        <v>300</v>
      </c>
      <c r="M954" s="91">
        <f t="shared" si="87"/>
        <v>18476000000</v>
      </c>
      <c r="N954" s="86">
        <f t="shared" si="88"/>
        <v>14327000000</v>
      </c>
      <c r="O954" s="86">
        <f t="shared" si="89"/>
        <v>4149000000</v>
      </c>
      <c r="P954" s="83">
        <f t="shared" si="85"/>
        <v>7.7671902203418394E-2</v>
      </c>
      <c r="Q954" s="83">
        <f t="shared" si="86"/>
        <v>0.34588239698972234</v>
      </c>
    </row>
    <row r="955" spans="1:17">
      <c r="A955" s="87">
        <v>981</v>
      </c>
      <c r="B955" s="87" t="s">
        <v>366</v>
      </c>
      <c r="C955" s="87" t="s">
        <v>22</v>
      </c>
      <c r="D955" s="84">
        <v>42227</v>
      </c>
      <c r="E955" s="88">
        <f t="shared" si="84"/>
        <v>2015</v>
      </c>
      <c r="F955" s="89">
        <v>56223000000</v>
      </c>
      <c r="G955" s="89">
        <v>36665000000</v>
      </c>
      <c r="H955" s="89">
        <v>13281000000</v>
      </c>
      <c r="I955" s="89">
        <v>0</v>
      </c>
      <c r="J955" s="89">
        <v>1485000000</v>
      </c>
      <c r="K955" s="87" t="s">
        <v>25</v>
      </c>
      <c r="L955" s="87" t="s">
        <v>300</v>
      </c>
      <c r="M955" s="90">
        <f t="shared" si="87"/>
        <v>19558000000</v>
      </c>
      <c r="N955" s="89">
        <f t="shared" si="88"/>
        <v>14766000000</v>
      </c>
      <c r="O955" s="89">
        <f t="shared" si="89"/>
        <v>4792000000</v>
      </c>
      <c r="P955" s="87">
        <f t="shared" si="85"/>
        <v>8.5232022481902425E-2</v>
      </c>
      <c r="Q955" s="87">
        <f t="shared" si="86"/>
        <v>0.34786475285915019</v>
      </c>
    </row>
    <row r="956" spans="1:17">
      <c r="A956" s="83">
        <v>982</v>
      </c>
      <c r="B956" s="83" t="s">
        <v>366</v>
      </c>
      <c r="C956" s="83" t="s">
        <v>23</v>
      </c>
      <c r="D956" s="84">
        <v>42228</v>
      </c>
      <c r="E956" s="85">
        <f t="shared" si="84"/>
        <v>2015</v>
      </c>
      <c r="F956" s="86">
        <v>59074000000</v>
      </c>
      <c r="G956" s="86">
        <v>38504000000</v>
      </c>
      <c r="H956" s="86">
        <v>14115000000</v>
      </c>
      <c r="I956" s="86">
        <v>0</v>
      </c>
      <c r="J956" s="86">
        <v>1484000000</v>
      </c>
      <c r="K956" s="83" t="s">
        <v>25</v>
      </c>
      <c r="L956" s="83" t="s">
        <v>300</v>
      </c>
      <c r="M956" s="91">
        <f t="shared" si="87"/>
        <v>20570000000</v>
      </c>
      <c r="N956" s="86">
        <f t="shared" si="88"/>
        <v>15599000000</v>
      </c>
      <c r="O956" s="86">
        <f t="shared" si="89"/>
        <v>4971000000</v>
      </c>
      <c r="P956" s="83">
        <f t="shared" si="85"/>
        <v>8.4148694857297632E-2</v>
      </c>
      <c r="Q956" s="83">
        <f t="shared" si="86"/>
        <v>0.34820733317533936</v>
      </c>
    </row>
    <row r="957" spans="1:17">
      <c r="A957" s="87">
        <v>983</v>
      </c>
      <c r="B957" s="87" t="s">
        <v>367</v>
      </c>
      <c r="C957" s="87" t="s">
        <v>18</v>
      </c>
      <c r="D957" s="84">
        <v>42229</v>
      </c>
      <c r="E957" s="88">
        <f t="shared" si="84"/>
        <v>2015</v>
      </c>
      <c r="F957" s="89">
        <v>3598916000</v>
      </c>
      <c r="G957" s="89">
        <v>2195857000</v>
      </c>
      <c r="H957" s="89">
        <v>601300000</v>
      </c>
      <c r="I957" s="89">
        <v>683688000</v>
      </c>
      <c r="J957" s="89">
        <v>0</v>
      </c>
      <c r="K957" s="87" t="s">
        <v>28</v>
      </c>
      <c r="L957" s="87" t="s">
        <v>74</v>
      </c>
      <c r="M957" s="90">
        <f t="shared" si="87"/>
        <v>1403059000</v>
      </c>
      <c r="N957" s="89">
        <f t="shared" si="88"/>
        <v>1284988000</v>
      </c>
      <c r="O957" s="89">
        <f t="shared" si="89"/>
        <v>118071000</v>
      </c>
      <c r="P957" s="87">
        <f t="shared" si="85"/>
        <v>3.2807378666242837E-2</v>
      </c>
      <c r="Q957" s="87">
        <f t="shared" si="86"/>
        <v>0.38985600108477103</v>
      </c>
    </row>
    <row r="958" spans="1:17">
      <c r="A958" s="83">
        <v>984</v>
      </c>
      <c r="B958" s="83" t="s">
        <v>367</v>
      </c>
      <c r="C958" s="83" t="s">
        <v>21</v>
      </c>
      <c r="D958" s="84">
        <v>42230</v>
      </c>
      <c r="E958" s="85">
        <f t="shared" si="84"/>
        <v>2015</v>
      </c>
      <c r="F958" s="86">
        <v>4607309000</v>
      </c>
      <c r="G958" s="86">
        <v>2599828000</v>
      </c>
      <c r="H958" s="86">
        <v>613341000</v>
      </c>
      <c r="I958" s="86">
        <v>716471000</v>
      </c>
      <c r="J958" s="86">
        <v>0</v>
      </c>
      <c r="K958" s="83" t="s">
        <v>28</v>
      </c>
      <c r="L958" s="83" t="s">
        <v>74</v>
      </c>
      <c r="M958" s="91">
        <f t="shared" si="87"/>
        <v>2007481000</v>
      </c>
      <c r="N958" s="86">
        <f t="shared" si="88"/>
        <v>1329812000</v>
      </c>
      <c r="O958" s="86">
        <f t="shared" si="89"/>
        <v>677669000</v>
      </c>
      <c r="P958" s="83">
        <f t="shared" si="85"/>
        <v>0.1470856415317488</v>
      </c>
      <c r="Q958" s="83">
        <f t="shared" si="86"/>
        <v>0.43571659725883372</v>
      </c>
    </row>
    <row r="959" spans="1:17">
      <c r="A959" s="87">
        <v>985</v>
      </c>
      <c r="B959" s="87" t="s">
        <v>367</v>
      </c>
      <c r="C959" s="87" t="s">
        <v>22</v>
      </c>
      <c r="D959" s="84">
        <v>42231</v>
      </c>
      <c r="E959" s="88">
        <f t="shared" ref="E959:E1022" si="90">YEAR(D959)</f>
        <v>2015</v>
      </c>
      <c r="F959" s="89">
        <v>5259312000</v>
      </c>
      <c r="G959" s="89">
        <v>2974976000</v>
      </c>
      <c r="H959" s="89">
        <v>591611000</v>
      </c>
      <c r="I959" s="89">
        <v>825242000</v>
      </c>
      <c r="J959" s="89">
        <v>0</v>
      </c>
      <c r="K959" s="87" t="s">
        <v>28</v>
      </c>
      <c r="L959" s="87" t="s">
        <v>74</v>
      </c>
      <c r="M959" s="90">
        <f t="shared" si="87"/>
        <v>2284336000</v>
      </c>
      <c r="N959" s="89">
        <f t="shared" si="88"/>
        <v>1416853000</v>
      </c>
      <c r="O959" s="89">
        <f t="shared" si="89"/>
        <v>867483000</v>
      </c>
      <c r="P959" s="87">
        <f t="shared" si="85"/>
        <v>0.16494229663499713</v>
      </c>
      <c r="Q959" s="87">
        <f t="shared" si="86"/>
        <v>0.43434122181760659</v>
      </c>
    </row>
    <row r="960" spans="1:17">
      <c r="A960" s="83">
        <v>986</v>
      </c>
      <c r="B960" s="83" t="s">
        <v>367</v>
      </c>
      <c r="C960" s="83" t="s">
        <v>23</v>
      </c>
      <c r="D960" s="84">
        <v>42232</v>
      </c>
      <c r="E960" s="85">
        <f t="shared" si="90"/>
        <v>2015</v>
      </c>
      <c r="F960" s="86">
        <v>5885893000</v>
      </c>
      <c r="G960" s="86">
        <v>3266971000</v>
      </c>
      <c r="H960" s="86">
        <v>630954000</v>
      </c>
      <c r="I960" s="86">
        <v>913712000</v>
      </c>
      <c r="J960" s="86">
        <v>0</v>
      </c>
      <c r="K960" s="83" t="s">
        <v>28</v>
      </c>
      <c r="L960" s="83" t="s">
        <v>74</v>
      </c>
      <c r="M960" s="91">
        <f t="shared" si="87"/>
        <v>2618922000</v>
      </c>
      <c r="N960" s="86">
        <f t="shared" si="88"/>
        <v>1544666000</v>
      </c>
      <c r="O960" s="86">
        <f t="shared" si="89"/>
        <v>1074256000</v>
      </c>
      <c r="P960" s="83">
        <f t="shared" si="85"/>
        <v>0.18251368144137176</v>
      </c>
      <c r="Q960" s="83">
        <f t="shared" si="86"/>
        <v>0.44494896526321492</v>
      </c>
    </row>
    <row r="961" spans="1:17">
      <c r="A961" s="87">
        <v>987</v>
      </c>
      <c r="B961" s="87" t="s">
        <v>368</v>
      </c>
      <c r="C961" s="87" t="s">
        <v>18</v>
      </c>
      <c r="D961" s="84">
        <v>42233</v>
      </c>
      <c r="E961" s="88">
        <f t="shared" si="90"/>
        <v>2015</v>
      </c>
      <c r="F961" s="89">
        <v>7810610000</v>
      </c>
      <c r="G961" s="89">
        <v>7479746000</v>
      </c>
      <c r="H961" s="89">
        <v>360586000</v>
      </c>
      <c r="I961" s="89">
        <v>0</v>
      </c>
      <c r="J961" s="89">
        <v>116388000</v>
      </c>
      <c r="K961" s="87" t="s">
        <v>53</v>
      </c>
      <c r="L961" s="87" t="s">
        <v>369</v>
      </c>
      <c r="M961" s="90">
        <f t="shared" si="87"/>
        <v>330864000</v>
      </c>
      <c r="N961" s="89">
        <f t="shared" si="88"/>
        <v>476974000</v>
      </c>
      <c r="O961" s="89">
        <f t="shared" si="89"/>
        <v>-146110000</v>
      </c>
      <c r="P961" s="87">
        <f t="shared" si="85"/>
        <v>-1.8706605502003044E-2</v>
      </c>
      <c r="Q961" s="87">
        <f t="shared" si="86"/>
        <v>4.2360839934396877E-2</v>
      </c>
    </row>
    <row r="962" spans="1:17">
      <c r="A962" s="83">
        <v>988</v>
      </c>
      <c r="B962" s="83" t="s">
        <v>368</v>
      </c>
      <c r="C962" s="83" t="s">
        <v>21</v>
      </c>
      <c r="D962" s="84">
        <v>42234</v>
      </c>
      <c r="E962" s="85">
        <f t="shared" si="90"/>
        <v>2015</v>
      </c>
      <c r="F962" s="86">
        <v>9531778000</v>
      </c>
      <c r="G962" s="86">
        <v>7567707000</v>
      </c>
      <c r="H962" s="86">
        <v>2177616000</v>
      </c>
      <c r="I962" s="86">
        <v>0</v>
      </c>
      <c r="J962" s="86">
        <v>167425000</v>
      </c>
      <c r="K962" s="83" t="s">
        <v>53</v>
      </c>
      <c r="L962" s="83" t="s">
        <v>369</v>
      </c>
      <c r="M962" s="91">
        <f t="shared" si="87"/>
        <v>1964071000</v>
      </c>
      <c r="N962" s="86">
        <f t="shared" si="88"/>
        <v>2345041000</v>
      </c>
      <c r="O962" s="86">
        <f t="shared" si="89"/>
        <v>-380970000</v>
      </c>
      <c r="P962" s="83">
        <f t="shared" ref="P962:P1025" si="91">O962/F962</f>
        <v>-3.9968408832014343E-2</v>
      </c>
      <c r="Q962" s="83">
        <f t="shared" ref="Q962:Q1025" si="92">1-G962/F962</f>
        <v>0.20605505079954656</v>
      </c>
    </row>
    <row r="963" spans="1:17">
      <c r="A963" s="87">
        <v>989</v>
      </c>
      <c r="B963" s="87" t="s">
        <v>368</v>
      </c>
      <c r="C963" s="87" t="s">
        <v>22</v>
      </c>
      <c r="D963" s="84">
        <v>42235</v>
      </c>
      <c r="E963" s="88">
        <f t="shared" si="90"/>
        <v>2015</v>
      </c>
      <c r="F963" s="89">
        <v>10681897000</v>
      </c>
      <c r="G963" s="89">
        <v>8024286000</v>
      </c>
      <c r="H963" s="89">
        <v>2856642000</v>
      </c>
      <c r="I963" s="89">
        <v>0</v>
      </c>
      <c r="J963" s="89">
        <v>185993000</v>
      </c>
      <c r="K963" s="87" t="s">
        <v>53</v>
      </c>
      <c r="L963" s="87" t="s">
        <v>369</v>
      </c>
      <c r="M963" s="90">
        <f t="shared" ref="M963:M1026" si="93">F963-G963</f>
        <v>2657611000</v>
      </c>
      <c r="N963" s="89">
        <f t="shared" ref="N963:N1026" si="94">H963+I963+J963</f>
        <v>3042635000</v>
      </c>
      <c r="O963" s="89">
        <f t="shared" ref="O963:O1026" si="95">M963-N963</f>
        <v>-385024000</v>
      </c>
      <c r="P963" s="87">
        <f t="shared" si="91"/>
        <v>-3.6044534037353103E-2</v>
      </c>
      <c r="Q963" s="87">
        <f t="shared" si="92"/>
        <v>0.24879578973659833</v>
      </c>
    </row>
    <row r="964" spans="1:17">
      <c r="A964" s="83">
        <v>990</v>
      </c>
      <c r="B964" s="83" t="s">
        <v>368</v>
      </c>
      <c r="C964" s="83" t="s">
        <v>23</v>
      </c>
      <c r="D964" s="84">
        <v>42236</v>
      </c>
      <c r="E964" s="85">
        <f t="shared" si="90"/>
        <v>2015</v>
      </c>
      <c r="F964" s="86">
        <v>10116502000</v>
      </c>
      <c r="G964" s="86">
        <v>7677233000</v>
      </c>
      <c r="H964" s="86">
        <v>2620072000</v>
      </c>
      <c r="I964" s="86">
        <v>0</v>
      </c>
      <c r="J964" s="86">
        <v>224133000</v>
      </c>
      <c r="K964" s="83" t="s">
        <v>53</v>
      </c>
      <c r="L964" s="83" t="s">
        <v>369</v>
      </c>
      <c r="M964" s="91">
        <f t="shared" si="93"/>
        <v>2439269000</v>
      </c>
      <c r="N964" s="86">
        <f t="shared" si="94"/>
        <v>2844205000</v>
      </c>
      <c r="O964" s="86">
        <f t="shared" si="95"/>
        <v>-404936000</v>
      </c>
      <c r="P964" s="83">
        <f t="shared" si="91"/>
        <v>-4.0027274249538031E-2</v>
      </c>
      <c r="Q964" s="83">
        <f t="shared" si="92"/>
        <v>0.24111782906779433</v>
      </c>
    </row>
    <row r="965" spans="1:17">
      <c r="A965" s="87">
        <v>991</v>
      </c>
      <c r="B965" s="87" t="s">
        <v>370</v>
      </c>
      <c r="C965" s="87" t="s">
        <v>18</v>
      </c>
      <c r="D965" s="84">
        <v>42237</v>
      </c>
      <c r="E965" s="88">
        <f t="shared" si="90"/>
        <v>2015</v>
      </c>
      <c r="F965" s="89">
        <v>17699000000</v>
      </c>
      <c r="G965" s="89">
        <v>8307000000</v>
      </c>
      <c r="H965" s="89">
        <v>7161000000</v>
      </c>
      <c r="I965" s="89">
        <v>0</v>
      </c>
      <c r="J965" s="89">
        <v>867000000</v>
      </c>
      <c r="K965" s="87" t="s">
        <v>19</v>
      </c>
      <c r="L965" s="87" t="s">
        <v>20</v>
      </c>
      <c r="M965" s="90">
        <f t="shared" si="93"/>
        <v>9392000000</v>
      </c>
      <c r="N965" s="89">
        <f t="shared" si="94"/>
        <v>8028000000</v>
      </c>
      <c r="O965" s="89">
        <f t="shared" si="95"/>
        <v>1364000000</v>
      </c>
      <c r="P965" s="87">
        <f t="shared" si="91"/>
        <v>7.706650093225606E-2</v>
      </c>
      <c r="Q965" s="87">
        <f t="shared" si="92"/>
        <v>0.53065144923442009</v>
      </c>
    </row>
    <row r="966" spans="1:17">
      <c r="A966" s="83">
        <v>992</v>
      </c>
      <c r="B966" s="83" t="s">
        <v>370</v>
      </c>
      <c r="C966" s="83" t="s">
        <v>21</v>
      </c>
      <c r="D966" s="84">
        <v>42238</v>
      </c>
      <c r="E966" s="85">
        <f t="shared" si="90"/>
        <v>2015</v>
      </c>
      <c r="F966" s="86">
        <v>18605000000</v>
      </c>
      <c r="G966" s="86">
        <v>7677000000</v>
      </c>
      <c r="H966" s="86">
        <v>7639000000</v>
      </c>
      <c r="I966" s="86">
        <v>0</v>
      </c>
      <c r="J966" s="86">
        <v>938000000</v>
      </c>
      <c r="K966" s="83" t="s">
        <v>19</v>
      </c>
      <c r="L966" s="83" t="s">
        <v>20</v>
      </c>
      <c r="M966" s="91">
        <f t="shared" si="93"/>
        <v>10928000000</v>
      </c>
      <c r="N966" s="86">
        <f t="shared" si="94"/>
        <v>8577000000</v>
      </c>
      <c r="O966" s="86">
        <f t="shared" si="95"/>
        <v>2351000000</v>
      </c>
      <c r="P966" s="83">
        <f t="shared" si="91"/>
        <v>0.12636388067723731</v>
      </c>
      <c r="Q966" s="83">
        <f t="shared" si="92"/>
        <v>0.58736898683149685</v>
      </c>
    </row>
    <row r="967" spans="1:17">
      <c r="A967" s="87">
        <v>993</v>
      </c>
      <c r="B967" s="87" t="s">
        <v>370</v>
      </c>
      <c r="C967" s="87" t="s">
        <v>22</v>
      </c>
      <c r="D967" s="84">
        <v>42239</v>
      </c>
      <c r="E967" s="88">
        <f t="shared" si="90"/>
        <v>2015</v>
      </c>
      <c r="F967" s="89">
        <v>19820000000</v>
      </c>
      <c r="G967" s="89">
        <v>6025000000</v>
      </c>
      <c r="H967" s="89">
        <v>8625000000</v>
      </c>
      <c r="I967" s="89">
        <v>0</v>
      </c>
      <c r="J967" s="89">
        <v>1015000000</v>
      </c>
      <c r="K967" s="87" t="s">
        <v>19</v>
      </c>
      <c r="L967" s="87" t="s">
        <v>20</v>
      </c>
      <c r="M967" s="90">
        <f t="shared" si="93"/>
        <v>13795000000</v>
      </c>
      <c r="N967" s="89">
        <f t="shared" si="94"/>
        <v>9640000000</v>
      </c>
      <c r="O967" s="89">
        <f t="shared" si="95"/>
        <v>4155000000</v>
      </c>
      <c r="P967" s="87">
        <f t="shared" si="91"/>
        <v>0.20963673057517659</v>
      </c>
      <c r="Q967" s="87">
        <f t="shared" si="92"/>
        <v>0.69601412714429867</v>
      </c>
    </row>
    <row r="968" spans="1:17">
      <c r="A968" s="83">
        <v>994</v>
      </c>
      <c r="B968" s="83" t="s">
        <v>370</v>
      </c>
      <c r="C968" s="83" t="s">
        <v>23</v>
      </c>
      <c r="D968" s="84">
        <v>42240</v>
      </c>
      <c r="E968" s="85">
        <f t="shared" si="90"/>
        <v>2015</v>
      </c>
      <c r="F968" s="86">
        <v>20425000000</v>
      </c>
      <c r="G968" s="86">
        <v>6132000000</v>
      </c>
      <c r="H968" s="86">
        <v>9312000000</v>
      </c>
      <c r="I968" s="86">
        <v>0</v>
      </c>
      <c r="J968" s="86">
        <v>1221000000</v>
      </c>
      <c r="K968" s="83" t="s">
        <v>19</v>
      </c>
      <c r="L968" s="83" t="s">
        <v>20</v>
      </c>
      <c r="M968" s="91">
        <f t="shared" si="93"/>
        <v>14293000000</v>
      </c>
      <c r="N968" s="86">
        <f t="shared" si="94"/>
        <v>10533000000</v>
      </c>
      <c r="O968" s="86">
        <f t="shared" si="95"/>
        <v>3760000000</v>
      </c>
      <c r="P968" s="83">
        <f t="shared" si="91"/>
        <v>0.18408812729498164</v>
      </c>
      <c r="Q968" s="83">
        <f t="shared" si="92"/>
        <v>0.6997796817625459</v>
      </c>
    </row>
    <row r="969" spans="1:17">
      <c r="A969" s="87">
        <v>995</v>
      </c>
      <c r="B969" s="87" t="s">
        <v>371</v>
      </c>
      <c r="C969" s="87" t="s">
        <v>18</v>
      </c>
      <c r="D969" s="84">
        <v>42241</v>
      </c>
      <c r="E969" s="88">
        <f t="shared" si="90"/>
        <v>2015</v>
      </c>
      <c r="F969" s="89">
        <v>6376000000</v>
      </c>
      <c r="G969" s="89">
        <v>3851000000</v>
      </c>
      <c r="H969" s="89">
        <v>1201000000</v>
      </c>
      <c r="I969" s="89">
        <v>0</v>
      </c>
      <c r="J969" s="89">
        <v>749000000</v>
      </c>
      <c r="K969" s="87" t="s">
        <v>188</v>
      </c>
      <c r="L969" s="87" t="s">
        <v>372</v>
      </c>
      <c r="M969" s="90">
        <f t="shared" si="93"/>
        <v>2525000000</v>
      </c>
      <c r="N969" s="89">
        <f t="shared" si="94"/>
        <v>1950000000</v>
      </c>
      <c r="O969" s="89">
        <f t="shared" si="95"/>
        <v>575000000</v>
      </c>
      <c r="P969" s="87">
        <f t="shared" si="91"/>
        <v>9.0181932245922206E-2</v>
      </c>
      <c r="Q969" s="87">
        <f t="shared" si="92"/>
        <v>0.39601631116687575</v>
      </c>
    </row>
    <row r="970" spans="1:17">
      <c r="A970" s="83">
        <v>996</v>
      </c>
      <c r="B970" s="83" t="s">
        <v>371</v>
      </c>
      <c r="C970" s="83" t="s">
        <v>21</v>
      </c>
      <c r="D970" s="84">
        <v>42242</v>
      </c>
      <c r="E970" s="85">
        <f t="shared" si="90"/>
        <v>2015</v>
      </c>
      <c r="F970" s="86">
        <v>6313000000</v>
      </c>
      <c r="G970" s="86">
        <v>3685000000</v>
      </c>
      <c r="H970" s="86">
        <v>1162000000</v>
      </c>
      <c r="I970" s="86">
        <v>0</v>
      </c>
      <c r="J970" s="86">
        <v>800000000</v>
      </c>
      <c r="K970" s="83" t="s">
        <v>188</v>
      </c>
      <c r="L970" s="83" t="s">
        <v>372</v>
      </c>
      <c r="M970" s="91">
        <f t="shared" si="93"/>
        <v>2628000000</v>
      </c>
      <c r="N970" s="86">
        <f t="shared" si="94"/>
        <v>1962000000</v>
      </c>
      <c r="O970" s="86">
        <f t="shared" si="95"/>
        <v>666000000</v>
      </c>
      <c r="P970" s="83">
        <f t="shared" si="91"/>
        <v>0.10549659432916204</v>
      </c>
      <c r="Q970" s="83">
        <f t="shared" si="92"/>
        <v>0.4162838587042611</v>
      </c>
    </row>
    <row r="971" spans="1:17">
      <c r="A971" s="87">
        <v>997</v>
      </c>
      <c r="B971" s="87" t="s">
        <v>371</v>
      </c>
      <c r="C971" s="87" t="s">
        <v>22</v>
      </c>
      <c r="D971" s="84">
        <v>42243</v>
      </c>
      <c r="E971" s="88">
        <f t="shared" si="90"/>
        <v>2015</v>
      </c>
      <c r="F971" s="89">
        <v>6777000000</v>
      </c>
      <c r="G971" s="89">
        <v>3775000000</v>
      </c>
      <c r="H971" s="89">
        <v>1181000000</v>
      </c>
      <c r="I971" s="89">
        <v>0</v>
      </c>
      <c r="J971" s="89">
        <v>808000000</v>
      </c>
      <c r="K971" s="87" t="s">
        <v>188</v>
      </c>
      <c r="L971" s="87" t="s">
        <v>372</v>
      </c>
      <c r="M971" s="90">
        <f t="shared" si="93"/>
        <v>3002000000</v>
      </c>
      <c r="N971" s="89">
        <f t="shared" si="94"/>
        <v>1989000000</v>
      </c>
      <c r="O971" s="89">
        <f t="shared" si="95"/>
        <v>1013000000</v>
      </c>
      <c r="P971" s="87">
        <f t="shared" si="91"/>
        <v>0.14947616939648811</v>
      </c>
      <c r="Q971" s="87">
        <f t="shared" si="92"/>
        <v>0.4429688652796222</v>
      </c>
    </row>
    <row r="972" spans="1:17">
      <c r="A972" s="83">
        <v>998</v>
      </c>
      <c r="B972" s="83" t="s">
        <v>371</v>
      </c>
      <c r="C972" s="83" t="s">
        <v>23</v>
      </c>
      <c r="D972" s="84">
        <v>42244</v>
      </c>
      <c r="E972" s="85">
        <f t="shared" si="90"/>
        <v>2015</v>
      </c>
      <c r="F972" s="86">
        <v>8229000000</v>
      </c>
      <c r="G972" s="86">
        <v>4265000000</v>
      </c>
      <c r="H972" s="86">
        <v>1467000000</v>
      </c>
      <c r="I972" s="86">
        <v>0</v>
      </c>
      <c r="J972" s="86">
        <v>1166000000</v>
      </c>
      <c r="K972" s="83" t="s">
        <v>188</v>
      </c>
      <c r="L972" s="83" t="s">
        <v>372</v>
      </c>
      <c r="M972" s="91">
        <f t="shared" si="93"/>
        <v>3964000000</v>
      </c>
      <c r="N972" s="86">
        <f t="shared" si="94"/>
        <v>2633000000</v>
      </c>
      <c r="O972" s="86">
        <f t="shared" si="95"/>
        <v>1331000000</v>
      </c>
      <c r="P972" s="83">
        <f t="shared" si="91"/>
        <v>0.16174504800097217</v>
      </c>
      <c r="Q972" s="83">
        <f t="shared" si="92"/>
        <v>0.48171102199538218</v>
      </c>
    </row>
    <row r="973" spans="1:17">
      <c r="A973" s="87">
        <v>999</v>
      </c>
      <c r="B973" s="87" t="s">
        <v>373</v>
      </c>
      <c r="C973" s="87" t="s">
        <v>18</v>
      </c>
      <c r="D973" s="84">
        <v>42245</v>
      </c>
      <c r="E973" s="88">
        <f t="shared" si="90"/>
        <v>2015</v>
      </c>
      <c r="F973" s="89">
        <v>45352000000</v>
      </c>
      <c r="G973" s="89">
        <v>39595000000</v>
      </c>
      <c r="H973" s="89">
        <v>909000000</v>
      </c>
      <c r="I973" s="89">
        <v>172000000</v>
      </c>
      <c r="J973" s="89">
        <v>0</v>
      </c>
      <c r="K973" s="87" t="s">
        <v>65</v>
      </c>
      <c r="L973" s="87" t="s">
        <v>199</v>
      </c>
      <c r="M973" s="90">
        <f t="shared" si="93"/>
        <v>5757000000</v>
      </c>
      <c r="N973" s="89">
        <f t="shared" si="94"/>
        <v>1081000000</v>
      </c>
      <c r="O973" s="89">
        <f t="shared" si="95"/>
        <v>4676000000</v>
      </c>
      <c r="P973" s="87">
        <f t="shared" si="91"/>
        <v>0.10310460398659375</v>
      </c>
      <c r="Q973" s="87">
        <f t="shared" si="92"/>
        <v>0.12694037749162113</v>
      </c>
    </row>
    <row r="974" spans="1:17">
      <c r="A974" s="83">
        <v>1000</v>
      </c>
      <c r="B974" s="83" t="s">
        <v>373</v>
      </c>
      <c r="C974" s="83" t="s">
        <v>21</v>
      </c>
      <c r="D974" s="84">
        <v>42246</v>
      </c>
      <c r="E974" s="85">
        <f t="shared" si="90"/>
        <v>2015</v>
      </c>
      <c r="F974" s="86">
        <v>44062000000</v>
      </c>
      <c r="G974" s="86">
        <v>37940000000</v>
      </c>
      <c r="H974" s="86">
        <v>870000000</v>
      </c>
      <c r="I974" s="86">
        <v>150000000</v>
      </c>
      <c r="J974" s="86">
        <v>0</v>
      </c>
      <c r="K974" s="83" t="s">
        <v>65</v>
      </c>
      <c r="L974" s="83" t="s">
        <v>199</v>
      </c>
      <c r="M974" s="91">
        <f t="shared" si="93"/>
        <v>6122000000</v>
      </c>
      <c r="N974" s="86">
        <f t="shared" si="94"/>
        <v>1020000000</v>
      </c>
      <c r="O974" s="86">
        <f t="shared" si="95"/>
        <v>5102000000</v>
      </c>
      <c r="P974" s="83">
        <f t="shared" si="91"/>
        <v>0.11579138486677863</v>
      </c>
      <c r="Q974" s="83">
        <f t="shared" si="92"/>
        <v>0.13894058372293583</v>
      </c>
    </row>
    <row r="975" spans="1:17">
      <c r="A975" s="87">
        <v>1001</v>
      </c>
      <c r="B975" s="87" t="s">
        <v>373</v>
      </c>
      <c r="C975" s="87" t="s">
        <v>22</v>
      </c>
      <c r="D975" s="84">
        <v>42247</v>
      </c>
      <c r="E975" s="88">
        <f t="shared" si="90"/>
        <v>2015</v>
      </c>
      <c r="F975" s="89">
        <v>45608000000</v>
      </c>
      <c r="G975" s="89">
        <v>38939000000</v>
      </c>
      <c r="H975" s="89">
        <v>806000000</v>
      </c>
      <c r="I975" s="89">
        <v>127000000</v>
      </c>
      <c r="J975" s="89">
        <v>0</v>
      </c>
      <c r="K975" s="87" t="s">
        <v>65</v>
      </c>
      <c r="L975" s="87" t="s">
        <v>199</v>
      </c>
      <c r="M975" s="90">
        <f t="shared" si="93"/>
        <v>6669000000</v>
      </c>
      <c r="N975" s="89">
        <f t="shared" si="94"/>
        <v>933000000</v>
      </c>
      <c r="O975" s="89">
        <f t="shared" si="95"/>
        <v>5736000000</v>
      </c>
      <c r="P975" s="87">
        <f t="shared" si="91"/>
        <v>0.12576740922645149</v>
      </c>
      <c r="Q975" s="87">
        <f t="shared" si="92"/>
        <v>0.14622434660585859</v>
      </c>
    </row>
    <row r="976" spans="1:17">
      <c r="A976" s="83">
        <v>1002</v>
      </c>
      <c r="B976" s="83" t="s">
        <v>373</v>
      </c>
      <c r="C976" s="83" t="s">
        <v>23</v>
      </c>
      <c r="D976" s="84">
        <v>42248</v>
      </c>
      <c r="E976" s="85">
        <f t="shared" si="90"/>
        <v>2015</v>
      </c>
      <c r="F976" s="86">
        <v>32735000000</v>
      </c>
      <c r="G976" s="86">
        <v>25683000000</v>
      </c>
      <c r="H976" s="86">
        <v>828000000</v>
      </c>
      <c r="I976" s="86">
        <v>102000000</v>
      </c>
      <c r="J976" s="86">
        <v>0</v>
      </c>
      <c r="K976" s="83" t="s">
        <v>65</v>
      </c>
      <c r="L976" s="83" t="s">
        <v>199</v>
      </c>
      <c r="M976" s="91">
        <f t="shared" si="93"/>
        <v>7052000000</v>
      </c>
      <c r="N976" s="86">
        <f t="shared" si="94"/>
        <v>930000000</v>
      </c>
      <c r="O976" s="86">
        <f t="shared" si="95"/>
        <v>6122000000</v>
      </c>
      <c r="P976" s="83">
        <f t="shared" si="91"/>
        <v>0.18701695433022758</v>
      </c>
      <c r="Q976" s="83">
        <f t="shared" si="92"/>
        <v>0.21542691308996487</v>
      </c>
    </row>
    <row r="977" spans="1:17">
      <c r="A977" s="87">
        <v>1003</v>
      </c>
      <c r="B977" s="87" t="s">
        <v>374</v>
      </c>
      <c r="C977" s="87" t="s">
        <v>18</v>
      </c>
      <c r="D977" s="84">
        <v>42249</v>
      </c>
      <c r="E977" s="88">
        <f t="shared" si="90"/>
        <v>2015</v>
      </c>
      <c r="F977" s="89">
        <v>27686000000</v>
      </c>
      <c r="G977" s="89">
        <v>16538000000</v>
      </c>
      <c r="H977" s="89">
        <v>8482000000</v>
      </c>
      <c r="I977" s="89">
        <v>0</v>
      </c>
      <c r="J977" s="89">
        <v>0</v>
      </c>
      <c r="K977" s="87" t="s">
        <v>25</v>
      </c>
      <c r="L977" s="87" t="s">
        <v>340</v>
      </c>
      <c r="M977" s="90">
        <f t="shared" si="93"/>
        <v>11148000000</v>
      </c>
      <c r="N977" s="89">
        <f t="shared" si="94"/>
        <v>8482000000</v>
      </c>
      <c r="O977" s="89">
        <f t="shared" si="95"/>
        <v>2666000000</v>
      </c>
      <c r="P977" s="87">
        <f t="shared" si="91"/>
        <v>9.6294155891064076E-2</v>
      </c>
      <c r="Q977" s="87">
        <f t="shared" si="92"/>
        <v>0.40265838329841797</v>
      </c>
    </row>
    <row r="978" spans="1:17">
      <c r="A978" s="83">
        <v>1004</v>
      </c>
      <c r="B978" s="83" t="s">
        <v>374</v>
      </c>
      <c r="C978" s="83" t="s">
        <v>21</v>
      </c>
      <c r="D978" s="84">
        <v>42250</v>
      </c>
      <c r="E978" s="85">
        <f t="shared" si="90"/>
        <v>2015</v>
      </c>
      <c r="F978" s="86">
        <v>27931000000</v>
      </c>
      <c r="G978" s="86">
        <v>16725000000</v>
      </c>
      <c r="H978" s="86">
        <v>8440000000</v>
      </c>
      <c r="I978" s="86">
        <v>0</v>
      </c>
      <c r="J978" s="86">
        <v>0</v>
      </c>
      <c r="K978" s="83" t="s">
        <v>25</v>
      </c>
      <c r="L978" s="83" t="s">
        <v>340</v>
      </c>
      <c r="M978" s="91">
        <f t="shared" si="93"/>
        <v>11206000000</v>
      </c>
      <c r="N978" s="86">
        <f t="shared" si="94"/>
        <v>8440000000</v>
      </c>
      <c r="O978" s="86">
        <f t="shared" si="95"/>
        <v>2766000000</v>
      </c>
      <c r="P978" s="83">
        <f t="shared" si="91"/>
        <v>9.9029751888582582E-2</v>
      </c>
      <c r="Q978" s="83">
        <f t="shared" si="92"/>
        <v>0.40120296444810422</v>
      </c>
    </row>
    <row r="979" spans="1:17">
      <c r="A979" s="87">
        <v>1005</v>
      </c>
      <c r="B979" s="87" t="s">
        <v>374</v>
      </c>
      <c r="C979" s="87" t="s">
        <v>22</v>
      </c>
      <c r="D979" s="84">
        <v>42251</v>
      </c>
      <c r="E979" s="88">
        <f t="shared" si="90"/>
        <v>2015</v>
      </c>
      <c r="F979" s="89">
        <v>28105000000</v>
      </c>
      <c r="G979" s="89">
        <v>16863000000</v>
      </c>
      <c r="H979" s="89">
        <v>8355000000</v>
      </c>
      <c r="I979" s="89">
        <v>0</v>
      </c>
      <c r="J979" s="89">
        <v>0</v>
      </c>
      <c r="K979" s="87" t="s">
        <v>25</v>
      </c>
      <c r="L979" s="87" t="s">
        <v>340</v>
      </c>
      <c r="M979" s="90">
        <f t="shared" si="93"/>
        <v>11242000000</v>
      </c>
      <c r="N979" s="89">
        <f t="shared" si="94"/>
        <v>8355000000</v>
      </c>
      <c r="O979" s="89">
        <f t="shared" si="95"/>
        <v>2887000000</v>
      </c>
      <c r="P979" s="87">
        <f t="shared" si="91"/>
        <v>0.10272193559864792</v>
      </c>
      <c r="Q979" s="87">
        <f t="shared" si="92"/>
        <v>0.4</v>
      </c>
    </row>
    <row r="980" spans="1:17">
      <c r="A980" s="83">
        <v>1006</v>
      </c>
      <c r="B980" s="83" t="s">
        <v>374</v>
      </c>
      <c r="C980" s="83" t="s">
        <v>23</v>
      </c>
      <c r="D980" s="84">
        <v>42252</v>
      </c>
      <c r="E980" s="85">
        <f t="shared" si="90"/>
        <v>2015</v>
      </c>
      <c r="F980" s="86">
        <v>27079000000</v>
      </c>
      <c r="G980" s="86">
        <v>16496000000</v>
      </c>
      <c r="H980" s="86">
        <v>8256000000</v>
      </c>
      <c r="I980" s="86">
        <v>0</v>
      </c>
      <c r="J980" s="86">
        <v>0</v>
      </c>
      <c r="K980" s="83" t="s">
        <v>25</v>
      </c>
      <c r="L980" s="83" t="s">
        <v>340</v>
      </c>
      <c r="M980" s="91">
        <f t="shared" si="93"/>
        <v>10583000000</v>
      </c>
      <c r="N980" s="86">
        <f t="shared" si="94"/>
        <v>8256000000</v>
      </c>
      <c r="O980" s="86">
        <f t="shared" si="95"/>
        <v>2327000000</v>
      </c>
      <c r="P980" s="83">
        <f t="shared" si="91"/>
        <v>8.5933749399903989E-2</v>
      </c>
      <c r="Q980" s="83">
        <f t="shared" si="92"/>
        <v>0.39081945418959341</v>
      </c>
    </row>
    <row r="981" spans="1:17">
      <c r="A981" s="87">
        <v>1007</v>
      </c>
      <c r="B981" s="87" t="s">
        <v>375</v>
      </c>
      <c r="C981" s="87" t="s">
        <v>18</v>
      </c>
      <c r="D981" s="84">
        <v>42253</v>
      </c>
      <c r="E981" s="88">
        <f t="shared" si="90"/>
        <v>2015</v>
      </c>
      <c r="F981" s="89">
        <v>8312000000</v>
      </c>
      <c r="G981" s="89">
        <v>0</v>
      </c>
      <c r="H981" s="89">
        <v>3456000000</v>
      </c>
      <c r="I981" s="89">
        <v>0</v>
      </c>
      <c r="J981" s="89">
        <v>258000000</v>
      </c>
      <c r="K981" s="87" t="s">
        <v>28</v>
      </c>
      <c r="L981" s="87" t="s">
        <v>63</v>
      </c>
      <c r="M981" s="90">
        <f t="shared" si="93"/>
        <v>8312000000</v>
      </c>
      <c r="N981" s="89">
        <f t="shared" si="94"/>
        <v>3714000000</v>
      </c>
      <c r="O981" s="89">
        <f t="shared" si="95"/>
        <v>4598000000</v>
      </c>
      <c r="P981" s="87">
        <f t="shared" si="91"/>
        <v>0.55317613089509143</v>
      </c>
      <c r="Q981" s="87">
        <f t="shared" si="92"/>
        <v>1</v>
      </c>
    </row>
    <row r="982" spans="1:17">
      <c r="A982" s="83">
        <v>1008</v>
      </c>
      <c r="B982" s="83" t="s">
        <v>375</v>
      </c>
      <c r="C982" s="83" t="s">
        <v>21</v>
      </c>
      <c r="D982" s="84">
        <v>42254</v>
      </c>
      <c r="E982" s="85">
        <f t="shared" si="90"/>
        <v>2015</v>
      </c>
      <c r="F982" s="86">
        <v>9441000000</v>
      </c>
      <c r="G982" s="86">
        <v>0</v>
      </c>
      <c r="H982" s="86">
        <v>4014000000</v>
      </c>
      <c r="I982" s="86">
        <v>0</v>
      </c>
      <c r="J982" s="86">
        <v>321000000</v>
      </c>
      <c r="K982" s="83" t="s">
        <v>28</v>
      </c>
      <c r="L982" s="83" t="s">
        <v>63</v>
      </c>
      <c r="M982" s="91">
        <f t="shared" si="93"/>
        <v>9441000000</v>
      </c>
      <c r="N982" s="86">
        <f t="shared" si="94"/>
        <v>4335000000</v>
      </c>
      <c r="O982" s="86">
        <f t="shared" si="95"/>
        <v>5106000000</v>
      </c>
      <c r="P982" s="83">
        <f t="shared" si="91"/>
        <v>0.54083253892596128</v>
      </c>
      <c r="Q982" s="83">
        <f t="shared" si="92"/>
        <v>1</v>
      </c>
    </row>
    <row r="983" spans="1:17">
      <c r="A983" s="87">
        <v>1009</v>
      </c>
      <c r="B983" s="87" t="s">
        <v>375</v>
      </c>
      <c r="C983" s="87" t="s">
        <v>22</v>
      </c>
      <c r="D983" s="84">
        <v>42255</v>
      </c>
      <c r="E983" s="88">
        <f t="shared" si="90"/>
        <v>2015</v>
      </c>
      <c r="F983" s="89">
        <v>9667000000</v>
      </c>
      <c r="G983" s="89">
        <v>0</v>
      </c>
      <c r="H983" s="89">
        <v>4162000000</v>
      </c>
      <c r="I983" s="89">
        <v>0</v>
      </c>
      <c r="J983" s="89">
        <v>366000000</v>
      </c>
      <c r="K983" s="87" t="s">
        <v>28</v>
      </c>
      <c r="L983" s="87" t="s">
        <v>63</v>
      </c>
      <c r="M983" s="90">
        <f t="shared" si="93"/>
        <v>9667000000</v>
      </c>
      <c r="N983" s="89">
        <f t="shared" si="94"/>
        <v>4528000000</v>
      </c>
      <c r="O983" s="89">
        <f t="shared" si="95"/>
        <v>5139000000</v>
      </c>
      <c r="P983" s="87">
        <f t="shared" si="91"/>
        <v>0.53160235853936066</v>
      </c>
      <c r="Q983" s="87">
        <f t="shared" si="92"/>
        <v>1</v>
      </c>
    </row>
    <row r="984" spans="1:17">
      <c r="A984" s="83">
        <v>1010</v>
      </c>
      <c r="B984" s="83" t="s">
        <v>375</v>
      </c>
      <c r="C984" s="83" t="s">
        <v>23</v>
      </c>
      <c r="D984" s="84">
        <v>42256</v>
      </c>
      <c r="E984" s="85">
        <f t="shared" si="90"/>
        <v>2015</v>
      </c>
      <c r="F984" s="86">
        <v>10776000000</v>
      </c>
      <c r="G984" s="86">
        <v>0</v>
      </c>
      <c r="H984" s="86">
        <v>4525000000</v>
      </c>
      <c r="I984" s="86">
        <v>0</v>
      </c>
      <c r="J984" s="86">
        <v>373000000</v>
      </c>
      <c r="K984" s="83" t="s">
        <v>28</v>
      </c>
      <c r="L984" s="83" t="s">
        <v>63</v>
      </c>
      <c r="M984" s="91">
        <f t="shared" si="93"/>
        <v>10776000000</v>
      </c>
      <c r="N984" s="86">
        <f t="shared" si="94"/>
        <v>4898000000</v>
      </c>
      <c r="O984" s="86">
        <f t="shared" si="95"/>
        <v>5878000000</v>
      </c>
      <c r="P984" s="83">
        <f t="shared" si="91"/>
        <v>0.54547141796585008</v>
      </c>
      <c r="Q984" s="83">
        <f t="shared" si="92"/>
        <v>1</v>
      </c>
    </row>
    <row r="985" spans="1:17">
      <c r="A985" s="87">
        <v>1011</v>
      </c>
      <c r="B985" s="87" t="s">
        <v>376</v>
      </c>
      <c r="C985" s="87" t="s">
        <v>18</v>
      </c>
      <c r="D985" s="84">
        <v>42257</v>
      </c>
      <c r="E985" s="88">
        <f t="shared" si="90"/>
        <v>2015</v>
      </c>
      <c r="F985" s="89">
        <v>475888000</v>
      </c>
      <c r="G985" s="89">
        <v>117275000</v>
      </c>
      <c r="H985" s="89">
        <v>47115000</v>
      </c>
      <c r="I985" s="89">
        <v>0</v>
      </c>
      <c r="J985" s="89">
        <v>121211000</v>
      </c>
      <c r="K985" s="87" t="s">
        <v>58</v>
      </c>
      <c r="L985" s="87" t="s">
        <v>240</v>
      </c>
      <c r="M985" s="90">
        <f t="shared" si="93"/>
        <v>358613000</v>
      </c>
      <c r="N985" s="89">
        <f t="shared" si="94"/>
        <v>168326000</v>
      </c>
      <c r="O985" s="89">
        <f t="shared" si="95"/>
        <v>190287000</v>
      </c>
      <c r="P985" s="87">
        <f t="shared" si="91"/>
        <v>0.39985668896883303</v>
      </c>
      <c r="Q985" s="87">
        <f t="shared" si="92"/>
        <v>0.75356596510103224</v>
      </c>
    </row>
    <row r="986" spans="1:17">
      <c r="A986" s="83">
        <v>1012</v>
      </c>
      <c r="B986" s="83" t="s">
        <v>376</v>
      </c>
      <c r="C986" s="83" t="s">
        <v>21</v>
      </c>
      <c r="D986" s="84">
        <v>42258</v>
      </c>
      <c r="E986" s="85">
        <f t="shared" si="90"/>
        <v>2015</v>
      </c>
      <c r="F986" s="86">
        <v>635490000</v>
      </c>
      <c r="G986" s="86">
        <v>172050000</v>
      </c>
      <c r="H986" s="86">
        <v>43720000</v>
      </c>
      <c r="I986" s="86">
        <v>0</v>
      </c>
      <c r="J986" s="86">
        <v>186979000</v>
      </c>
      <c r="K986" s="83" t="s">
        <v>58</v>
      </c>
      <c r="L986" s="83" t="s">
        <v>240</v>
      </c>
      <c r="M986" s="91">
        <f t="shared" si="93"/>
        <v>463440000</v>
      </c>
      <c r="N986" s="86">
        <f t="shared" si="94"/>
        <v>230699000</v>
      </c>
      <c r="O986" s="86">
        <f t="shared" si="95"/>
        <v>232741000</v>
      </c>
      <c r="P986" s="83">
        <f t="shared" si="91"/>
        <v>0.36623865049017296</v>
      </c>
      <c r="Q986" s="83">
        <f t="shared" si="92"/>
        <v>0.72926403247887461</v>
      </c>
    </row>
    <row r="987" spans="1:17">
      <c r="A987" s="87">
        <v>1013</v>
      </c>
      <c r="B987" s="87" t="s">
        <v>376</v>
      </c>
      <c r="C987" s="87" t="s">
        <v>22</v>
      </c>
      <c r="D987" s="84">
        <v>42259</v>
      </c>
      <c r="E987" s="88">
        <f t="shared" si="90"/>
        <v>2015</v>
      </c>
      <c r="F987" s="89">
        <v>992332000</v>
      </c>
      <c r="G987" s="89">
        <v>275379000</v>
      </c>
      <c r="H987" s="89">
        <v>57664000</v>
      </c>
      <c r="I987" s="89">
        <v>0</v>
      </c>
      <c r="J987" s="89">
        <v>301812000</v>
      </c>
      <c r="K987" s="87" t="s">
        <v>58</v>
      </c>
      <c r="L987" s="87" t="s">
        <v>240</v>
      </c>
      <c r="M987" s="90">
        <f t="shared" si="93"/>
        <v>716953000</v>
      </c>
      <c r="N987" s="89">
        <f t="shared" si="94"/>
        <v>359476000</v>
      </c>
      <c r="O987" s="89">
        <f t="shared" si="95"/>
        <v>357477000</v>
      </c>
      <c r="P987" s="87">
        <f t="shared" si="91"/>
        <v>0.36023931506794099</v>
      </c>
      <c r="Q987" s="87">
        <f t="shared" si="92"/>
        <v>0.72249307691377485</v>
      </c>
    </row>
    <row r="988" spans="1:17">
      <c r="A988" s="83">
        <v>1014</v>
      </c>
      <c r="B988" s="83" t="s">
        <v>376</v>
      </c>
      <c r="C988" s="83" t="s">
        <v>23</v>
      </c>
      <c r="D988" s="84">
        <v>42260</v>
      </c>
      <c r="E988" s="85">
        <f t="shared" si="90"/>
        <v>2015</v>
      </c>
      <c r="F988" s="86">
        <v>1042779000</v>
      </c>
      <c r="G988" s="86">
        <v>280901000</v>
      </c>
      <c r="H988" s="86">
        <v>53992000</v>
      </c>
      <c r="I988" s="86">
        <v>0</v>
      </c>
      <c r="J988" s="86">
        <v>294520000</v>
      </c>
      <c r="K988" s="83" t="s">
        <v>58</v>
      </c>
      <c r="L988" s="83" t="s">
        <v>240</v>
      </c>
      <c r="M988" s="91">
        <f t="shared" si="93"/>
        <v>761878000</v>
      </c>
      <c r="N988" s="86">
        <f t="shared" si="94"/>
        <v>348512000</v>
      </c>
      <c r="O988" s="86">
        <f t="shared" si="95"/>
        <v>413366000</v>
      </c>
      <c r="P988" s="83">
        <f t="shared" si="91"/>
        <v>0.39640805961761794</v>
      </c>
      <c r="Q988" s="83">
        <f t="shared" si="92"/>
        <v>0.73062269186471918</v>
      </c>
    </row>
    <row r="989" spans="1:17">
      <c r="A989" s="87">
        <v>1015</v>
      </c>
      <c r="B989" s="87" t="s">
        <v>377</v>
      </c>
      <c r="C989" s="87" t="s">
        <v>18</v>
      </c>
      <c r="D989" s="84">
        <v>42261</v>
      </c>
      <c r="E989" s="88">
        <f t="shared" si="90"/>
        <v>2015</v>
      </c>
      <c r="F989" s="89">
        <v>797517000</v>
      </c>
      <c r="G989" s="89">
        <v>337533000</v>
      </c>
      <c r="H989" s="89">
        <v>20412000</v>
      </c>
      <c r="I989" s="89">
        <v>0</v>
      </c>
      <c r="J989" s="89">
        <v>277621000</v>
      </c>
      <c r="K989" s="87" t="s">
        <v>58</v>
      </c>
      <c r="L989" s="87" t="s">
        <v>271</v>
      </c>
      <c r="M989" s="90">
        <f t="shared" si="93"/>
        <v>459984000</v>
      </c>
      <c r="N989" s="89">
        <f t="shared" si="94"/>
        <v>298033000</v>
      </c>
      <c r="O989" s="89">
        <f t="shared" si="95"/>
        <v>161951000</v>
      </c>
      <c r="P989" s="87">
        <f t="shared" si="91"/>
        <v>0.20306902548785793</v>
      </c>
      <c r="Q989" s="87">
        <f t="shared" si="92"/>
        <v>0.57677015035416179</v>
      </c>
    </row>
    <row r="990" spans="1:17">
      <c r="A990" s="83">
        <v>1016</v>
      </c>
      <c r="B990" s="83" t="s">
        <v>377</v>
      </c>
      <c r="C990" s="83" t="s">
        <v>21</v>
      </c>
      <c r="D990" s="84">
        <v>42262</v>
      </c>
      <c r="E990" s="85">
        <f t="shared" si="90"/>
        <v>2015</v>
      </c>
      <c r="F990" s="86">
        <v>1029475000</v>
      </c>
      <c r="G990" s="86">
        <v>423256000</v>
      </c>
      <c r="H990" s="86">
        <v>27772000</v>
      </c>
      <c r="I990" s="86">
        <v>0</v>
      </c>
      <c r="J990" s="86">
        <v>357165000</v>
      </c>
      <c r="K990" s="83" t="s">
        <v>58</v>
      </c>
      <c r="L990" s="83" t="s">
        <v>271</v>
      </c>
      <c r="M990" s="91">
        <f t="shared" si="93"/>
        <v>606219000</v>
      </c>
      <c r="N990" s="86">
        <f t="shared" si="94"/>
        <v>384937000</v>
      </c>
      <c r="O990" s="86">
        <f t="shared" si="95"/>
        <v>221282000</v>
      </c>
      <c r="P990" s="83">
        <f t="shared" si="91"/>
        <v>0.21494645328929796</v>
      </c>
      <c r="Q990" s="83">
        <f t="shared" si="92"/>
        <v>0.58886228417397213</v>
      </c>
    </row>
    <row r="991" spans="1:17">
      <c r="A991" s="87">
        <v>1017</v>
      </c>
      <c r="B991" s="87" t="s">
        <v>377</v>
      </c>
      <c r="C991" s="87" t="s">
        <v>22</v>
      </c>
      <c r="D991" s="84">
        <v>42263</v>
      </c>
      <c r="E991" s="88">
        <f t="shared" si="90"/>
        <v>2015</v>
      </c>
      <c r="F991" s="89">
        <v>1105247000</v>
      </c>
      <c r="G991" s="89">
        <v>441929000</v>
      </c>
      <c r="H991" s="89">
        <v>29412000</v>
      </c>
      <c r="I991" s="89">
        <v>0</v>
      </c>
      <c r="J991" s="89">
        <v>378716000</v>
      </c>
      <c r="K991" s="87" t="s">
        <v>58</v>
      </c>
      <c r="L991" s="87" t="s">
        <v>271</v>
      </c>
      <c r="M991" s="90">
        <f t="shared" si="93"/>
        <v>663318000</v>
      </c>
      <c r="N991" s="89">
        <f t="shared" si="94"/>
        <v>408128000</v>
      </c>
      <c r="O991" s="89">
        <f t="shared" si="95"/>
        <v>255190000</v>
      </c>
      <c r="P991" s="87">
        <f t="shared" si="91"/>
        <v>0.23088956586174855</v>
      </c>
      <c r="Q991" s="87">
        <f t="shared" si="92"/>
        <v>0.60015363081736472</v>
      </c>
    </row>
    <row r="992" spans="1:17">
      <c r="A992" s="83">
        <v>1018</v>
      </c>
      <c r="B992" s="83" t="s">
        <v>377</v>
      </c>
      <c r="C992" s="83" t="s">
        <v>23</v>
      </c>
      <c r="D992" s="84">
        <v>42264</v>
      </c>
      <c r="E992" s="85">
        <f t="shared" si="90"/>
        <v>2015</v>
      </c>
      <c r="F992" s="86">
        <v>1288149000</v>
      </c>
      <c r="G992" s="86">
        <v>497359000</v>
      </c>
      <c r="H992" s="86">
        <v>29870000</v>
      </c>
      <c r="I992" s="86">
        <v>0</v>
      </c>
      <c r="J992" s="86">
        <v>464472000</v>
      </c>
      <c r="K992" s="83" t="s">
        <v>58</v>
      </c>
      <c r="L992" s="83" t="s">
        <v>271</v>
      </c>
      <c r="M992" s="91">
        <f t="shared" si="93"/>
        <v>790790000</v>
      </c>
      <c r="N992" s="86">
        <f t="shared" si="94"/>
        <v>494342000</v>
      </c>
      <c r="O992" s="86">
        <f t="shared" si="95"/>
        <v>296448000</v>
      </c>
      <c r="P992" s="83">
        <f t="shared" si="91"/>
        <v>0.23013486793841395</v>
      </c>
      <c r="Q992" s="83">
        <f t="shared" si="92"/>
        <v>0.61389637378905704</v>
      </c>
    </row>
    <row r="993" spans="1:17">
      <c r="A993" s="87">
        <v>1019</v>
      </c>
      <c r="B993" s="87" t="s">
        <v>378</v>
      </c>
      <c r="C993" s="87" t="s">
        <v>18</v>
      </c>
      <c r="D993" s="84">
        <v>42265</v>
      </c>
      <c r="E993" s="88">
        <f t="shared" si="90"/>
        <v>2015</v>
      </c>
      <c r="F993" s="89">
        <v>11814000000</v>
      </c>
      <c r="G993" s="89">
        <v>10190000000</v>
      </c>
      <c r="H993" s="89">
        <v>582000000</v>
      </c>
      <c r="I993" s="89">
        <v>0</v>
      </c>
      <c r="J993" s="89">
        <v>102000000</v>
      </c>
      <c r="K993" s="87" t="s">
        <v>25</v>
      </c>
      <c r="L993" s="87" t="s">
        <v>139</v>
      </c>
      <c r="M993" s="90">
        <f t="shared" si="93"/>
        <v>1624000000</v>
      </c>
      <c r="N993" s="89">
        <f t="shared" si="94"/>
        <v>684000000</v>
      </c>
      <c r="O993" s="89">
        <f t="shared" si="95"/>
        <v>940000000</v>
      </c>
      <c r="P993" s="87">
        <f t="shared" si="91"/>
        <v>7.9566615879465036E-2</v>
      </c>
      <c r="Q993" s="87">
        <f t="shared" si="92"/>
        <v>0.13746402573218219</v>
      </c>
    </row>
    <row r="994" spans="1:17">
      <c r="A994" s="83">
        <v>1020</v>
      </c>
      <c r="B994" s="83" t="s">
        <v>378</v>
      </c>
      <c r="C994" s="83" t="s">
        <v>21</v>
      </c>
      <c r="D994" s="84">
        <v>42266</v>
      </c>
      <c r="E994" s="85">
        <f t="shared" si="90"/>
        <v>2015</v>
      </c>
      <c r="F994" s="86">
        <v>12784000000</v>
      </c>
      <c r="G994" s="86">
        <v>11020000000</v>
      </c>
      <c r="H994" s="86">
        <v>649000000</v>
      </c>
      <c r="I994" s="86">
        <v>0</v>
      </c>
      <c r="J994" s="86">
        <v>127000000</v>
      </c>
      <c r="K994" s="83" t="s">
        <v>25</v>
      </c>
      <c r="L994" s="83" t="s">
        <v>139</v>
      </c>
      <c r="M994" s="91">
        <f t="shared" si="93"/>
        <v>1764000000</v>
      </c>
      <c r="N994" s="86">
        <f t="shared" si="94"/>
        <v>776000000</v>
      </c>
      <c r="O994" s="86">
        <f t="shared" si="95"/>
        <v>988000000</v>
      </c>
      <c r="P994" s="83">
        <f t="shared" si="91"/>
        <v>7.7284105131414274E-2</v>
      </c>
      <c r="Q994" s="83">
        <f t="shared" si="92"/>
        <v>0.13798498122653313</v>
      </c>
    </row>
    <row r="995" spans="1:17">
      <c r="A995" s="87">
        <v>1021</v>
      </c>
      <c r="B995" s="87" t="s">
        <v>378</v>
      </c>
      <c r="C995" s="87" t="s">
        <v>22</v>
      </c>
      <c r="D995" s="84">
        <v>42267</v>
      </c>
      <c r="E995" s="88">
        <f t="shared" si="90"/>
        <v>2015</v>
      </c>
      <c r="F995" s="89">
        <v>13796000000</v>
      </c>
      <c r="G995" s="89">
        <v>11830000000</v>
      </c>
      <c r="H995" s="89">
        <v>659000000</v>
      </c>
      <c r="I995" s="89">
        <v>0</v>
      </c>
      <c r="J995" s="89">
        <v>148000000</v>
      </c>
      <c r="K995" s="87" t="s">
        <v>25</v>
      </c>
      <c r="L995" s="87" t="s">
        <v>139</v>
      </c>
      <c r="M995" s="90">
        <f t="shared" si="93"/>
        <v>1966000000</v>
      </c>
      <c r="N995" s="89">
        <f t="shared" si="94"/>
        <v>807000000</v>
      </c>
      <c r="O995" s="89">
        <f t="shared" si="95"/>
        <v>1159000000</v>
      </c>
      <c r="P995" s="87">
        <f t="shared" si="91"/>
        <v>8.400985792983473E-2</v>
      </c>
      <c r="Q995" s="87">
        <f t="shared" si="92"/>
        <v>0.14250507393447376</v>
      </c>
    </row>
    <row r="996" spans="1:17">
      <c r="A996" s="83">
        <v>1022</v>
      </c>
      <c r="B996" s="83" t="s">
        <v>378</v>
      </c>
      <c r="C996" s="83" t="s">
        <v>23</v>
      </c>
      <c r="D996" s="84">
        <v>42268</v>
      </c>
      <c r="E996" s="85">
        <f t="shared" si="90"/>
        <v>2015</v>
      </c>
      <c r="F996" s="86">
        <v>14486000000</v>
      </c>
      <c r="G996" s="86">
        <v>12363000000</v>
      </c>
      <c r="H996" s="86">
        <v>634000000</v>
      </c>
      <c r="I996" s="86">
        <v>0</v>
      </c>
      <c r="J996" s="86">
        <v>139000000</v>
      </c>
      <c r="K996" s="83" t="s">
        <v>25</v>
      </c>
      <c r="L996" s="83" t="s">
        <v>139</v>
      </c>
      <c r="M996" s="91">
        <f t="shared" si="93"/>
        <v>2123000000</v>
      </c>
      <c r="N996" s="86">
        <f t="shared" si="94"/>
        <v>773000000</v>
      </c>
      <c r="O996" s="86">
        <f t="shared" si="95"/>
        <v>1350000000</v>
      </c>
      <c r="P996" s="83">
        <f t="shared" si="91"/>
        <v>9.319342813751208E-2</v>
      </c>
      <c r="Q996" s="83">
        <f t="shared" si="92"/>
        <v>0.14655529476736162</v>
      </c>
    </row>
    <row r="997" spans="1:17">
      <c r="A997" s="87">
        <v>1023</v>
      </c>
      <c r="B997" s="87" t="s">
        <v>379</v>
      </c>
      <c r="C997" s="87" t="s">
        <v>18</v>
      </c>
      <c r="D997" s="84">
        <v>42269</v>
      </c>
      <c r="E997" s="88">
        <f t="shared" si="90"/>
        <v>2015</v>
      </c>
      <c r="F997" s="89">
        <v>6761000000</v>
      </c>
      <c r="G997" s="89">
        <v>4802000000</v>
      </c>
      <c r="H997" s="89">
        <v>1347000000</v>
      </c>
      <c r="I997" s="89">
        <v>0</v>
      </c>
      <c r="J997" s="89">
        <v>0</v>
      </c>
      <c r="K997" s="87" t="s">
        <v>19</v>
      </c>
      <c r="L997" s="87" t="s">
        <v>70</v>
      </c>
      <c r="M997" s="90">
        <f t="shared" si="93"/>
        <v>1959000000</v>
      </c>
      <c r="N997" s="89">
        <f t="shared" si="94"/>
        <v>1347000000</v>
      </c>
      <c r="O997" s="89">
        <f t="shared" si="95"/>
        <v>612000000</v>
      </c>
      <c r="P997" s="87">
        <f t="shared" si="91"/>
        <v>9.0519153971306027E-2</v>
      </c>
      <c r="Q997" s="87">
        <f t="shared" si="92"/>
        <v>0.28975003697677859</v>
      </c>
    </row>
    <row r="998" spans="1:17">
      <c r="A998" s="83">
        <v>1024</v>
      </c>
      <c r="B998" s="83" t="s">
        <v>379</v>
      </c>
      <c r="C998" s="83" t="s">
        <v>21</v>
      </c>
      <c r="D998" s="84">
        <v>42270</v>
      </c>
      <c r="E998" s="85">
        <f t="shared" si="90"/>
        <v>2015</v>
      </c>
      <c r="F998" s="86">
        <v>7006000000</v>
      </c>
      <c r="G998" s="86">
        <v>4946000000</v>
      </c>
      <c r="H998" s="86">
        <v>1338000000</v>
      </c>
      <c r="I998" s="86">
        <v>0</v>
      </c>
      <c r="J998" s="86">
        <v>0</v>
      </c>
      <c r="K998" s="83" t="s">
        <v>19</v>
      </c>
      <c r="L998" s="83" t="s">
        <v>70</v>
      </c>
      <c r="M998" s="91">
        <f t="shared" si="93"/>
        <v>2060000000</v>
      </c>
      <c r="N998" s="86">
        <f t="shared" si="94"/>
        <v>1338000000</v>
      </c>
      <c r="O998" s="86">
        <f t="shared" si="95"/>
        <v>722000000</v>
      </c>
      <c r="P998" s="83">
        <f t="shared" si="91"/>
        <v>0.10305452469312018</v>
      </c>
      <c r="Q998" s="83">
        <f t="shared" si="92"/>
        <v>0.29403368541250352</v>
      </c>
    </row>
    <row r="999" spans="1:17">
      <c r="A999" s="87">
        <v>1025</v>
      </c>
      <c r="B999" s="87" t="s">
        <v>379</v>
      </c>
      <c r="C999" s="87" t="s">
        <v>22</v>
      </c>
      <c r="D999" s="84">
        <v>42271</v>
      </c>
      <c r="E999" s="88">
        <f t="shared" si="90"/>
        <v>2015</v>
      </c>
      <c r="F999" s="89">
        <v>7142000000</v>
      </c>
      <c r="G999" s="89">
        <v>4889000000</v>
      </c>
      <c r="H999" s="89">
        <v>1339000000</v>
      </c>
      <c r="I999" s="89">
        <v>0</v>
      </c>
      <c r="J999" s="89">
        <v>0</v>
      </c>
      <c r="K999" s="87" t="s">
        <v>19</v>
      </c>
      <c r="L999" s="87" t="s">
        <v>70</v>
      </c>
      <c r="M999" s="90">
        <f t="shared" si="93"/>
        <v>2253000000</v>
      </c>
      <c r="N999" s="89">
        <f t="shared" si="94"/>
        <v>1339000000</v>
      </c>
      <c r="O999" s="89">
        <f t="shared" si="95"/>
        <v>914000000</v>
      </c>
      <c r="P999" s="87">
        <f t="shared" si="91"/>
        <v>0.12797535704284513</v>
      </c>
      <c r="Q999" s="87">
        <f t="shared" si="92"/>
        <v>0.31545785494259315</v>
      </c>
    </row>
    <row r="1000" spans="1:17">
      <c r="A1000" s="83">
        <v>1026</v>
      </c>
      <c r="B1000" s="83" t="s">
        <v>379</v>
      </c>
      <c r="C1000" s="83" t="s">
        <v>23</v>
      </c>
      <c r="D1000" s="84">
        <v>42272</v>
      </c>
      <c r="E1000" s="85">
        <f t="shared" si="90"/>
        <v>2015</v>
      </c>
      <c r="F1000" s="86">
        <v>7357000000</v>
      </c>
      <c r="G1000" s="86">
        <v>4901000000</v>
      </c>
      <c r="H1000" s="86">
        <v>1403000000</v>
      </c>
      <c r="I1000" s="86">
        <v>0</v>
      </c>
      <c r="J1000" s="86">
        <v>0</v>
      </c>
      <c r="K1000" s="83" t="s">
        <v>19</v>
      </c>
      <c r="L1000" s="83" t="s">
        <v>70</v>
      </c>
      <c r="M1000" s="91">
        <f t="shared" si="93"/>
        <v>2456000000</v>
      </c>
      <c r="N1000" s="86">
        <f t="shared" si="94"/>
        <v>1403000000</v>
      </c>
      <c r="O1000" s="86">
        <f t="shared" si="95"/>
        <v>1053000000</v>
      </c>
      <c r="P1000" s="83">
        <f t="shared" si="91"/>
        <v>0.14312899279597663</v>
      </c>
      <c r="Q1000" s="83">
        <f t="shared" si="92"/>
        <v>0.33383172488786195</v>
      </c>
    </row>
    <row r="1001" spans="1:17">
      <c r="A1001" s="87">
        <v>1027</v>
      </c>
      <c r="B1001" s="87" t="s">
        <v>380</v>
      </c>
      <c r="C1001" s="87" t="s">
        <v>18</v>
      </c>
      <c r="D1001" s="84">
        <v>42273</v>
      </c>
      <c r="E1001" s="88">
        <f t="shared" si="90"/>
        <v>2015</v>
      </c>
      <c r="F1001" s="89">
        <v>6420881000</v>
      </c>
      <c r="G1001" s="89">
        <v>3011684000</v>
      </c>
      <c r="H1001" s="89">
        <v>2388182000</v>
      </c>
      <c r="I1001" s="89">
        <v>0</v>
      </c>
      <c r="J1001" s="89">
        <v>0</v>
      </c>
      <c r="K1001" s="87" t="s">
        <v>25</v>
      </c>
      <c r="L1001" s="87" t="s">
        <v>292</v>
      </c>
      <c r="M1001" s="90">
        <f t="shared" si="93"/>
        <v>3409197000</v>
      </c>
      <c r="N1001" s="89">
        <f t="shared" si="94"/>
        <v>2388182000</v>
      </c>
      <c r="O1001" s="89">
        <f t="shared" si="95"/>
        <v>1021015000</v>
      </c>
      <c r="P1001" s="87">
        <f t="shared" si="91"/>
        <v>0.15901478317383549</v>
      </c>
      <c r="Q1001" s="87">
        <f t="shared" si="92"/>
        <v>0.53095470855167692</v>
      </c>
    </row>
    <row r="1002" spans="1:17">
      <c r="A1002" s="83">
        <v>1028</v>
      </c>
      <c r="B1002" s="83" t="s">
        <v>380</v>
      </c>
      <c r="C1002" s="83" t="s">
        <v>21</v>
      </c>
      <c r="D1002" s="84">
        <v>42274</v>
      </c>
      <c r="E1002" s="85">
        <f t="shared" si="90"/>
        <v>2015</v>
      </c>
      <c r="F1002" s="86">
        <v>6484892000</v>
      </c>
      <c r="G1002" s="86">
        <v>3006009000</v>
      </c>
      <c r="H1002" s="86">
        <v>2310780000</v>
      </c>
      <c r="I1002" s="86">
        <v>0</v>
      </c>
      <c r="J1002" s="86">
        <v>0</v>
      </c>
      <c r="K1002" s="83" t="s">
        <v>25</v>
      </c>
      <c r="L1002" s="83" t="s">
        <v>292</v>
      </c>
      <c r="M1002" s="91">
        <f t="shared" si="93"/>
        <v>3478883000</v>
      </c>
      <c r="N1002" s="86">
        <f t="shared" si="94"/>
        <v>2310780000</v>
      </c>
      <c r="O1002" s="86">
        <f t="shared" si="95"/>
        <v>1168103000</v>
      </c>
      <c r="P1002" s="83">
        <f t="shared" si="91"/>
        <v>0.18012682400878843</v>
      </c>
      <c r="Q1002" s="83">
        <f t="shared" si="92"/>
        <v>0.53645966656036825</v>
      </c>
    </row>
    <row r="1003" spans="1:17">
      <c r="A1003" s="87">
        <v>1029</v>
      </c>
      <c r="B1003" s="87" t="s">
        <v>380</v>
      </c>
      <c r="C1003" s="87" t="s">
        <v>22</v>
      </c>
      <c r="D1003" s="84">
        <v>42275</v>
      </c>
      <c r="E1003" s="88">
        <f t="shared" si="90"/>
        <v>2015</v>
      </c>
      <c r="F1003" s="89">
        <v>6023819000</v>
      </c>
      <c r="G1003" s="89">
        <v>3022797000</v>
      </c>
      <c r="H1003" s="89">
        <v>2347308000</v>
      </c>
      <c r="I1003" s="89">
        <v>0</v>
      </c>
      <c r="J1003" s="89">
        <v>0</v>
      </c>
      <c r="K1003" s="87" t="s">
        <v>25</v>
      </c>
      <c r="L1003" s="87" t="s">
        <v>292</v>
      </c>
      <c r="M1003" s="90">
        <f t="shared" si="93"/>
        <v>3001022000</v>
      </c>
      <c r="N1003" s="89">
        <f t="shared" si="94"/>
        <v>2347308000</v>
      </c>
      <c r="O1003" s="89">
        <f t="shared" si="95"/>
        <v>653714000</v>
      </c>
      <c r="P1003" s="87">
        <f t="shared" si="91"/>
        <v>0.10852152098195514</v>
      </c>
      <c r="Q1003" s="87">
        <f t="shared" si="92"/>
        <v>0.49819259177608088</v>
      </c>
    </row>
    <row r="1004" spans="1:17">
      <c r="A1004" s="83">
        <v>1030</v>
      </c>
      <c r="B1004" s="83" t="s">
        <v>380</v>
      </c>
      <c r="C1004" s="83" t="s">
        <v>23</v>
      </c>
      <c r="D1004" s="84">
        <v>42276</v>
      </c>
      <c r="E1004" s="85">
        <f t="shared" si="90"/>
        <v>2015</v>
      </c>
      <c r="F1004" s="86">
        <v>5702613000</v>
      </c>
      <c r="G1004" s="86">
        <v>2896255000</v>
      </c>
      <c r="H1004" s="86">
        <v>2265436000</v>
      </c>
      <c r="I1004" s="86">
        <v>0</v>
      </c>
      <c r="J1004" s="86">
        <v>0</v>
      </c>
      <c r="K1004" s="83" t="s">
        <v>25</v>
      </c>
      <c r="L1004" s="83" t="s">
        <v>292</v>
      </c>
      <c r="M1004" s="91">
        <f t="shared" si="93"/>
        <v>2806358000</v>
      </c>
      <c r="N1004" s="86">
        <f t="shared" si="94"/>
        <v>2265436000</v>
      </c>
      <c r="O1004" s="86">
        <f t="shared" si="95"/>
        <v>540922000</v>
      </c>
      <c r="P1004" s="83">
        <f t="shared" si="91"/>
        <v>9.4855112910520137E-2</v>
      </c>
      <c r="Q1004" s="83">
        <f t="shared" si="92"/>
        <v>0.49211791156089324</v>
      </c>
    </row>
    <row r="1005" spans="1:17">
      <c r="A1005" s="87">
        <v>1031</v>
      </c>
      <c r="B1005" s="87" t="s">
        <v>381</v>
      </c>
      <c r="C1005" s="87" t="s">
        <v>18</v>
      </c>
      <c r="D1005" s="84">
        <v>42277</v>
      </c>
      <c r="E1005" s="88">
        <f t="shared" si="90"/>
        <v>2015</v>
      </c>
      <c r="F1005" s="89">
        <v>27567000000</v>
      </c>
      <c r="G1005" s="89">
        <v>16750700000</v>
      </c>
      <c r="H1005" s="89">
        <v>2211700000</v>
      </c>
      <c r="I1005" s="89">
        <v>0</v>
      </c>
      <c r="J1005" s="89">
        <v>0</v>
      </c>
      <c r="K1005" s="87" t="s">
        <v>25</v>
      </c>
      <c r="L1005" s="87" t="s">
        <v>161</v>
      </c>
      <c r="M1005" s="90">
        <f t="shared" si="93"/>
        <v>10816300000</v>
      </c>
      <c r="N1005" s="89">
        <f t="shared" si="94"/>
        <v>2211700000</v>
      </c>
      <c r="O1005" s="89">
        <f t="shared" si="95"/>
        <v>8604600000</v>
      </c>
      <c r="P1005" s="87">
        <f t="shared" si="91"/>
        <v>0.31213407334856896</v>
      </c>
      <c r="Q1005" s="87">
        <f t="shared" si="92"/>
        <v>0.39236405847571376</v>
      </c>
    </row>
    <row r="1006" spans="1:17">
      <c r="A1006" s="83">
        <v>1032</v>
      </c>
      <c r="B1006" s="83" t="s">
        <v>381</v>
      </c>
      <c r="C1006" s="83" t="s">
        <v>21</v>
      </c>
      <c r="D1006" s="84">
        <v>42278</v>
      </c>
      <c r="E1006" s="85">
        <f t="shared" si="90"/>
        <v>2015</v>
      </c>
      <c r="F1006" s="86">
        <v>28105700000</v>
      </c>
      <c r="G1006" s="86">
        <v>17203000000</v>
      </c>
      <c r="H1006" s="86">
        <v>2138400000</v>
      </c>
      <c r="I1006" s="86">
        <v>0</v>
      </c>
      <c r="J1006" s="86">
        <v>0</v>
      </c>
      <c r="K1006" s="83" t="s">
        <v>25</v>
      </c>
      <c r="L1006" s="83" t="s">
        <v>161</v>
      </c>
      <c r="M1006" s="91">
        <f t="shared" si="93"/>
        <v>10902700000</v>
      </c>
      <c r="N1006" s="86">
        <f t="shared" si="94"/>
        <v>2138400000</v>
      </c>
      <c r="O1006" s="86">
        <f t="shared" si="95"/>
        <v>8764300000</v>
      </c>
      <c r="P1006" s="83">
        <f t="shared" si="91"/>
        <v>0.31183354266216462</v>
      </c>
      <c r="Q1006" s="83">
        <f t="shared" si="92"/>
        <v>0.38791775333829082</v>
      </c>
    </row>
    <row r="1007" spans="1:17">
      <c r="A1007" s="87">
        <v>1033</v>
      </c>
      <c r="B1007" s="87" t="s">
        <v>381</v>
      </c>
      <c r="C1007" s="87" t="s">
        <v>22</v>
      </c>
      <c r="D1007" s="84">
        <v>42279</v>
      </c>
      <c r="E1007" s="88">
        <f t="shared" si="90"/>
        <v>2015</v>
      </c>
      <c r="F1007" s="89">
        <v>27441300000</v>
      </c>
      <c r="G1007" s="89">
        <v>16985600000</v>
      </c>
      <c r="H1007" s="89">
        <v>2506500000</v>
      </c>
      <c r="I1007" s="89">
        <v>0</v>
      </c>
      <c r="J1007" s="89">
        <v>0</v>
      </c>
      <c r="K1007" s="87" t="s">
        <v>25</v>
      </c>
      <c r="L1007" s="87" t="s">
        <v>161</v>
      </c>
      <c r="M1007" s="90">
        <f t="shared" si="93"/>
        <v>10455700000</v>
      </c>
      <c r="N1007" s="89">
        <f t="shared" si="94"/>
        <v>2506500000</v>
      </c>
      <c r="O1007" s="89">
        <f t="shared" si="95"/>
        <v>7949200000</v>
      </c>
      <c r="P1007" s="87">
        <f t="shared" si="91"/>
        <v>0.28968015363703614</v>
      </c>
      <c r="Q1007" s="87">
        <f t="shared" si="92"/>
        <v>0.38102057847113657</v>
      </c>
    </row>
    <row r="1008" spans="1:17">
      <c r="A1008" s="83">
        <v>1034</v>
      </c>
      <c r="B1008" s="83" t="s">
        <v>381</v>
      </c>
      <c r="C1008" s="83" t="s">
        <v>23</v>
      </c>
      <c r="D1008" s="84">
        <v>42280</v>
      </c>
      <c r="E1008" s="85">
        <f t="shared" si="90"/>
        <v>2015</v>
      </c>
      <c r="F1008" s="86">
        <v>25413000000</v>
      </c>
      <c r="G1008" s="86">
        <v>15623800000</v>
      </c>
      <c r="H1008" s="86">
        <v>2643700000</v>
      </c>
      <c r="I1008" s="86">
        <v>0</v>
      </c>
      <c r="J1008" s="86">
        <v>0</v>
      </c>
      <c r="K1008" s="83" t="s">
        <v>25</v>
      </c>
      <c r="L1008" s="83" t="s">
        <v>161</v>
      </c>
      <c r="M1008" s="91">
        <f t="shared" si="93"/>
        <v>9789200000</v>
      </c>
      <c r="N1008" s="86">
        <f t="shared" si="94"/>
        <v>2643700000</v>
      </c>
      <c r="O1008" s="86">
        <f t="shared" si="95"/>
        <v>7145500000</v>
      </c>
      <c r="P1008" s="83">
        <f t="shared" si="91"/>
        <v>0.28117498917876677</v>
      </c>
      <c r="Q1008" s="83">
        <f t="shared" si="92"/>
        <v>0.3852044229331445</v>
      </c>
    </row>
    <row r="1009" spans="1:17">
      <c r="A1009" s="87">
        <v>1035</v>
      </c>
      <c r="B1009" s="87" t="s">
        <v>382</v>
      </c>
      <c r="C1009" s="87" t="s">
        <v>18</v>
      </c>
      <c r="D1009" s="84">
        <v>42281</v>
      </c>
      <c r="E1009" s="88">
        <f t="shared" si="90"/>
        <v>2015</v>
      </c>
      <c r="F1009" s="89">
        <v>1581623000</v>
      </c>
      <c r="G1009" s="89">
        <v>743164000</v>
      </c>
      <c r="H1009" s="89">
        <v>261471000</v>
      </c>
      <c r="I1009" s="89">
        <v>254723000</v>
      </c>
      <c r="J1009" s="89">
        <v>111537000</v>
      </c>
      <c r="K1009" s="87" t="s">
        <v>28</v>
      </c>
      <c r="L1009" s="87" t="s">
        <v>40</v>
      </c>
      <c r="M1009" s="90">
        <f t="shared" si="93"/>
        <v>838459000</v>
      </c>
      <c r="N1009" s="89">
        <f t="shared" si="94"/>
        <v>627731000</v>
      </c>
      <c r="O1009" s="89">
        <f t="shared" si="95"/>
        <v>210728000</v>
      </c>
      <c r="P1009" s="87">
        <f t="shared" si="91"/>
        <v>0.13323529058441866</v>
      </c>
      <c r="Q1009" s="87">
        <f t="shared" si="92"/>
        <v>0.53012569999298187</v>
      </c>
    </row>
    <row r="1010" spans="1:17">
      <c r="A1010" s="83">
        <v>1036</v>
      </c>
      <c r="B1010" s="83" t="s">
        <v>382</v>
      </c>
      <c r="C1010" s="83" t="s">
        <v>21</v>
      </c>
      <c r="D1010" s="84">
        <v>42282</v>
      </c>
      <c r="E1010" s="85">
        <f t="shared" si="90"/>
        <v>2015</v>
      </c>
      <c r="F1010" s="86">
        <v>1931217000</v>
      </c>
      <c r="G1010" s="86">
        <v>802474000</v>
      </c>
      <c r="H1010" s="86">
        <v>267278000</v>
      </c>
      <c r="I1010" s="86">
        <v>305043000</v>
      </c>
      <c r="J1010" s="86">
        <v>94534000</v>
      </c>
      <c r="K1010" s="83" t="s">
        <v>28</v>
      </c>
      <c r="L1010" s="83" t="s">
        <v>40</v>
      </c>
      <c r="M1010" s="91">
        <f t="shared" si="93"/>
        <v>1128743000</v>
      </c>
      <c r="N1010" s="86">
        <f t="shared" si="94"/>
        <v>666855000</v>
      </c>
      <c r="O1010" s="86">
        <f t="shared" si="95"/>
        <v>461888000</v>
      </c>
      <c r="P1010" s="83">
        <f t="shared" si="91"/>
        <v>0.23916939422136405</v>
      </c>
      <c r="Q1010" s="83">
        <f t="shared" si="92"/>
        <v>0.58447238192290141</v>
      </c>
    </row>
    <row r="1011" spans="1:17">
      <c r="A1011" s="87">
        <v>1037</v>
      </c>
      <c r="B1011" s="87" t="s">
        <v>382</v>
      </c>
      <c r="C1011" s="87" t="s">
        <v>22</v>
      </c>
      <c r="D1011" s="84">
        <v>42283</v>
      </c>
      <c r="E1011" s="88">
        <f t="shared" si="90"/>
        <v>2015</v>
      </c>
      <c r="F1011" s="89">
        <v>2147036000</v>
      </c>
      <c r="G1011" s="89">
        <v>917472000</v>
      </c>
      <c r="H1011" s="89">
        <v>274815000</v>
      </c>
      <c r="I1011" s="89">
        <v>349543000</v>
      </c>
      <c r="J1011" s="89">
        <v>176746000</v>
      </c>
      <c r="K1011" s="87" t="s">
        <v>28</v>
      </c>
      <c r="L1011" s="87" t="s">
        <v>40</v>
      </c>
      <c r="M1011" s="90">
        <f t="shared" si="93"/>
        <v>1229564000</v>
      </c>
      <c r="N1011" s="89">
        <f t="shared" si="94"/>
        <v>801104000</v>
      </c>
      <c r="O1011" s="89">
        <f t="shared" si="95"/>
        <v>428460000</v>
      </c>
      <c r="P1011" s="87">
        <f t="shared" si="91"/>
        <v>0.19955883366650581</v>
      </c>
      <c r="Q1011" s="87">
        <f t="shared" si="92"/>
        <v>0.57267973149961149</v>
      </c>
    </row>
    <row r="1012" spans="1:17">
      <c r="A1012" s="83">
        <v>1038</v>
      </c>
      <c r="B1012" s="83" t="s">
        <v>382</v>
      </c>
      <c r="C1012" s="83" t="s">
        <v>23</v>
      </c>
      <c r="D1012" s="84">
        <v>42284</v>
      </c>
      <c r="E1012" s="85">
        <f t="shared" si="90"/>
        <v>2015</v>
      </c>
      <c r="F1012" s="86">
        <v>2173334000</v>
      </c>
      <c r="G1012" s="86">
        <v>967870000</v>
      </c>
      <c r="H1012" s="86">
        <v>301670000</v>
      </c>
      <c r="I1012" s="86">
        <v>372596000</v>
      </c>
      <c r="J1012" s="86">
        <v>174896000</v>
      </c>
      <c r="K1012" s="83" t="s">
        <v>28</v>
      </c>
      <c r="L1012" s="83" t="s">
        <v>40</v>
      </c>
      <c r="M1012" s="91">
        <f t="shared" si="93"/>
        <v>1205464000</v>
      </c>
      <c r="N1012" s="86">
        <f t="shared" si="94"/>
        <v>849162000</v>
      </c>
      <c r="O1012" s="86">
        <f t="shared" si="95"/>
        <v>356302000</v>
      </c>
      <c r="P1012" s="83">
        <f t="shared" si="91"/>
        <v>0.16394258774767248</v>
      </c>
      <c r="Q1012" s="83">
        <f t="shared" si="92"/>
        <v>0.5546611795517854</v>
      </c>
    </row>
    <row r="1013" spans="1:17">
      <c r="A1013" s="87">
        <v>1039</v>
      </c>
      <c r="B1013" s="87" t="s">
        <v>383</v>
      </c>
      <c r="C1013" s="87" t="s">
        <v>18</v>
      </c>
      <c r="D1013" s="84">
        <v>42285</v>
      </c>
      <c r="E1013" s="88">
        <f t="shared" si="90"/>
        <v>2015</v>
      </c>
      <c r="F1013" s="89">
        <v>122196000000</v>
      </c>
      <c r="G1013" s="89">
        <v>115315000000</v>
      </c>
      <c r="H1013" s="89">
        <v>4110000000</v>
      </c>
      <c r="I1013" s="89">
        <v>433000000</v>
      </c>
      <c r="J1013" s="89">
        <v>0</v>
      </c>
      <c r="K1013" s="87" t="s">
        <v>31</v>
      </c>
      <c r="L1013" s="87" t="s">
        <v>34</v>
      </c>
      <c r="M1013" s="90">
        <f t="shared" si="93"/>
        <v>6881000000</v>
      </c>
      <c r="N1013" s="89">
        <f t="shared" si="94"/>
        <v>4543000000</v>
      </c>
      <c r="O1013" s="89">
        <f t="shared" si="95"/>
        <v>2338000000</v>
      </c>
      <c r="P1013" s="87">
        <f t="shared" si="91"/>
        <v>1.9133195849291303E-2</v>
      </c>
      <c r="Q1013" s="87">
        <f t="shared" si="92"/>
        <v>5.6311172215129823E-2</v>
      </c>
    </row>
    <row r="1014" spans="1:17">
      <c r="A1014" s="83">
        <v>1040</v>
      </c>
      <c r="B1014" s="83" t="s">
        <v>383</v>
      </c>
      <c r="C1014" s="83" t="s">
        <v>21</v>
      </c>
      <c r="D1014" s="84">
        <v>42286</v>
      </c>
      <c r="E1014" s="85">
        <f t="shared" si="90"/>
        <v>2015</v>
      </c>
      <c r="F1014" s="86">
        <v>137392000000</v>
      </c>
      <c r="G1014" s="86">
        <v>129040000000</v>
      </c>
      <c r="H1014" s="86">
        <v>5388000000</v>
      </c>
      <c r="I1014" s="86">
        <v>457000000</v>
      </c>
      <c r="J1014" s="86">
        <v>0</v>
      </c>
      <c r="K1014" s="83" t="s">
        <v>31</v>
      </c>
      <c r="L1014" s="83" t="s">
        <v>34</v>
      </c>
      <c r="M1014" s="91">
        <f t="shared" si="93"/>
        <v>8352000000</v>
      </c>
      <c r="N1014" s="86">
        <f t="shared" si="94"/>
        <v>5845000000</v>
      </c>
      <c r="O1014" s="86">
        <f t="shared" si="95"/>
        <v>2507000000</v>
      </c>
      <c r="P1014" s="83">
        <f t="shared" si="91"/>
        <v>1.8247059508559451E-2</v>
      </c>
      <c r="Q1014" s="83">
        <f t="shared" si="92"/>
        <v>6.0789565622452524E-2</v>
      </c>
    </row>
    <row r="1015" spans="1:17">
      <c r="A1015" s="87">
        <v>1041</v>
      </c>
      <c r="B1015" s="87" t="s">
        <v>383</v>
      </c>
      <c r="C1015" s="87" t="s">
        <v>22</v>
      </c>
      <c r="D1015" s="84">
        <v>42287</v>
      </c>
      <c r="E1015" s="88">
        <f t="shared" si="90"/>
        <v>2015</v>
      </c>
      <c r="F1015" s="89">
        <v>179045000000</v>
      </c>
      <c r="G1015" s="89">
        <v>167634000000</v>
      </c>
      <c r="H1015" s="89">
        <v>7901000000</v>
      </c>
      <c r="I1015" s="89">
        <v>392000000</v>
      </c>
      <c r="J1015" s="89">
        <v>0</v>
      </c>
      <c r="K1015" s="87" t="s">
        <v>31</v>
      </c>
      <c r="L1015" s="87" t="s">
        <v>34</v>
      </c>
      <c r="M1015" s="90">
        <f t="shared" si="93"/>
        <v>11411000000</v>
      </c>
      <c r="N1015" s="89">
        <f t="shared" si="94"/>
        <v>8293000000</v>
      </c>
      <c r="O1015" s="89">
        <f t="shared" si="95"/>
        <v>3118000000</v>
      </c>
      <c r="P1015" s="87">
        <f t="shared" si="91"/>
        <v>1.7414616437208524E-2</v>
      </c>
      <c r="Q1015" s="87">
        <f t="shared" si="92"/>
        <v>6.3732581194671734E-2</v>
      </c>
    </row>
    <row r="1016" spans="1:17">
      <c r="A1016" s="83">
        <v>1042</v>
      </c>
      <c r="B1016" s="83" t="s">
        <v>383</v>
      </c>
      <c r="C1016" s="83" t="s">
        <v>23</v>
      </c>
      <c r="D1016" s="84">
        <v>42288</v>
      </c>
      <c r="E1016" s="85">
        <f t="shared" si="90"/>
        <v>2015</v>
      </c>
      <c r="F1016" s="86">
        <v>190884000000</v>
      </c>
      <c r="G1016" s="86">
        <v>179468000000</v>
      </c>
      <c r="H1016" s="86">
        <v>7276000000</v>
      </c>
      <c r="I1016" s="86">
        <v>392000000</v>
      </c>
      <c r="J1016" s="86">
        <v>0</v>
      </c>
      <c r="K1016" s="83" t="s">
        <v>31</v>
      </c>
      <c r="L1016" s="83" t="s">
        <v>34</v>
      </c>
      <c r="M1016" s="91">
        <f t="shared" si="93"/>
        <v>11416000000</v>
      </c>
      <c r="N1016" s="86">
        <f t="shared" si="94"/>
        <v>7668000000</v>
      </c>
      <c r="O1016" s="86">
        <f t="shared" si="95"/>
        <v>3748000000</v>
      </c>
      <c r="P1016" s="83">
        <f t="shared" si="91"/>
        <v>1.9634961547327173E-2</v>
      </c>
      <c r="Q1016" s="83">
        <f t="shared" si="92"/>
        <v>5.980595544938283E-2</v>
      </c>
    </row>
    <row r="1017" spans="1:17">
      <c r="A1017" s="87">
        <v>1043</v>
      </c>
      <c r="B1017" s="87" t="s">
        <v>384</v>
      </c>
      <c r="C1017" s="87" t="s">
        <v>18</v>
      </c>
      <c r="D1017" s="84">
        <v>42289</v>
      </c>
      <c r="E1017" s="88">
        <f t="shared" si="90"/>
        <v>2015</v>
      </c>
      <c r="F1017" s="89">
        <v>2730300000</v>
      </c>
      <c r="G1017" s="89">
        <v>795000000</v>
      </c>
      <c r="H1017" s="89">
        <v>752200000</v>
      </c>
      <c r="I1017" s="89">
        <v>0</v>
      </c>
      <c r="J1017" s="89">
        <v>93500000</v>
      </c>
      <c r="K1017" s="87" t="s">
        <v>53</v>
      </c>
      <c r="L1017" s="87" t="s">
        <v>385</v>
      </c>
      <c r="M1017" s="90">
        <f t="shared" si="93"/>
        <v>1935300000</v>
      </c>
      <c r="N1017" s="89">
        <f t="shared" si="94"/>
        <v>845700000</v>
      </c>
      <c r="O1017" s="89">
        <f t="shared" si="95"/>
        <v>1089600000</v>
      </c>
      <c r="P1017" s="87">
        <f t="shared" si="91"/>
        <v>0.39907702450280191</v>
      </c>
      <c r="Q1017" s="87">
        <f t="shared" si="92"/>
        <v>0.70882320624107242</v>
      </c>
    </row>
    <row r="1018" spans="1:17">
      <c r="A1018" s="83">
        <v>1044</v>
      </c>
      <c r="B1018" s="83" t="s">
        <v>384</v>
      </c>
      <c r="C1018" s="83" t="s">
        <v>21</v>
      </c>
      <c r="D1018" s="84">
        <v>42290</v>
      </c>
      <c r="E1018" s="85">
        <f t="shared" si="90"/>
        <v>2015</v>
      </c>
      <c r="F1018" s="86">
        <v>2972500000</v>
      </c>
      <c r="G1018" s="86">
        <v>822400000</v>
      </c>
      <c r="H1018" s="86">
        <v>822100000</v>
      </c>
      <c r="I1018" s="86">
        <v>0</v>
      </c>
      <c r="J1018" s="86">
        <v>93400000</v>
      </c>
      <c r="K1018" s="83" t="s">
        <v>53</v>
      </c>
      <c r="L1018" s="83" t="s">
        <v>385</v>
      </c>
      <c r="M1018" s="91">
        <f t="shared" si="93"/>
        <v>2150100000</v>
      </c>
      <c r="N1018" s="86">
        <f t="shared" si="94"/>
        <v>915500000</v>
      </c>
      <c r="O1018" s="86">
        <f t="shared" si="95"/>
        <v>1234600000</v>
      </c>
      <c r="P1018" s="83">
        <f t="shared" si="91"/>
        <v>0.41534062237174096</v>
      </c>
      <c r="Q1018" s="83">
        <f t="shared" si="92"/>
        <v>0.72333052985702273</v>
      </c>
    </row>
    <row r="1019" spans="1:17">
      <c r="A1019" s="87">
        <v>1045</v>
      </c>
      <c r="B1019" s="87" t="s">
        <v>384</v>
      </c>
      <c r="C1019" s="87" t="s">
        <v>22</v>
      </c>
      <c r="D1019" s="84">
        <v>42291</v>
      </c>
      <c r="E1019" s="88">
        <f t="shared" si="90"/>
        <v>2015</v>
      </c>
      <c r="F1019" s="89">
        <v>3334300000</v>
      </c>
      <c r="G1019" s="89">
        <v>930300000</v>
      </c>
      <c r="H1019" s="89">
        <v>869300000</v>
      </c>
      <c r="I1019" s="89">
        <v>0</v>
      </c>
      <c r="J1019" s="89">
        <v>95600000</v>
      </c>
      <c r="K1019" s="87" t="s">
        <v>53</v>
      </c>
      <c r="L1019" s="87" t="s">
        <v>385</v>
      </c>
      <c r="M1019" s="90">
        <f t="shared" si="93"/>
        <v>2404000000</v>
      </c>
      <c r="N1019" s="89">
        <f t="shared" si="94"/>
        <v>964900000</v>
      </c>
      <c r="O1019" s="89">
        <f t="shared" si="95"/>
        <v>1439100000</v>
      </c>
      <c r="P1019" s="87">
        <f t="shared" si="91"/>
        <v>0.43160483459796661</v>
      </c>
      <c r="Q1019" s="87">
        <f t="shared" si="92"/>
        <v>0.72099091263533577</v>
      </c>
    </row>
    <row r="1020" spans="1:17">
      <c r="A1020" s="83">
        <v>1046</v>
      </c>
      <c r="B1020" s="83" t="s">
        <v>384</v>
      </c>
      <c r="C1020" s="83" t="s">
        <v>23</v>
      </c>
      <c r="D1020" s="84">
        <v>42292</v>
      </c>
      <c r="E1020" s="85">
        <f t="shared" si="90"/>
        <v>2015</v>
      </c>
      <c r="F1020" s="86">
        <v>3484500000</v>
      </c>
      <c r="G1020" s="86">
        <v>976300000</v>
      </c>
      <c r="H1020" s="86">
        <v>921300000</v>
      </c>
      <c r="I1020" s="86">
        <v>0</v>
      </c>
      <c r="J1020" s="86">
        <v>113500000</v>
      </c>
      <c r="K1020" s="83" t="s">
        <v>53</v>
      </c>
      <c r="L1020" s="83" t="s">
        <v>385</v>
      </c>
      <c r="M1020" s="91">
        <f t="shared" si="93"/>
        <v>2508200000</v>
      </c>
      <c r="N1020" s="86">
        <f t="shared" si="94"/>
        <v>1034800000</v>
      </c>
      <c r="O1020" s="86">
        <f t="shared" si="95"/>
        <v>1473400000</v>
      </c>
      <c r="P1020" s="83">
        <f t="shared" si="91"/>
        <v>0.42284402353278805</v>
      </c>
      <c r="Q1020" s="83">
        <f t="shared" si="92"/>
        <v>0.71981632945903284</v>
      </c>
    </row>
    <row r="1021" spans="1:17">
      <c r="A1021" s="87">
        <v>1047</v>
      </c>
      <c r="B1021" s="87" t="s">
        <v>386</v>
      </c>
      <c r="C1021" s="87" t="s">
        <v>18</v>
      </c>
      <c r="D1021" s="84">
        <v>42293</v>
      </c>
      <c r="E1021" s="88">
        <f t="shared" si="90"/>
        <v>2015</v>
      </c>
      <c r="F1021" s="89">
        <v>35015000000</v>
      </c>
      <c r="G1021" s="89">
        <v>21939000000</v>
      </c>
      <c r="H1021" s="89">
        <v>9176000000</v>
      </c>
      <c r="I1021" s="89">
        <v>0</v>
      </c>
      <c r="J1021" s="89">
        <v>217000000</v>
      </c>
      <c r="K1021" s="87" t="s">
        <v>42</v>
      </c>
      <c r="L1021" s="87" t="s">
        <v>130</v>
      </c>
      <c r="M1021" s="90">
        <f t="shared" si="93"/>
        <v>13076000000</v>
      </c>
      <c r="N1021" s="89">
        <f t="shared" si="94"/>
        <v>9393000000</v>
      </c>
      <c r="O1021" s="89">
        <f t="shared" si="95"/>
        <v>3683000000</v>
      </c>
      <c r="P1021" s="87">
        <f t="shared" si="91"/>
        <v>0.1051834927888048</v>
      </c>
      <c r="Q1021" s="87">
        <f t="shared" si="92"/>
        <v>0.37343995430529775</v>
      </c>
    </row>
    <row r="1022" spans="1:17">
      <c r="A1022" s="83">
        <v>1048</v>
      </c>
      <c r="B1022" s="83" t="s">
        <v>386</v>
      </c>
      <c r="C1022" s="83" t="s">
        <v>21</v>
      </c>
      <c r="D1022" s="84">
        <v>42294</v>
      </c>
      <c r="E1022" s="85">
        <f t="shared" si="90"/>
        <v>2015</v>
      </c>
      <c r="F1022" s="86">
        <v>35299000000</v>
      </c>
      <c r="G1022" s="86">
        <v>22189000000</v>
      </c>
      <c r="H1022" s="86">
        <v>8679000000</v>
      </c>
      <c r="I1022" s="86">
        <v>0</v>
      </c>
      <c r="J1022" s="86">
        <v>217000000</v>
      </c>
      <c r="K1022" s="83" t="s">
        <v>42</v>
      </c>
      <c r="L1022" s="83" t="s">
        <v>130</v>
      </c>
      <c r="M1022" s="91">
        <f t="shared" si="93"/>
        <v>13110000000</v>
      </c>
      <c r="N1022" s="86">
        <f t="shared" si="94"/>
        <v>8896000000</v>
      </c>
      <c r="O1022" s="86">
        <f t="shared" si="95"/>
        <v>4214000000</v>
      </c>
      <c r="P1022" s="83">
        <f t="shared" si="91"/>
        <v>0.11938015241224964</v>
      </c>
      <c r="Q1022" s="83">
        <f t="shared" si="92"/>
        <v>0.37139862319045869</v>
      </c>
    </row>
    <row r="1023" spans="1:17">
      <c r="A1023" s="87">
        <v>1049</v>
      </c>
      <c r="B1023" s="87" t="s">
        <v>386</v>
      </c>
      <c r="C1023" s="87" t="s">
        <v>22</v>
      </c>
      <c r="D1023" s="84">
        <v>42295</v>
      </c>
      <c r="E1023" s="88">
        <f t="shared" ref="E1023:E1086" si="96">YEAR(D1023)</f>
        <v>2015</v>
      </c>
      <c r="F1023" s="89">
        <v>34244000000</v>
      </c>
      <c r="G1023" s="89">
        <v>21647000000</v>
      </c>
      <c r="H1023" s="89">
        <v>8457000000</v>
      </c>
      <c r="I1023" s="89">
        <v>0</v>
      </c>
      <c r="J1023" s="89">
        <v>206000000</v>
      </c>
      <c r="K1023" s="87" t="s">
        <v>42</v>
      </c>
      <c r="L1023" s="87" t="s">
        <v>130</v>
      </c>
      <c r="M1023" s="90">
        <f t="shared" si="93"/>
        <v>12597000000</v>
      </c>
      <c r="N1023" s="89">
        <f t="shared" si="94"/>
        <v>8663000000</v>
      </c>
      <c r="O1023" s="89">
        <f t="shared" si="95"/>
        <v>3934000000</v>
      </c>
      <c r="P1023" s="87">
        <f t="shared" si="91"/>
        <v>0.11488143908421913</v>
      </c>
      <c r="Q1023" s="87">
        <f t="shared" si="92"/>
        <v>0.36786006307674335</v>
      </c>
    </row>
    <row r="1024" spans="1:17">
      <c r="A1024" s="83">
        <v>1050</v>
      </c>
      <c r="B1024" s="83" t="s">
        <v>386</v>
      </c>
      <c r="C1024" s="83" t="s">
        <v>23</v>
      </c>
      <c r="D1024" s="84">
        <v>42296</v>
      </c>
      <c r="E1024" s="85">
        <f t="shared" si="96"/>
        <v>2015</v>
      </c>
      <c r="F1024" s="86">
        <v>29636000000</v>
      </c>
      <c r="G1024" s="86">
        <v>18124000000</v>
      </c>
      <c r="H1024" s="86">
        <v>7577000000</v>
      </c>
      <c r="I1024" s="86">
        <v>0</v>
      </c>
      <c r="J1024" s="86">
        <v>181000000</v>
      </c>
      <c r="K1024" s="83" t="s">
        <v>42</v>
      </c>
      <c r="L1024" s="83" t="s">
        <v>130</v>
      </c>
      <c r="M1024" s="91">
        <f t="shared" si="93"/>
        <v>11512000000</v>
      </c>
      <c r="N1024" s="86">
        <f t="shared" si="94"/>
        <v>7758000000</v>
      </c>
      <c r="O1024" s="86">
        <f t="shared" si="95"/>
        <v>3754000000</v>
      </c>
      <c r="P1024" s="83">
        <f t="shared" si="91"/>
        <v>0.12667026589283303</v>
      </c>
      <c r="Q1024" s="83">
        <f t="shared" si="92"/>
        <v>0.38844648400593873</v>
      </c>
    </row>
    <row r="1025" spans="1:17">
      <c r="A1025" s="87">
        <v>1051</v>
      </c>
      <c r="B1025" s="87" t="s">
        <v>387</v>
      </c>
      <c r="C1025" s="87" t="s">
        <v>18</v>
      </c>
      <c r="D1025" s="84">
        <v>42297</v>
      </c>
      <c r="E1025" s="88">
        <f t="shared" si="96"/>
        <v>2015</v>
      </c>
      <c r="F1025" s="89">
        <v>68150000000</v>
      </c>
      <c r="G1025" s="89">
        <v>37987000000</v>
      </c>
      <c r="H1025" s="89">
        <v>9098000000</v>
      </c>
      <c r="I1025" s="89">
        <v>0</v>
      </c>
      <c r="J1025" s="89">
        <v>17755000000</v>
      </c>
      <c r="K1025" s="87" t="s">
        <v>53</v>
      </c>
      <c r="L1025" s="87" t="s">
        <v>54</v>
      </c>
      <c r="M1025" s="90">
        <f t="shared" si="93"/>
        <v>30163000000</v>
      </c>
      <c r="N1025" s="89">
        <f t="shared" si="94"/>
        <v>26853000000</v>
      </c>
      <c r="O1025" s="89">
        <f t="shared" si="95"/>
        <v>3310000000</v>
      </c>
      <c r="P1025" s="87">
        <f t="shared" si="91"/>
        <v>4.8569332355099047E-2</v>
      </c>
      <c r="Q1025" s="87">
        <f t="shared" si="92"/>
        <v>0.44259721203228175</v>
      </c>
    </row>
    <row r="1026" spans="1:17">
      <c r="A1026" s="83">
        <v>1052</v>
      </c>
      <c r="B1026" s="83" t="s">
        <v>387</v>
      </c>
      <c r="C1026" s="83" t="s">
        <v>21</v>
      </c>
      <c r="D1026" s="84">
        <v>42298</v>
      </c>
      <c r="E1026" s="85">
        <f t="shared" si="96"/>
        <v>2015</v>
      </c>
      <c r="F1026" s="86">
        <v>68199000000</v>
      </c>
      <c r="G1026" s="86">
        <v>38107000000</v>
      </c>
      <c r="H1026" s="86">
        <v>9438000000</v>
      </c>
      <c r="I1026" s="86">
        <v>0</v>
      </c>
      <c r="J1026" s="86">
        <v>16602000000</v>
      </c>
      <c r="K1026" s="83" t="s">
        <v>53</v>
      </c>
      <c r="L1026" s="83" t="s">
        <v>54</v>
      </c>
      <c r="M1026" s="91">
        <f t="shared" si="93"/>
        <v>30092000000</v>
      </c>
      <c r="N1026" s="86">
        <f t="shared" si="94"/>
        <v>26040000000</v>
      </c>
      <c r="O1026" s="86">
        <f t="shared" si="95"/>
        <v>4052000000</v>
      </c>
      <c r="P1026" s="83">
        <f t="shared" ref="P1026:P1089" si="97">O1026/F1026</f>
        <v>5.9414360914382909E-2</v>
      </c>
      <c r="Q1026" s="83">
        <f t="shared" ref="Q1026:Q1089" si="98">1-G1026/F1026</f>
        <v>0.44123814132172023</v>
      </c>
    </row>
    <row r="1027" spans="1:17">
      <c r="A1027" s="87">
        <v>1053</v>
      </c>
      <c r="B1027" s="87" t="s">
        <v>387</v>
      </c>
      <c r="C1027" s="87" t="s">
        <v>22</v>
      </c>
      <c r="D1027" s="84">
        <v>42299</v>
      </c>
      <c r="E1027" s="88">
        <f t="shared" si="96"/>
        <v>2015</v>
      </c>
      <c r="F1027" s="89">
        <v>73316000000</v>
      </c>
      <c r="G1027" s="89">
        <v>39102000000</v>
      </c>
      <c r="H1027" s="89">
        <v>8319000000</v>
      </c>
      <c r="I1027" s="89">
        <v>0</v>
      </c>
      <c r="J1027" s="89">
        <v>17091000000</v>
      </c>
      <c r="K1027" s="87" t="s">
        <v>53</v>
      </c>
      <c r="L1027" s="87" t="s">
        <v>54</v>
      </c>
      <c r="M1027" s="90">
        <f t="shared" ref="M1027:M1090" si="99">F1027-G1027</f>
        <v>34214000000</v>
      </c>
      <c r="N1027" s="89">
        <f t="shared" ref="N1027:N1090" si="100">H1027+I1027+J1027</f>
        <v>25410000000</v>
      </c>
      <c r="O1027" s="89">
        <f t="shared" ref="O1027:O1090" si="101">M1027-N1027</f>
        <v>8804000000</v>
      </c>
      <c r="P1027" s="87">
        <f t="shared" si="97"/>
        <v>0.12008292869223634</v>
      </c>
      <c r="Q1027" s="87">
        <f t="shared" si="98"/>
        <v>0.46666484805499486</v>
      </c>
    </row>
    <row r="1028" spans="1:17">
      <c r="A1028" s="83">
        <v>1054</v>
      </c>
      <c r="B1028" s="83" t="s">
        <v>387</v>
      </c>
      <c r="C1028" s="83" t="s">
        <v>23</v>
      </c>
      <c r="D1028" s="84">
        <v>42300</v>
      </c>
      <c r="E1028" s="85">
        <f t="shared" si="96"/>
        <v>2015</v>
      </c>
      <c r="F1028" s="86">
        <v>69951000000</v>
      </c>
      <c r="G1028" s="86">
        <v>38714000000</v>
      </c>
      <c r="H1028" s="86">
        <v>6998000000</v>
      </c>
      <c r="I1028" s="86">
        <v>0</v>
      </c>
      <c r="J1028" s="86">
        <v>16769000000</v>
      </c>
      <c r="K1028" s="83" t="s">
        <v>53</v>
      </c>
      <c r="L1028" s="83" t="s">
        <v>54</v>
      </c>
      <c r="M1028" s="91">
        <f t="shared" si="99"/>
        <v>31237000000</v>
      </c>
      <c r="N1028" s="86">
        <f t="shared" si="100"/>
        <v>23767000000</v>
      </c>
      <c r="O1028" s="86">
        <f t="shared" si="101"/>
        <v>7470000000</v>
      </c>
      <c r="P1028" s="83">
        <f t="shared" si="97"/>
        <v>0.10678903804091436</v>
      </c>
      <c r="Q1028" s="83">
        <f t="shared" si="98"/>
        <v>0.44655544595502561</v>
      </c>
    </row>
    <row r="1029" spans="1:17">
      <c r="A1029" s="87">
        <v>1055</v>
      </c>
      <c r="B1029" s="87" t="s">
        <v>388</v>
      </c>
      <c r="C1029" s="87" t="s">
        <v>18</v>
      </c>
      <c r="D1029" s="84">
        <v>42301</v>
      </c>
      <c r="E1029" s="88">
        <f t="shared" si="96"/>
        <v>2015</v>
      </c>
      <c r="F1029" s="89">
        <v>5787980000</v>
      </c>
      <c r="G1029" s="89">
        <v>4297922000</v>
      </c>
      <c r="H1029" s="89">
        <v>1110550000</v>
      </c>
      <c r="I1029" s="89">
        <v>0</v>
      </c>
      <c r="J1029" s="89">
        <v>0</v>
      </c>
      <c r="K1029" s="87" t="s">
        <v>25</v>
      </c>
      <c r="L1029" s="87" t="s">
        <v>389</v>
      </c>
      <c r="M1029" s="90">
        <f t="shared" si="99"/>
        <v>1490058000</v>
      </c>
      <c r="N1029" s="89">
        <f t="shared" si="100"/>
        <v>1110550000</v>
      </c>
      <c r="O1029" s="89">
        <f t="shared" si="101"/>
        <v>379508000</v>
      </c>
      <c r="P1029" s="87">
        <f t="shared" si="97"/>
        <v>6.5568298439179121E-2</v>
      </c>
      <c r="Q1029" s="87">
        <f t="shared" si="98"/>
        <v>0.25744007408456837</v>
      </c>
    </row>
    <row r="1030" spans="1:17">
      <c r="A1030" s="83">
        <v>1056</v>
      </c>
      <c r="B1030" s="83" t="s">
        <v>388</v>
      </c>
      <c r="C1030" s="83" t="s">
        <v>21</v>
      </c>
      <c r="D1030" s="84">
        <v>42302</v>
      </c>
      <c r="E1030" s="85">
        <f t="shared" si="96"/>
        <v>2015</v>
      </c>
      <c r="F1030" s="86">
        <v>7348754000</v>
      </c>
      <c r="G1030" s="86">
        <v>5427945000</v>
      </c>
      <c r="H1030" s="86">
        <v>1373878000</v>
      </c>
      <c r="I1030" s="86">
        <v>0</v>
      </c>
      <c r="J1030" s="86">
        <v>0</v>
      </c>
      <c r="K1030" s="83" t="s">
        <v>25</v>
      </c>
      <c r="L1030" s="83" t="s">
        <v>389</v>
      </c>
      <c r="M1030" s="91">
        <f t="shared" si="99"/>
        <v>1920809000</v>
      </c>
      <c r="N1030" s="86">
        <f t="shared" si="100"/>
        <v>1373878000</v>
      </c>
      <c r="O1030" s="86">
        <f t="shared" si="101"/>
        <v>546931000</v>
      </c>
      <c r="P1030" s="83">
        <f t="shared" si="97"/>
        <v>7.4424997761525294E-2</v>
      </c>
      <c r="Q1030" s="83">
        <f t="shared" si="98"/>
        <v>0.26137886776452168</v>
      </c>
    </row>
    <row r="1031" spans="1:17">
      <c r="A1031" s="87">
        <v>1057</v>
      </c>
      <c r="B1031" s="87" t="s">
        <v>388</v>
      </c>
      <c r="C1031" s="87" t="s">
        <v>22</v>
      </c>
      <c r="D1031" s="84">
        <v>42303</v>
      </c>
      <c r="E1031" s="88">
        <f t="shared" si="96"/>
        <v>2015</v>
      </c>
      <c r="F1031" s="89">
        <v>7803446000</v>
      </c>
      <c r="G1031" s="89">
        <v>5649254000</v>
      </c>
      <c r="H1031" s="89">
        <v>1381396000</v>
      </c>
      <c r="I1031" s="89">
        <v>0</v>
      </c>
      <c r="J1031" s="89">
        <v>0</v>
      </c>
      <c r="K1031" s="87" t="s">
        <v>25</v>
      </c>
      <c r="L1031" s="87" t="s">
        <v>389</v>
      </c>
      <c r="M1031" s="90">
        <f t="shared" si="99"/>
        <v>2154192000</v>
      </c>
      <c r="N1031" s="89">
        <f t="shared" si="100"/>
        <v>1381396000</v>
      </c>
      <c r="O1031" s="89">
        <f t="shared" si="101"/>
        <v>772796000</v>
      </c>
      <c r="P1031" s="87">
        <f t="shared" si="97"/>
        <v>9.9032658135905602E-2</v>
      </c>
      <c r="Q1031" s="87">
        <f t="shared" si="98"/>
        <v>0.27605650119190928</v>
      </c>
    </row>
    <row r="1032" spans="1:17">
      <c r="A1032" s="83">
        <v>1058</v>
      </c>
      <c r="B1032" s="83" t="s">
        <v>388</v>
      </c>
      <c r="C1032" s="83" t="s">
        <v>23</v>
      </c>
      <c r="D1032" s="84">
        <v>42304</v>
      </c>
      <c r="E1032" s="85">
        <f t="shared" si="96"/>
        <v>2015</v>
      </c>
      <c r="F1032" s="86">
        <v>8071563000</v>
      </c>
      <c r="G1032" s="86">
        <v>5660877000</v>
      </c>
      <c r="H1032" s="86">
        <v>1573120000</v>
      </c>
      <c r="I1032" s="86">
        <v>0</v>
      </c>
      <c r="J1032" s="86">
        <v>0</v>
      </c>
      <c r="K1032" s="83" t="s">
        <v>25</v>
      </c>
      <c r="L1032" s="83" t="s">
        <v>389</v>
      </c>
      <c r="M1032" s="91">
        <f t="shared" si="99"/>
        <v>2410686000</v>
      </c>
      <c r="N1032" s="86">
        <f t="shared" si="100"/>
        <v>1573120000</v>
      </c>
      <c r="O1032" s="86">
        <f t="shared" si="101"/>
        <v>837566000</v>
      </c>
      <c r="P1032" s="83">
        <f t="shared" si="97"/>
        <v>0.10376751070393678</v>
      </c>
      <c r="Q1032" s="83">
        <f t="shared" si="98"/>
        <v>0.29866408773616704</v>
      </c>
    </row>
    <row r="1033" spans="1:17">
      <c r="A1033" s="87">
        <v>1059</v>
      </c>
      <c r="B1033" s="87" t="s">
        <v>390</v>
      </c>
      <c r="C1033" s="87" t="s">
        <v>18</v>
      </c>
      <c r="D1033" s="84">
        <v>42305</v>
      </c>
      <c r="E1033" s="88">
        <f t="shared" si="96"/>
        <v>2015</v>
      </c>
      <c r="F1033" s="89">
        <v>3901300000</v>
      </c>
      <c r="G1033" s="89">
        <v>1503800000</v>
      </c>
      <c r="H1033" s="89">
        <v>1457300000</v>
      </c>
      <c r="I1033" s="89">
        <v>100100000</v>
      </c>
      <c r="J1033" s="89">
        <v>0</v>
      </c>
      <c r="K1033" s="87" t="s">
        <v>42</v>
      </c>
      <c r="L1033" s="87" t="s">
        <v>130</v>
      </c>
      <c r="M1033" s="90">
        <f t="shared" si="99"/>
        <v>2397500000</v>
      </c>
      <c r="N1033" s="89">
        <f t="shared" si="100"/>
        <v>1557400000</v>
      </c>
      <c r="O1033" s="89">
        <f t="shared" si="101"/>
        <v>840100000</v>
      </c>
      <c r="P1033" s="87">
        <f t="shared" si="97"/>
        <v>0.21533847691795044</v>
      </c>
      <c r="Q1033" s="87">
        <f t="shared" si="98"/>
        <v>0.61453874349575788</v>
      </c>
    </row>
    <row r="1034" spans="1:17">
      <c r="A1034" s="83">
        <v>1060</v>
      </c>
      <c r="B1034" s="83" t="s">
        <v>390</v>
      </c>
      <c r="C1034" s="83" t="s">
        <v>21</v>
      </c>
      <c r="D1034" s="84">
        <v>42306</v>
      </c>
      <c r="E1034" s="85">
        <f t="shared" si="96"/>
        <v>2015</v>
      </c>
      <c r="F1034" s="86">
        <v>4200700000</v>
      </c>
      <c r="G1034" s="86">
        <v>1528500000</v>
      </c>
      <c r="H1034" s="86">
        <v>1548600000</v>
      </c>
      <c r="I1034" s="86">
        <v>100200000</v>
      </c>
      <c r="J1034" s="86">
        <v>0</v>
      </c>
      <c r="K1034" s="83" t="s">
        <v>42</v>
      </c>
      <c r="L1034" s="83" t="s">
        <v>130</v>
      </c>
      <c r="M1034" s="91">
        <f t="shared" si="99"/>
        <v>2672200000</v>
      </c>
      <c r="N1034" s="86">
        <f t="shared" si="100"/>
        <v>1648800000</v>
      </c>
      <c r="O1034" s="86">
        <f t="shared" si="101"/>
        <v>1023400000</v>
      </c>
      <c r="P1034" s="83">
        <f t="shared" si="97"/>
        <v>0.24362606232294617</v>
      </c>
      <c r="Q1034" s="83">
        <f t="shared" si="98"/>
        <v>0.63613207322589094</v>
      </c>
    </row>
    <row r="1035" spans="1:17">
      <c r="A1035" s="87">
        <v>1061</v>
      </c>
      <c r="B1035" s="87" t="s">
        <v>390</v>
      </c>
      <c r="C1035" s="87" t="s">
        <v>22</v>
      </c>
      <c r="D1035" s="84">
        <v>42307</v>
      </c>
      <c r="E1035" s="88">
        <f t="shared" si="96"/>
        <v>2015</v>
      </c>
      <c r="F1035" s="89">
        <v>4409300000</v>
      </c>
      <c r="G1035" s="89">
        <v>1700600000</v>
      </c>
      <c r="H1035" s="89">
        <v>1617600000</v>
      </c>
      <c r="I1035" s="89">
        <v>115100000</v>
      </c>
      <c r="J1035" s="89">
        <v>0</v>
      </c>
      <c r="K1035" s="87" t="s">
        <v>42</v>
      </c>
      <c r="L1035" s="87" t="s">
        <v>130</v>
      </c>
      <c r="M1035" s="90">
        <f t="shared" si="99"/>
        <v>2708700000</v>
      </c>
      <c r="N1035" s="89">
        <f t="shared" si="100"/>
        <v>1732700000</v>
      </c>
      <c r="O1035" s="89">
        <f t="shared" si="101"/>
        <v>976000000</v>
      </c>
      <c r="P1035" s="87">
        <f t="shared" si="97"/>
        <v>0.22135032771641758</v>
      </c>
      <c r="Q1035" s="87">
        <f t="shared" si="98"/>
        <v>0.61431519742362739</v>
      </c>
    </row>
    <row r="1036" spans="1:17">
      <c r="A1036" s="83">
        <v>1062</v>
      </c>
      <c r="B1036" s="83" t="s">
        <v>390</v>
      </c>
      <c r="C1036" s="83" t="s">
        <v>23</v>
      </c>
      <c r="D1036" s="84">
        <v>42308</v>
      </c>
      <c r="E1036" s="85">
        <f t="shared" si="96"/>
        <v>2015</v>
      </c>
      <c r="F1036" s="86">
        <v>4071300000</v>
      </c>
      <c r="G1036" s="86">
        <v>1455300000</v>
      </c>
      <c r="H1036" s="86">
        <v>1532400000</v>
      </c>
      <c r="I1036" s="86">
        <v>108400000</v>
      </c>
      <c r="J1036" s="86">
        <v>0</v>
      </c>
      <c r="K1036" s="83" t="s">
        <v>42</v>
      </c>
      <c r="L1036" s="83" t="s">
        <v>130</v>
      </c>
      <c r="M1036" s="91">
        <f t="shared" si="99"/>
        <v>2616000000</v>
      </c>
      <c r="N1036" s="86">
        <f t="shared" si="100"/>
        <v>1640800000</v>
      </c>
      <c r="O1036" s="86">
        <f t="shared" si="101"/>
        <v>975200000</v>
      </c>
      <c r="P1036" s="83">
        <f t="shared" si="97"/>
        <v>0.23953037113452705</v>
      </c>
      <c r="Q1036" s="83">
        <f t="shared" si="98"/>
        <v>0.64254660673494945</v>
      </c>
    </row>
    <row r="1037" spans="1:17">
      <c r="A1037" s="87">
        <v>1063</v>
      </c>
      <c r="B1037" s="87" t="s">
        <v>391</v>
      </c>
      <c r="C1037" s="87" t="s">
        <v>18</v>
      </c>
      <c r="D1037" s="84">
        <v>42309</v>
      </c>
      <c r="E1037" s="88">
        <f t="shared" si="96"/>
        <v>2015</v>
      </c>
      <c r="F1037" s="89">
        <v>4123400000</v>
      </c>
      <c r="G1037" s="89">
        <v>2457600000</v>
      </c>
      <c r="H1037" s="89">
        <v>1090300000</v>
      </c>
      <c r="I1037" s="89">
        <v>0</v>
      </c>
      <c r="J1037" s="89">
        <v>0</v>
      </c>
      <c r="K1037" s="87" t="s">
        <v>42</v>
      </c>
      <c r="L1037" s="87" t="s">
        <v>130</v>
      </c>
      <c r="M1037" s="90">
        <f t="shared" si="99"/>
        <v>1665800000</v>
      </c>
      <c r="N1037" s="89">
        <f t="shared" si="100"/>
        <v>1090300000</v>
      </c>
      <c r="O1037" s="89">
        <f t="shared" si="101"/>
        <v>575500000</v>
      </c>
      <c r="P1037" s="87">
        <f t="shared" si="97"/>
        <v>0.13956928748120484</v>
      </c>
      <c r="Q1037" s="87">
        <f t="shared" si="98"/>
        <v>0.40398700101857687</v>
      </c>
    </row>
    <row r="1038" spans="1:17">
      <c r="A1038" s="83">
        <v>1064</v>
      </c>
      <c r="B1038" s="83" t="s">
        <v>391</v>
      </c>
      <c r="C1038" s="83" t="s">
        <v>21</v>
      </c>
      <c r="D1038" s="84">
        <v>42310</v>
      </c>
      <c r="E1038" s="85">
        <f t="shared" si="96"/>
        <v>2015</v>
      </c>
      <c r="F1038" s="86">
        <v>4243200000</v>
      </c>
      <c r="G1038" s="86">
        <v>2513000000</v>
      </c>
      <c r="H1038" s="86">
        <v>1122000000</v>
      </c>
      <c r="I1038" s="86">
        <v>0</v>
      </c>
      <c r="J1038" s="86">
        <v>0</v>
      </c>
      <c r="K1038" s="83" t="s">
        <v>42</v>
      </c>
      <c r="L1038" s="83" t="s">
        <v>130</v>
      </c>
      <c r="M1038" s="91">
        <f t="shared" si="99"/>
        <v>1730200000</v>
      </c>
      <c r="N1038" s="86">
        <f t="shared" si="100"/>
        <v>1122000000</v>
      </c>
      <c r="O1038" s="86">
        <f t="shared" si="101"/>
        <v>608200000</v>
      </c>
      <c r="P1038" s="83">
        <f t="shared" si="97"/>
        <v>0.14333521870286575</v>
      </c>
      <c r="Q1038" s="83">
        <f t="shared" si="98"/>
        <v>0.40775829562594268</v>
      </c>
    </row>
    <row r="1039" spans="1:17">
      <c r="A1039" s="87">
        <v>1065</v>
      </c>
      <c r="B1039" s="87" t="s">
        <v>391</v>
      </c>
      <c r="C1039" s="87" t="s">
        <v>22</v>
      </c>
      <c r="D1039" s="84">
        <v>42311</v>
      </c>
      <c r="E1039" s="88">
        <f t="shared" si="96"/>
        <v>2015</v>
      </c>
      <c r="F1039" s="89">
        <v>4296300000</v>
      </c>
      <c r="G1039" s="89">
        <v>2559000000</v>
      </c>
      <c r="H1039" s="89">
        <v>1127400000</v>
      </c>
      <c r="I1039" s="89">
        <v>0</v>
      </c>
      <c r="J1039" s="89">
        <v>0</v>
      </c>
      <c r="K1039" s="87" t="s">
        <v>42</v>
      </c>
      <c r="L1039" s="87" t="s">
        <v>130</v>
      </c>
      <c r="M1039" s="90">
        <f t="shared" si="99"/>
        <v>1737300000</v>
      </c>
      <c r="N1039" s="89">
        <f t="shared" si="100"/>
        <v>1127400000</v>
      </c>
      <c r="O1039" s="89">
        <f t="shared" si="101"/>
        <v>609900000</v>
      </c>
      <c r="P1039" s="87">
        <f t="shared" si="97"/>
        <v>0.14195936037986173</v>
      </c>
      <c r="Q1039" s="87">
        <f t="shared" si="98"/>
        <v>0.40437120312827313</v>
      </c>
    </row>
    <row r="1040" spans="1:17">
      <c r="A1040" s="83">
        <v>1066</v>
      </c>
      <c r="B1040" s="83" t="s">
        <v>391</v>
      </c>
      <c r="C1040" s="83" t="s">
        <v>23</v>
      </c>
      <c r="D1040" s="84">
        <v>42312</v>
      </c>
      <c r="E1040" s="85">
        <f t="shared" si="96"/>
        <v>2015</v>
      </c>
      <c r="F1040" s="86">
        <v>4411500000</v>
      </c>
      <c r="G1040" s="86">
        <v>2579800000</v>
      </c>
      <c r="H1040" s="86">
        <v>1175000000</v>
      </c>
      <c r="I1040" s="86">
        <v>0</v>
      </c>
      <c r="J1040" s="86">
        <v>0</v>
      </c>
      <c r="K1040" s="83" t="s">
        <v>42</v>
      </c>
      <c r="L1040" s="83" t="s">
        <v>130</v>
      </c>
      <c r="M1040" s="91">
        <f t="shared" si="99"/>
        <v>1831700000</v>
      </c>
      <c r="N1040" s="86">
        <f t="shared" si="100"/>
        <v>1175000000</v>
      </c>
      <c r="O1040" s="86">
        <f t="shared" si="101"/>
        <v>656700000</v>
      </c>
      <c r="P1040" s="83">
        <f t="shared" si="97"/>
        <v>0.14886093165589936</v>
      </c>
      <c r="Q1040" s="83">
        <f t="shared" si="98"/>
        <v>0.4152102459480902</v>
      </c>
    </row>
    <row r="1041" spans="1:17">
      <c r="A1041" s="87">
        <v>1067</v>
      </c>
      <c r="B1041" s="87" t="s">
        <v>392</v>
      </c>
      <c r="C1041" s="87" t="s">
        <v>18</v>
      </c>
      <c r="D1041" s="84">
        <v>42313</v>
      </c>
      <c r="E1041" s="88">
        <f t="shared" si="96"/>
        <v>2015</v>
      </c>
      <c r="F1041" s="89">
        <v>2031901000</v>
      </c>
      <c r="G1041" s="89">
        <v>1704767000</v>
      </c>
      <c r="H1041" s="89">
        <v>135824000</v>
      </c>
      <c r="I1041" s="89">
        <v>0</v>
      </c>
      <c r="J1041" s="89">
        <v>0</v>
      </c>
      <c r="K1041" s="87" t="s">
        <v>65</v>
      </c>
      <c r="L1041" s="87" t="s">
        <v>393</v>
      </c>
      <c r="M1041" s="90">
        <f t="shared" si="99"/>
        <v>327134000</v>
      </c>
      <c r="N1041" s="89">
        <f t="shared" si="100"/>
        <v>135824000</v>
      </c>
      <c r="O1041" s="89">
        <f t="shared" si="101"/>
        <v>191310000</v>
      </c>
      <c r="P1041" s="87">
        <f t="shared" si="97"/>
        <v>9.4153209236079907E-2</v>
      </c>
      <c r="Q1041" s="87">
        <f t="shared" si="98"/>
        <v>0.16099898567892823</v>
      </c>
    </row>
    <row r="1042" spans="1:17">
      <c r="A1042" s="83">
        <v>1068</v>
      </c>
      <c r="B1042" s="83" t="s">
        <v>392</v>
      </c>
      <c r="C1042" s="83" t="s">
        <v>21</v>
      </c>
      <c r="D1042" s="84">
        <v>42314</v>
      </c>
      <c r="E1042" s="85">
        <f t="shared" si="96"/>
        <v>2015</v>
      </c>
      <c r="F1042" s="86">
        <v>2155551000</v>
      </c>
      <c r="G1042" s="86">
        <v>1791594000</v>
      </c>
      <c r="H1042" s="86">
        <v>145298000</v>
      </c>
      <c r="I1042" s="86">
        <v>0</v>
      </c>
      <c r="J1042" s="86">
        <v>0</v>
      </c>
      <c r="K1042" s="83" t="s">
        <v>65</v>
      </c>
      <c r="L1042" s="83" t="s">
        <v>393</v>
      </c>
      <c r="M1042" s="91">
        <f t="shared" si="99"/>
        <v>363957000</v>
      </c>
      <c r="N1042" s="86">
        <f t="shared" si="100"/>
        <v>145298000</v>
      </c>
      <c r="O1042" s="86">
        <f t="shared" si="101"/>
        <v>218659000</v>
      </c>
      <c r="P1042" s="83">
        <f t="shared" si="97"/>
        <v>0.10143995665145478</v>
      </c>
      <c r="Q1042" s="83">
        <f t="shared" si="98"/>
        <v>0.16884638776813909</v>
      </c>
    </row>
    <row r="1043" spans="1:17">
      <c r="A1043" s="87">
        <v>1069</v>
      </c>
      <c r="B1043" s="87" t="s">
        <v>392</v>
      </c>
      <c r="C1043" s="87" t="s">
        <v>22</v>
      </c>
      <c r="D1043" s="84">
        <v>42315</v>
      </c>
      <c r="E1043" s="88">
        <f t="shared" si="96"/>
        <v>2015</v>
      </c>
      <c r="F1043" s="89">
        <v>2957951000</v>
      </c>
      <c r="G1043" s="89">
        <v>2435591000</v>
      </c>
      <c r="H1043" s="89">
        <v>164596000</v>
      </c>
      <c r="I1043" s="89">
        <v>0</v>
      </c>
      <c r="J1043" s="89">
        <v>0</v>
      </c>
      <c r="K1043" s="87" t="s">
        <v>65</v>
      </c>
      <c r="L1043" s="87" t="s">
        <v>393</v>
      </c>
      <c r="M1043" s="90">
        <f t="shared" si="99"/>
        <v>522360000</v>
      </c>
      <c r="N1043" s="89">
        <f t="shared" si="100"/>
        <v>164596000</v>
      </c>
      <c r="O1043" s="89">
        <f t="shared" si="101"/>
        <v>357764000</v>
      </c>
      <c r="P1043" s="87">
        <f t="shared" si="97"/>
        <v>0.12094994136143566</v>
      </c>
      <c r="Q1043" s="87">
        <f t="shared" si="98"/>
        <v>0.17659521743260786</v>
      </c>
    </row>
    <row r="1044" spans="1:17">
      <c r="A1044" s="83">
        <v>1070</v>
      </c>
      <c r="B1044" s="83" t="s">
        <v>392</v>
      </c>
      <c r="C1044" s="83" t="s">
        <v>23</v>
      </c>
      <c r="D1044" s="84">
        <v>42316</v>
      </c>
      <c r="E1044" s="85">
        <f t="shared" si="96"/>
        <v>2015</v>
      </c>
      <c r="F1044" s="86">
        <v>3539570000</v>
      </c>
      <c r="G1044" s="86">
        <v>2817803000</v>
      </c>
      <c r="H1044" s="86">
        <v>233887000</v>
      </c>
      <c r="I1044" s="86">
        <v>0</v>
      </c>
      <c r="J1044" s="86">
        <v>0</v>
      </c>
      <c r="K1044" s="83" t="s">
        <v>65</v>
      </c>
      <c r="L1044" s="83" t="s">
        <v>393</v>
      </c>
      <c r="M1044" s="91">
        <f t="shared" si="99"/>
        <v>721767000</v>
      </c>
      <c r="N1044" s="86">
        <f t="shared" si="100"/>
        <v>233887000</v>
      </c>
      <c r="O1044" s="86">
        <f t="shared" si="101"/>
        <v>487880000</v>
      </c>
      <c r="P1044" s="83">
        <f t="shared" si="97"/>
        <v>0.13783595182465666</v>
      </c>
      <c r="Q1044" s="83">
        <f t="shared" si="98"/>
        <v>0.20391375223544106</v>
      </c>
    </row>
    <row r="1045" spans="1:17">
      <c r="A1045" s="87">
        <v>1071</v>
      </c>
      <c r="B1045" s="87" t="s">
        <v>394</v>
      </c>
      <c r="C1045" s="87" t="s">
        <v>18</v>
      </c>
      <c r="D1045" s="84">
        <v>42317</v>
      </c>
      <c r="E1045" s="88">
        <f t="shared" si="96"/>
        <v>2015</v>
      </c>
      <c r="F1045" s="89">
        <v>11924000000</v>
      </c>
      <c r="G1045" s="89">
        <v>0</v>
      </c>
      <c r="H1045" s="89">
        <v>7134000000</v>
      </c>
      <c r="I1045" s="89">
        <v>0</v>
      </c>
      <c r="J1045" s="89">
        <v>2961000000</v>
      </c>
      <c r="K1045" s="87" t="s">
        <v>53</v>
      </c>
      <c r="L1045" s="87" t="s">
        <v>395</v>
      </c>
      <c r="M1045" s="90">
        <f t="shared" si="99"/>
        <v>11924000000</v>
      </c>
      <c r="N1045" s="89">
        <f t="shared" si="100"/>
        <v>10095000000</v>
      </c>
      <c r="O1045" s="89">
        <f t="shared" si="101"/>
        <v>1829000000</v>
      </c>
      <c r="P1045" s="87">
        <f t="shared" si="97"/>
        <v>0.15338812479033881</v>
      </c>
      <c r="Q1045" s="87">
        <f t="shared" si="98"/>
        <v>1</v>
      </c>
    </row>
    <row r="1046" spans="1:17">
      <c r="A1046" s="83">
        <v>1072</v>
      </c>
      <c r="B1046" s="83" t="s">
        <v>394</v>
      </c>
      <c r="C1046" s="83" t="s">
        <v>21</v>
      </c>
      <c r="D1046" s="84">
        <v>42318</v>
      </c>
      <c r="E1046" s="85">
        <f t="shared" si="96"/>
        <v>2015</v>
      </c>
      <c r="F1046" s="86">
        <v>12261000000</v>
      </c>
      <c r="G1046" s="86">
        <v>0</v>
      </c>
      <c r="H1046" s="86">
        <v>7226000000</v>
      </c>
      <c r="I1046" s="86">
        <v>0</v>
      </c>
      <c r="J1046" s="86">
        <v>2958000000</v>
      </c>
      <c r="K1046" s="83" t="s">
        <v>53</v>
      </c>
      <c r="L1046" s="83" t="s">
        <v>395</v>
      </c>
      <c r="M1046" s="91">
        <f t="shared" si="99"/>
        <v>12261000000</v>
      </c>
      <c r="N1046" s="86">
        <f t="shared" si="100"/>
        <v>10184000000</v>
      </c>
      <c r="O1046" s="86">
        <f t="shared" si="101"/>
        <v>2077000000</v>
      </c>
      <c r="P1046" s="83">
        <f t="shared" si="97"/>
        <v>0.16939890710382513</v>
      </c>
      <c r="Q1046" s="83">
        <f t="shared" si="98"/>
        <v>1</v>
      </c>
    </row>
    <row r="1047" spans="1:17">
      <c r="A1047" s="87">
        <v>1073</v>
      </c>
      <c r="B1047" s="87" t="s">
        <v>394</v>
      </c>
      <c r="C1047" s="87" t="s">
        <v>22</v>
      </c>
      <c r="D1047" s="84">
        <v>42319</v>
      </c>
      <c r="E1047" s="88">
        <f t="shared" si="96"/>
        <v>2015</v>
      </c>
      <c r="F1047" s="89">
        <v>12951000000</v>
      </c>
      <c r="G1047" s="89">
        <v>0</v>
      </c>
      <c r="H1047" s="89">
        <v>7515000000</v>
      </c>
      <c r="I1047" s="89">
        <v>0</v>
      </c>
      <c r="J1047" s="89">
        <v>3135000000</v>
      </c>
      <c r="K1047" s="87" t="s">
        <v>53</v>
      </c>
      <c r="L1047" s="87" t="s">
        <v>395</v>
      </c>
      <c r="M1047" s="90">
        <f t="shared" si="99"/>
        <v>12951000000</v>
      </c>
      <c r="N1047" s="89">
        <f t="shared" si="100"/>
        <v>10650000000</v>
      </c>
      <c r="O1047" s="89">
        <f t="shared" si="101"/>
        <v>2301000000</v>
      </c>
      <c r="P1047" s="87">
        <f t="shared" si="97"/>
        <v>0.17766967801714154</v>
      </c>
      <c r="Q1047" s="87">
        <f t="shared" si="98"/>
        <v>1</v>
      </c>
    </row>
    <row r="1048" spans="1:17">
      <c r="A1048" s="83">
        <v>1074</v>
      </c>
      <c r="B1048" s="83" t="s">
        <v>394</v>
      </c>
      <c r="C1048" s="83" t="s">
        <v>23</v>
      </c>
      <c r="D1048" s="84">
        <v>42320</v>
      </c>
      <c r="E1048" s="85">
        <f t="shared" si="96"/>
        <v>2015</v>
      </c>
      <c r="F1048" s="86">
        <v>12893000000</v>
      </c>
      <c r="G1048" s="86">
        <v>0</v>
      </c>
      <c r="H1048" s="86">
        <v>7334000000</v>
      </c>
      <c r="I1048" s="86">
        <v>0</v>
      </c>
      <c r="J1048" s="86">
        <v>3140000000</v>
      </c>
      <c r="K1048" s="83" t="s">
        <v>53</v>
      </c>
      <c r="L1048" s="83" t="s">
        <v>395</v>
      </c>
      <c r="M1048" s="91">
        <f t="shared" si="99"/>
        <v>12893000000</v>
      </c>
      <c r="N1048" s="86">
        <f t="shared" si="100"/>
        <v>10474000000</v>
      </c>
      <c r="O1048" s="86">
        <f t="shared" si="101"/>
        <v>2419000000</v>
      </c>
      <c r="P1048" s="83">
        <f t="shared" si="97"/>
        <v>0.18762118979291087</v>
      </c>
      <c r="Q1048" s="83">
        <f t="shared" si="98"/>
        <v>1</v>
      </c>
    </row>
    <row r="1049" spans="1:17">
      <c r="A1049" s="87">
        <v>1075</v>
      </c>
      <c r="B1049" s="87" t="s">
        <v>396</v>
      </c>
      <c r="C1049" s="87" t="s">
        <v>18</v>
      </c>
      <c r="D1049" s="84">
        <v>42321</v>
      </c>
      <c r="E1049" s="88">
        <f t="shared" si="96"/>
        <v>2015</v>
      </c>
      <c r="F1049" s="89">
        <v>30871000000</v>
      </c>
      <c r="G1049" s="89">
        <v>16106000000</v>
      </c>
      <c r="H1049" s="89">
        <v>6384000000</v>
      </c>
      <c r="I1049" s="89">
        <v>1715000000</v>
      </c>
      <c r="J1049" s="89">
        <v>0</v>
      </c>
      <c r="K1049" s="87" t="s">
        <v>19</v>
      </c>
      <c r="L1049" s="87" t="s">
        <v>170</v>
      </c>
      <c r="M1049" s="90">
        <f t="shared" si="99"/>
        <v>14765000000</v>
      </c>
      <c r="N1049" s="89">
        <f t="shared" si="100"/>
        <v>8099000000</v>
      </c>
      <c r="O1049" s="89">
        <f t="shared" si="101"/>
        <v>6666000000</v>
      </c>
      <c r="P1049" s="87">
        <f t="shared" si="97"/>
        <v>0.21593080884972951</v>
      </c>
      <c r="Q1049" s="87">
        <f t="shared" si="98"/>
        <v>0.47828058695863429</v>
      </c>
    </row>
    <row r="1050" spans="1:17">
      <c r="A1050" s="83">
        <v>1076</v>
      </c>
      <c r="B1050" s="83" t="s">
        <v>396</v>
      </c>
      <c r="C1050" s="83" t="s">
        <v>21</v>
      </c>
      <c r="D1050" s="84">
        <v>42322</v>
      </c>
      <c r="E1050" s="85">
        <f t="shared" si="96"/>
        <v>2015</v>
      </c>
      <c r="F1050" s="86">
        <v>31821000000</v>
      </c>
      <c r="G1050" s="86">
        <v>16447000000</v>
      </c>
      <c r="H1050" s="86">
        <v>6469000000</v>
      </c>
      <c r="I1050" s="86">
        <v>1770000000</v>
      </c>
      <c r="J1050" s="86">
        <v>0</v>
      </c>
      <c r="K1050" s="83" t="s">
        <v>19</v>
      </c>
      <c r="L1050" s="83" t="s">
        <v>170</v>
      </c>
      <c r="M1050" s="91">
        <f t="shared" si="99"/>
        <v>15374000000</v>
      </c>
      <c r="N1050" s="86">
        <f t="shared" si="100"/>
        <v>8239000000</v>
      </c>
      <c r="O1050" s="86">
        <f t="shared" si="101"/>
        <v>7135000000</v>
      </c>
      <c r="P1050" s="83">
        <f t="shared" si="97"/>
        <v>0.2242229973916596</v>
      </c>
      <c r="Q1050" s="83">
        <f t="shared" si="98"/>
        <v>0.48314006473712323</v>
      </c>
    </row>
    <row r="1051" spans="1:17">
      <c r="A1051" s="87">
        <v>1077</v>
      </c>
      <c r="B1051" s="87" t="s">
        <v>396</v>
      </c>
      <c r="C1051" s="87" t="s">
        <v>22</v>
      </c>
      <c r="D1051" s="84">
        <v>42323</v>
      </c>
      <c r="E1051" s="88">
        <f t="shared" si="96"/>
        <v>2015</v>
      </c>
      <c r="F1051" s="89">
        <v>30274000000</v>
      </c>
      <c r="G1051" s="89">
        <v>15383000000</v>
      </c>
      <c r="H1051" s="89">
        <v>6182000000</v>
      </c>
      <c r="I1051" s="89">
        <v>1763000000</v>
      </c>
      <c r="J1051" s="89">
        <v>0</v>
      </c>
      <c r="K1051" s="87" t="s">
        <v>19</v>
      </c>
      <c r="L1051" s="87" t="s">
        <v>170</v>
      </c>
      <c r="M1051" s="90">
        <f t="shared" si="99"/>
        <v>14891000000</v>
      </c>
      <c r="N1051" s="89">
        <f t="shared" si="100"/>
        <v>7945000000</v>
      </c>
      <c r="O1051" s="89">
        <f t="shared" si="101"/>
        <v>6946000000</v>
      </c>
      <c r="P1051" s="87">
        <f t="shared" si="97"/>
        <v>0.22943780141375439</v>
      </c>
      <c r="Q1051" s="87">
        <f t="shared" si="98"/>
        <v>0.49187421549844756</v>
      </c>
    </row>
    <row r="1052" spans="1:17">
      <c r="A1052" s="83">
        <v>1078</v>
      </c>
      <c r="B1052" s="83" t="s">
        <v>396</v>
      </c>
      <c r="C1052" s="83" t="s">
        <v>23</v>
      </c>
      <c r="D1052" s="84">
        <v>42324</v>
      </c>
      <c r="E1052" s="85">
        <f t="shared" si="96"/>
        <v>2015</v>
      </c>
      <c r="F1052" s="86">
        <v>30109000000</v>
      </c>
      <c r="G1052" s="86">
        <v>15040000000</v>
      </c>
      <c r="H1052" s="86">
        <v>6111000000</v>
      </c>
      <c r="I1052" s="86">
        <v>1735000000</v>
      </c>
      <c r="J1052" s="86">
        <v>0</v>
      </c>
      <c r="K1052" s="83" t="s">
        <v>19</v>
      </c>
      <c r="L1052" s="83" t="s">
        <v>170</v>
      </c>
      <c r="M1052" s="91">
        <f t="shared" si="99"/>
        <v>15069000000</v>
      </c>
      <c r="N1052" s="86">
        <f t="shared" si="100"/>
        <v>7846000000</v>
      </c>
      <c r="O1052" s="86">
        <f t="shared" si="101"/>
        <v>7223000000</v>
      </c>
      <c r="P1052" s="83">
        <f t="shared" si="97"/>
        <v>0.23989504799229466</v>
      </c>
      <c r="Q1052" s="83">
        <f t="shared" si="98"/>
        <v>0.50048158357966055</v>
      </c>
    </row>
    <row r="1053" spans="1:17">
      <c r="A1053" s="87">
        <v>1079</v>
      </c>
      <c r="B1053" s="87" t="s">
        <v>397</v>
      </c>
      <c r="C1053" s="87" t="s">
        <v>18</v>
      </c>
      <c r="D1053" s="84">
        <v>42325</v>
      </c>
      <c r="E1053" s="88">
        <f t="shared" si="96"/>
        <v>2015</v>
      </c>
      <c r="F1053" s="89">
        <v>2060702000</v>
      </c>
      <c r="G1053" s="89">
        <v>995046000</v>
      </c>
      <c r="H1053" s="89">
        <v>0</v>
      </c>
      <c r="I1053" s="89">
        <v>0</v>
      </c>
      <c r="J1053" s="89">
        <v>0</v>
      </c>
      <c r="K1053" s="87" t="s">
        <v>42</v>
      </c>
      <c r="L1053" s="87" t="s">
        <v>220</v>
      </c>
      <c r="M1053" s="90">
        <f t="shared" si="99"/>
        <v>1065656000</v>
      </c>
      <c r="N1053" s="89">
        <f t="shared" si="100"/>
        <v>0</v>
      </c>
      <c r="O1053" s="89">
        <f t="shared" si="101"/>
        <v>1065656000</v>
      </c>
      <c r="P1053" s="87">
        <f t="shared" si="97"/>
        <v>0.51713251115396597</v>
      </c>
      <c r="Q1053" s="87">
        <f t="shared" si="98"/>
        <v>0.51713251115396597</v>
      </c>
    </row>
    <row r="1054" spans="1:17">
      <c r="A1054" s="83">
        <v>1080</v>
      </c>
      <c r="B1054" s="83" t="s">
        <v>397</v>
      </c>
      <c r="C1054" s="83" t="s">
        <v>21</v>
      </c>
      <c r="D1054" s="84">
        <v>42326</v>
      </c>
      <c r="E1054" s="85">
        <f t="shared" si="96"/>
        <v>2015</v>
      </c>
      <c r="F1054" s="86">
        <v>2246428000</v>
      </c>
      <c r="G1054" s="86">
        <v>1073497000</v>
      </c>
      <c r="H1054" s="86">
        <v>0</v>
      </c>
      <c r="I1054" s="86">
        <v>0</v>
      </c>
      <c r="J1054" s="86">
        <v>0</v>
      </c>
      <c r="K1054" s="83" t="s">
        <v>42</v>
      </c>
      <c r="L1054" s="83" t="s">
        <v>220</v>
      </c>
      <c r="M1054" s="91">
        <f t="shared" si="99"/>
        <v>1172931000</v>
      </c>
      <c r="N1054" s="86">
        <f t="shared" si="100"/>
        <v>0</v>
      </c>
      <c r="O1054" s="86">
        <f t="shared" si="101"/>
        <v>1172931000</v>
      </c>
      <c r="P1054" s="83">
        <f t="shared" si="97"/>
        <v>0.52213157955652267</v>
      </c>
      <c r="Q1054" s="83">
        <f t="shared" si="98"/>
        <v>0.52213157955652267</v>
      </c>
    </row>
    <row r="1055" spans="1:17">
      <c r="A1055" s="87">
        <v>1081</v>
      </c>
      <c r="B1055" s="87" t="s">
        <v>397</v>
      </c>
      <c r="C1055" s="87" t="s">
        <v>22</v>
      </c>
      <c r="D1055" s="84">
        <v>42327</v>
      </c>
      <c r="E1055" s="88">
        <f t="shared" si="96"/>
        <v>2015</v>
      </c>
      <c r="F1055" s="89">
        <v>2464867000</v>
      </c>
      <c r="G1055" s="89">
        <v>1125057000</v>
      </c>
      <c r="H1055" s="89">
        <v>0</v>
      </c>
      <c r="I1055" s="89">
        <v>0</v>
      </c>
      <c r="J1055" s="89">
        <v>0</v>
      </c>
      <c r="K1055" s="87" t="s">
        <v>42</v>
      </c>
      <c r="L1055" s="87" t="s">
        <v>220</v>
      </c>
      <c r="M1055" s="90">
        <f t="shared" si="99"/>
        <v>1339810000</v>
      </c>
      <c r="N1055" s="89">
        <f t="shared" si="100"/>
        <v>0</v>
      </c>
      <c r="O1055" s="89">
        <f t="shared" si="101"/>
        <v>1339810000</v>
      </c>
      <c r="P1055" s="87">
        <f t="shared" si="97"/>
        <v>0.54356279669450724</v>
      </c>
      <c r="Q1055" s="87">
        <f t="shared" si="98"/>
        <v>0.54356279669450724</v>
      </c>
    </row>
    <row r="1056" spans="1:17">
      <c r="A1056" s="83">
        <v>1082</v>
      </c>
      <c r="B1056" s="83" t="s">
        <v>397</v>
      </c>
      <c r="C1056" s="83" t="s">
        <v>23</v>
      </c>
      <c r="D1056" s="84">
        <v>42328</v>
      </c>
      <c r="E1056" s="85">
        <f t="shared" si="96"/>
        <v>2015</v>
      </c>
      <c r="F1056" s="86">
        <v>2722564000</v>
      </c>
      <c r="G1056" s="86">
        <v>1090263000</v>
      </c>
      <c r="H1056" s="86">
        <v>0</v>
      </c>
      <c r="I1056" s="86">
        <v>0</v>
      </c>
      <c r="J1056" s="86">
        <v>0</v>
      </c>
      <c r="K1056" s="83" t="s">
        <v>42</v>
      </c>
      <c r="L1056" s="83" t="s">
        <v>220</v>
      </c>
      <c r="M1056" s="91">
        <f t="shared" si="99"/>
        <v>1632301000</v>
      </c>
      <c r="N1056" s="86">
        <f t="shared" si="100"/>
        <v>0</v>
      </c>
      <c r="O1056" s="86">
        <f t="shared" si="101"/>
        <v>1632301000</v>
      </c>
      <c r="P1056" s="83">
        <f t="shared" si="97"/>
        <v>0.59954550196065182</v>
      </c>
      <c r="Q1056" s="83">
        <f t="shared" si="98"/>
        <v>0.59954550196065182</v>
      </c>
    </row>
    <row r="1057" spans="1:17">
      <c r="A1057" s="87">
        <v>1083</v>
      </c>
      <c r="B1057" s="87" t="s">
        <v>398</v>
      </c>
      <c r="C1057" s="87" t="s">
        <v>18</v>
      </c>
      <c r="D1057" s="84">
        <v>42329</v>
      </c>
      <c r="E1057" s="88">
        <f t="shared" si="96"/>
        <v>2015</v>
      </c>
      <c r="F1057" s="89">
        <v>24618000000</v>
      </c>
      <c r="G1057" s="89">
        <v>15055000000</v>
      </c>
      <c r="H1057" s="89">
        <v>2249000000</v>
      </c>
      <c r="I1057" s="89">
        <v>0</v>
      </c>
      <c r="J1057" s="89">
        <v>0</v>
      </c>
      <c r="K1057" s="87" t="s">
        <v>42</v>
      </c>
      <c r="L1057" s="87" t="s">
        <v>399</v>
      </c>
      <c r="M1057" s="90">
        <f t="shared" si="99"/>
        <v>9563000000</v>
      </c>
      <c r="N1057" s="89">
        <f t="shared" si="100"/>
        <v>2249000000</v>
      </c>
      <c r="O1057" s="89">
        <f t="shared" si="101"/>
        <v>7314000000</v>
      </c>
      <c r="P1057" s="87">
        <f t="shared" si="97"/>
        <v>0.29709968315866442</v>
      </c>
      <c r="Q1057" s="87">
        <f t="shared" si="98"/>
        <v>0.38845560159233083</v>
      </c>
    </row>
    <row r="1058" spans="1:17">
      <c r="A1058" s="83">
        <v>1084</v>
      </c>
      <c r="B1058" s="83" t="s">
        <v>398</v>
      </c>
      <c r="C1058" s="83" t="s">
        <v>21</v>
      </c>
      <c r="D1058" s="84">
        <v>42330</v>
      </c>
      <c r="E1058" s="85">
        <f t="shared" si="96"/>
        <v>2015</v>
      </c>
      <c r="F1058" s="86">
        <v>24466000000</v>
      </c>
      <c r="G1058" s="86">
        <v>14009000000</v>
      </c>
      <c r="H1058" s="86">
        <v>2362000000</v>
      </c>
      <c r="I1058" s="86">
        <v>0</v>
      </c>
      <c r="J1058" s="86">
        <v>0</v>
      </c>
      <c r="K1058" s="83" t="s">
        <v>42</v>
      </c>
      <c r="L1058" s="83" t="s">
        <v>399</v>
      </c>
      <c r="M1058" s="91">
        <f t="shared" si="99"/>
        <v>10457000000</v>
      </c>
      <c r="N1058" s="86">
        <f t="shared" si="100"/>
        <v>2362000000</v>
      </c>
      <c r="O1058" s="86">
        <f t="shared" si="101"/>
        <v>8095000000</v>
      </c>
      <c r="P1058" s="83">
        <f t="shared" si="97"/>
        <v>0.33086732608517944</v>
      </c>
      <c r="Q1058" s="83">
        <f t="shared" si="98"/>
        <v>0.42740946619798903</v>
      </c>
    </row>
    <row r="1059" spans="1:17">
      <c r="A1059" s="87">
        <v>1085</v>
      </c>
      <c r="B1059" s="87" t="s">
        <v>398</v>
      </c>
      <c r="C1059" s="87" t="s">
        <v>22</v>
      </c>
      <c r="D1059" s="84">
        <v>42331</v>
      </c>
      <c r="E1059" s="88">
        <f t="shared" si="96"/>
        <v>2015</v>
      </c>
      <c r="F1059" s="89">
        <v>24522000000</v>
      </c>
      <c r="G1059" s="89">
        <v>14362000000</v>
      </c>
      <c r="H1059" s="89">
        <v>2541000000</v>
      </c>
      <c r="I1059" s="89">
        <v>0</v>
      </c>
      <c r="J1059" s="89">
        <v>0</v>
      </c>
      <c r="K1059" s="87" t="s">
        <v>42</v>
      </c>
      <c r="L1059" s="87" t="s">
        <v>399</v>
      </c>
      <c r="M1059" s="90">
        <f t="shared" si="99"/>
        <v>10160000000</v>
      </c>
      <c r="N1059" s="89">
        <f t="shared" si="100"/>
        <v>2541000000</v>
      </c>
      <c r="O1059" s="89">
        <f t="shared" si="101"/>
        <v>7619000000</v>
      </c>
      <c r="P1059" s="87">
        <f t="shared" si="97"/>
        <v>0.31070059538373707</v>
      </c>
      <c r="Q1059" s="87">
        <f t="shared" si="98"/>
        <v>0.41432183345567242</v>
      </c>
    </row>
    <row r="1060" spans="1:17">
      <c r="A1060" s="83">
        <v>1086</v>
      </c>
      <c r="B1060" s="83" t="s">
        <v>398</v>
      </c>
      <c r="C1060" s="83" t="s">
        <v>23</v>
      </c>
      <c r="D1060" s="84">
        <v>42332</v>
      </c>
      <c r="E1060" s="85">
        <f t="shared" si="96"/>
        <v>2015</v>
      </c>
      <c r="F1060" s="86">
        <v>25434000000</v>
      </c>
      <c r="G1060" s="86">
        <v>14320000000</v>
      </c>
      <c r="H1060" s="86">
        <v>2749000000</v>
      </c>
      <c r="I1060" s="86">
        <v>0</v>
      </c>
      <c r="J1060" s="86">
        <v>0</v>
      </c>
      <c r="K1060" s="83" t="s">
        <v>42</v>
      </c>
      <c r="L1060" s="83" t="s">
        <v>399</v>
      </c>
      <c r="M1060" s="91">
        <f t="shared" si="99"/>
        <v>11114000000</v>
      </c>
      <c r="N1060" s="86">
        <f t="shared" si="100"/>
        <v>2749000000</v>
      </c>
      <c r="O1060" s="86">
        <f t="shared" si="101"/>
        <v>8365000000</v>
      </c>
      <c r="P1060" s="83">
        <f t="shared" si="97"/>
        <v>0.32889046158685226</v>
      </c>
      <c r="Q1060" s="83">
        <f t="shared" si="98"/>
        <v>0.43697412911850275</v>
      </c>
    </row>
    <row r="1061" spans="1:17">
      <c r="A1061" s="87">
        <v>1087</v>
      </c>
      <c r="B1061" s="87" t="s">
        <v>400</v>
      </c>
      <c r="C1061" s="87" t="s">
        <v>18</v>
      </c>
      <c r="D1061" s="84">
        <v>42333</v>
      </c>
      <c r="E1061" s="88">
        <f t="shared" si="96"/>
        <v>2015</v>
      </c>
      <c r="F1061" s="89">
        <v>14861000000</v>
      </c>
      <c r="G1061" s="89">
        <v>7208000000</v>
      </c>
      <c r="H1061" s="89">
        <v>2550000000</v>
      </c>
      <c r="I1061" s="89">
        <v>1533000000</v>
      </c>
      <c r="J1061" s="89">
        <v>0</v>
      </c>
      <c r="K1061" s="87" t="s">
        <v>65</v>
      </c>
      <c r="L1061" s="87" t="s">
        <v>144</v>
      </c>
      <c r="M1061" s="90">
        <f t="shared" si="99"/>
        <v>7653000000</v>
      </c>
      <c r="N1061" s="89">
        <f t="shared" si="100"/>
        <v>4083000000</v>
      </c>
      <c r="O1061" s="89">
        <f t="shared" si="101"/>
        <v>3570000000</v>
      </c>
      <c r="P1061" s="87">
        <f t="shared" si="97"/>
        <v>0.24022609514837495</v>
      </c>
      <c r="Q1061" s="87">
        <f t="shared" si="98"/>
        <v>0.51497207455756677</v>
      </c>
    </row>
    <row r="1062" spans="1:17">
      <c r="A1062" s="83">
        <v>1088</v>
      </c>
      <c r="B1062" s="83" t="s">
        <v>400</v>
      </c>
      <c r="C1062" s="83" t="s">
        <v>21</v>
      </c>
      <c r="D1062" s="84">
        <v>42334</v>
      </c>
      <c r="E1062" s="85">
        <f t="shared" si="96"/>
        <v>2015</v>
      </c>
      <c r="F1062" s="86">
        <v>15855000000</v>
      </c>
      <c r="G1062" s="86">
        <v>7281000000</v>
      </c>
      <c r="H1062" s="86">
        <v>2774000000</v>
      </c>
      <c r="I1062" s="86">
        <v>1725000000</v>
      </c>
      <c r="J1062" s="86">
        <v>0</v>
      </c>
      <c r="K1062" s="83" t="s">
        <v>65</v>
      </c>
      <c r="L1062" s="83" t="s">
        <v>144</v>
      </c>
      <c r="M1062" s="91">
        <f t="shared" si="99"/>
        <v>8574000000</v>
      </c>
      <c r="N1062" s="86">
        <f t="shared" si="100"/>
        <v>4499000000</v>
      </c>
      <c r="O1062" s="86">
        <f t="shared" si="101"/>
        <v>4075000000</v>
      </c>
      <c r="P1062" s="83">
        <f t="shared" si="97"/>
        <v>0.25701671397035636</v>
      </c>
      <c r="Q1062" s="83">
        <f t="shared" si="98"/>
        <v>0.54077578051087982</v>
      </c>
    </row>
    <row r="1063" spans="1:17">
      <c r="A1063" s="87">
        <v>1089</v>
      </c>
      <c r="B1063" s="87" t="s">
        <v>400</v>
      </c>
      <c r="C1063" s="87" t="s">
        <v>22</v>
      </c>
      <c r="D1063" s="84">
        <v>42335</v>
      </c>
      <c r="E1063" s="88">
        <f t="shared" si="96"/>
        <v>2015</v>
      </c>
      <c r="F1063" s="89">
        <v>15001000000</v>
      </c>
      <c r="G1063" s="89">
        <v>6819000000</v>
      </c>
      <c r="H1063" s="89">
        <v>2686000000</v>
      </c>
      <c r="I1063" s="89">
        <v>1580000000</v>
      </c>
      <c r="J1063" s="89">
        <v>0</v>
      </c>
      <c r="K1063" s="87" t="s">
        <v>65</v>
      </c>
      <c r="L1063" s="87" t="s">
        <v>144</v>
      </c>
      <c r="M1063" s="90">
        <f t="shared" si="99"/>
        <v>8182000000</v>
      </c>
      <c r="N1063" s="89">
        <f t="shared" si="100"/>
        <v>4266000000</v>
      </c>
      <c r="O1063" s="89">
        <f t="shared" si="101"/>
        <v>3916000000</v>
      </c>
      <c r="P1063" s="87">
        <f t="shared" si="97"/>
        <v>0.26104926338244117</v>
      </c>
      <c r="Q1063" s="87">
        <f t="shared" si="98"/>
        <v>0.54543030464635689</v>
      </c>
    </row>
    <row r="1064" spans="1:17">
      <c r="A1064" s="83">
        <v>1090</v>
      </c>
      <c r="B1064" s="83" t="s">
        <v>400</v>
      </c>
      <c r="C1064" s="83" t="s">
        <v>23</v>
      </c>
      <c r="D1064" s="84">
        <v>42336</v>
      </c>
      <c r="E1064" s="85">
        <f t="shared" si="96"/>
        <v>2015</v>
      </c>
      <c r="F1064" s="86">
        <v>13502000000</v>
      </c>
      <c r="G1064" s="86">
        <v>6485000000</v>
      </c>
      <c r="H1064" s="86">
        <v>2833000000</v>
      </c>
      <c r="I1064" s="86">
        <v>1512000000</v>
      </c>
      <c r="J1064" s="86">
        <v>0</v>
      </c>
      <c r="K1064" s="83" t="s">
        <v>65</v>
      </c>
      <c r="L1064" s="83" t="s">
        <v>144</v>
      </c>
      <c r="M1064" s="91">
        <f t="shared" si="99"/>
        <v>7017000000</v>
      </c>
      <c r="N1064" s="86">
        <f t="shared" si="100"/>
        <v>4345000000</v>
      </c>
      <c r="O1064" s="86">
        <f t="shared" si="101"/>
        <v>2672000000</v>
      </c>
      <c r="P1064" s="83">
        <f t="shared" si="97"/>
        <v>0.19789660790993926</v>
      </c>
      <c r="Q1064" s="83">
        <f t="shared" si="98"/>
        <v>0.51970078506887862</v>
      </c>
    </row>
    <row r="1065" spans="1:17">
      <c r="A1065" s="87">
        <v>1091</v>
      </c>
      <c r="B1065" s="87" t="s">
        <v>401</v>
      </c>
      <c r="C1065" s="87" t="s">
        <v>18</v>
      </c>
      <c r="D1065" s="84">
        <v>42337</v>
      </c>
      <c r="E1065" s="88">
        <f t="shared" si="96"/>
        <v>2015</v>
      </c>
      <c r="F1065" s="89">
        <v>9974100000</v>
      </c>
      <c r="G1065" s="89">
        <v>7213900000</v>
      </c>
      <c r="H1065" s="89">
        <v>550600000</v>
      </c>
      <c r="I1065" s="89">
        <v>0</v>
      </c>
      <c r="J1065" s="89">
        <v>0</v>
      </c>
      <c r="K1065" s="87" t="s">
        <v>65</v>
      </c>
      <c r="L1065" s="87" t="s">
        <v>144</v>
      </c>
      <c r="M1065" s="90">
        <f t="shared" si="99"/>
        <v>2760200000</v>
      </c>
      <c r="N1065" s="89">
        <f t="shared" si="100"/>
        <v>550600000</v>
      </c>
      <c r="O1065" s="89">
        <f t="shared" si="101"/>
        <v>2209600000</v>
      </c>
      <c r="P1065" s="87">
        <f t="shared" si="97"/>
        <v>0.22153377247069911</v>
      </c>
      <c r="Q1065" s="87">
        <f t="shared" si="98"/>
        <v>0.27673674817778049</v>
      </c>
    </row>
    <row r="1066" spans="1:17">
      <c r="A1066" s="83">
        <v>1092</v>
      </c>
      <c r="B1066" s="83" t="s">
        <v>401</v>
      </c>
      <c r="C1066" s="83" t="s">
        <v>21</v>
      </c>
      <c r="D1066" s="84">
        <v>42338</v>
      </c>
      <c r="E1066" s="85">
        <f t="shared" si="96"/>
        <v>2015</v>
      </c>
      <c r="F1066" s="86">
        <v>9055800000</v>
      </c>
      <c r="G1066" s="86">
        <v>7129200000</v>
      </c>
      <c r="H1066" s="86">
        <v>505800000</v>
      </c>
      <c r="I1066" s="86">
        <v>0</v>
      </c>
      <c r="J1066" s="86">
        <v>0</v>
      </c>
      <c r="K1066" s="83" t="s">
        <v>65</v>
      </c>
      <c r="L1066" s="83" t="s">
        <v>144</v>
      </c>
      <c r="M1066" s="91">
        <f t="shared" si="99"/>
        <v>1926600000</v>
      </c>
      <c r="N1066" s="86">
        <f t="shared" si="100"/>
        <v>505800000</v>
      </c>
      <c r="O1066" s="86">
        <f t="shared" si="101"/>
        <v>1420800000</v>
      </c>
      <c r="P1066" s="83">
        <f t="shared" si="97"/>
        <v>0.15689392433578481</v>
      </c>
      <c r="Q1066" s="83">
        <f t="shared" si="98"/>
        <v>0.21274763135228247</v>
      </c>
    </row>
    <row r="1067" spans="1:17">
      <c r="A1067" s="87">
        <v>1093</v>
      </c>
      <c r="B1067" s="87" t="s">
        <v>401</v>
      </c>
      <c r="C1067" s="87" t="s">
        <v>22</v>
      </c>
      <c r="D1067" s="84">
        <v>42339</v>
      </c>
      <c r="E1067" s="88">
        <f t="shared" si="96"/>
        <v>2015</v>
      </c>
      <c r="F1067" s="89">
        <v>8895300000</v>
      </c>
      <c r="G1067" s="89">
        <v>7177400000</v>
      </c>
      <c r="H1067" s="89">
        <v>439100000</v>
      </c>
      <c r="I1067" s="89">
        <v>0</v>
      </c>
      <c r="J1067" s="89">
        <v>0</v>
      </c>
      <c r="K1067" s="87" t="s">
        <v>65</v>
      </c>
      <c r="L1067" s="87" t="s">
        <v>144</v>
      </c>
      <c r="M1067" s="90">
        <f t="shared" si="99"/>
        <v>1717900000</v>
      </c>
      <c r="N1067" s="89">
        <f t="shared" si="100"/>
        <v>439100000</v>
      </c>
      <c r="O1067" s="89">
        <f t="shared" si="101"/>
        <v>1278800000</v>
      </c>
      <c r="P1067" s="87">
        <f t="shared" si="97"/>
        <v>0.14376131215360921</v>
      </c>
      <c r="Q1067" s="87">
        <f t="shared" si="98"/>
        <v>0.1931244589839578</v>
      </c>
    </row>
    <row r="1068" spans="1:17">
      <c r="A1068" s="83">
        <v>1094</v>
      </c>
      <c r="B1068" s="83" t="s">
        <v>401</v>
      </c>
      <c r="C1068" s="83" t="s">
        <v>23</v>
      </c>
      <c r="D1068" s="84">
        <v>42340</v>
      </c>
      <c r="E1068" s="85">
        <f t="shared" si="96"/>
        <v>2015</v>
      </c>
      <c r="F1068" s="86">
        <v>7162800000</v>
      </c>
      <c r="G1068" s="86">
        <v>6352800000</v>
      </c>
      <c r="H1068" s="86">
        <v>491000000</v>
      </c>
      <c r="I1068" s="86">
        <v>0</v>
      </c>
      <c r="J1068" s="86">
        <v>0</v>
      </c>
      <c r="K1068" s="83" t="s">
        <v>65</v>
      </c>
      <c r="L1068" s="83" t="s">
        <v>144</v>
      </c>
      <c r="M1068" s="91">
        <f t="shared" si="99"/>
        <v>810000000</v>
      </c>
      <c r="N1068" s="86">
        <f t="shared" si="100"/>
        <v>491000000</v>
      </c>
      <c r="O1068" s="86">
        <f t="shared" si="101"/>
        <v>319000000</v>
      </c>
      <c r="P1068" s="83">
        <f t="shared" si="97"/>
        <v>4.4535656447199416E-2</v>
      </c>
      <c r="Q1068" s="83">
        <f t="shared" si="98"/>
        <v>0.11308426872172894</v>
      </c>
    </row>
    <row r="1069" spans="1:17">
      <c r="A1069" s="87">
        <v>1095</v>
      </c>
      <c r="B1069" s="87" t="s">
        <v>402</v>
      </c>
      <c r="C1069" s="87" t="s">
        <v>18</v>
      </c>
      <c r="D1069" s="84">
        <v>42341</v>
      </c>
      <c r="E1069" s="88">
        <f t="shared" si="96"/>
        <v>2015</v>
      </c>
      <c r="F1069" s="89">
        <v>82243000000</v>
      </c>
      <c r="G1069" s="89">
        <v>68948000000</v>
      </c>
      <c r="H1069" s="89">
        <v>7202000000</v>
      </c>
      <c r="I1069" s="89">
        <v>0</v>
      </c>
      <c r="J1069" s="89">
        <v>995000000</v>
      </c>
      <c r="K1069" s="87" t="s">
        <v>89</v>
      </c>
      <c r="L1069" s="87" t="s">
        <v>347</v>
      </c>
      <c r="M1069" s="90">
        <f t="shared" si="99"/>
        <v>13295000000</v>
      </c>
      <c r="N1069" s="89">
        <f t="shared" si="100"/>
        <v>8197000000</v>
      </c>
      <c r="O1069" s="89">
        <f t="shared" si="101"/>
        <v>5098000000</v>
      </c>
      <c r="P1069" s="87">
        <f t="shared" si="97"/>
        <v>6.198703841056382E-2</v>
      </c>
      <c r="Q1069" s="87">
        <f t="shared" si="98"/>
        <v>0.16165509526646649</v>
      </c>
    </row>
    <row r="1070" spans="1:17">
      <c r="A1070" s="83">
        <v>1096</v>
      </c>
      <c r="B1070" s="83" t="s">
        <v>402</v>
      </c>
      <c r="C1070" s="83" t="s">
        <v>21</v>
      </c>
      <c r="D1070" s="84">
        <v>42342</v>
      </c>
      <c r="E1070" s="85">
        <f t="shared" si="96"/>
        <v>2015</v>
      </c>
      <c r="F1070" s="86">
        <v>100160000000</v>
      </c>
      <c r="G1070" s="86">
        <v>87758000000</v>
      </c>
      <c r="H1070" s="86">
        <v>7851000000</v>
      </c>
      <c r="I1070" s="86">
        <v>0</v>
      </c>
      <c r="J1070" s="86">
        <v>1220000000</v>
      </c>
      <c r="K1070" s="83" t="s">
        <v>89</v>
      </c>
      <c r="L1070" s="83" t="s">
        <v>347</v>
      </c>
      <c r="M1070" s="91">
        <f t="shared" si="99"/>
        <v>12402000000</v>
      </c>
      <c r="N1070" s="86">
        <f t="shared" si="100"/>
        <v>9071000000</v>
      </c>
      <c r="O1070" s="86">
        <f t="shared" si="101"/>
        <v>3331000000</v>
      </c>
      <c r="P1070" s="83">
        <f t="shared" si="97"/>
        <v>3.3256789137380192E-2</v>
      </c>
      <c r="Q1070" s="83">
        <f t="shared" si="98"/>
        <v>0.12382188498402558</v>
      </c>
    </row>
    <row r="1071" spans="1:17">
      <c r="A1071" s="87">
        <v>1097</v>
      </c>
      <c r="B1071" s="87" t="s">
        <v>402</v>
      </c>
      <c r="C1071" s="87" t="s">
        <v>22</v>
      </c>
      <c r="D1071" s="84">
        <v>42343</v>
      </c>
      <c r="E1071" s="88">
        <f t="shared" si="96"/>
        <v>2015</v>
      </c>
      <c r="F1071" s="89">
        <v>97817000000</v>
      </c>
      <c r="G1071" s="89">
        <v>84275000000</v>
      </c>
      <c r="H1071" s="89">
        <v>8450000000</v>
      </c>
      <c r="I1071" s="89">
        <v>0</v>
      </c>
      <c r="J1071" s="89">
        <v>1326000000</v>
      </c>
      <c r="K1071" s="87" t="s">
        <v>89</v>
      </c>
      <c r="L1071" s="87" t="s">
        <v>347</v>
      </c>
      <c r="M1071" s="90">
        <f t="shared" si="99"/>
        <v>13542000000</v>
      </c>
      <c r="N1071" s="89">
        <f t="shared" si="100"/>
        <v>9776000000</v>
      </c>
      <c r="O1071" s="89">
        <f t="shared" si="101"/>
        <v>3766000000</v>
      </c>
      <c r="P1071" s="87">
        <f t="shared" si="97"/>
        <v>3.8500465154318778E-2</v>
      </c>
      <c r="Q1071" s="87">
        <f t="shared" si="98"/>
        <v>0.13844219307482342</v>
      </c>
    </row>
    <row r="1072" spans="1:17">
      <c r="A1072" s="83">
        <v>1098</v>
      </c>
      <c r="B1072" s="83" t="s">
        <v>402</v>
      </c>
      <c r="C1072" s="83" t="s">
        <v>23</v>
      </c>
      <c r="D1072" s="84">
        <v>42344</v>
      </c>
      <c r="E1072" s="85">
        <f t="shared" si="96"/>
        <v>2015</v>
      </c>
      <c r="F1072" s="86">
        <v>72051000000</v>
      </c>
      <c r="G1072" s="86">
        <v>55891000000</v>
      </c>
      <c r="H1072" s="86">
        <v>10029000000</v>
      </c>
      <c r="I1072" s="86">
        <v>0</v>
      </c>
      <c r="J1072" s="86">
        <v>1646000000</v>
      </c>
      <c r="K1072" s="83" t="s">
        <v>89</v>
      </c>
      <c r="L1072" s="83" t="s">
        <v>347</v>
      </c>
      <c r="M1072" s="91">
        <f t="shared" si="99"/>
        <v>16160000000</v>
      </c>
      <c r="N1072" s="86">
        <f t="shared" si="100"/>
        <v>11675000000</v>
      </c>
      <c r="O1072" s="86">
        <f t="shared" si="101"/>
        <v>4485000000</v>
      </c>
      <c r="P1072" s="83">
        <f t="shared" si="97"/>
        <v>6.2247574634633804E-2</v>
      </c>
      <c r="Q1072" s="83">
        <f t="shared" si="98"/>
        <v>0.22428557549513539</v>
      </c>
    </row>
    <row r="1073" spans="1:17">
      <c r="A1073" s="87">
        <v>1099</v>
      </c>
      <c r="B1073" s="87" t="s">
        <v>403</v>
      </c>
      <c r="C1073" s="87" t="s">
        <v>18</v>
      </c>
      <c r="D1073" s="84">
        <v>42345</v>
      </c>
      <c r="E1073" s="88">
        <f t="shared" si="96"/>
        <v>2015</v>
      </c>
      <c r="F1073" s="89">
        <v>47267000000</v>
      </c>
      <c r="G1073" s="89">
        <v>16446000000</v>
      </c>
      <c r="H1073" s="89">
        <v>12776000000</v>
      </c>
      <c r="I1073" s="89">
        <v>8168000000</v>
      </c>
      <c r="J1073" s="89">
        <v>0</v>
      </c>
      <c r="K1073" s="87" t="s">
        <v>31</v>
      </c>
      <c r="L1073" s="87" t="s">
        <v>32</v>
      </c>
      <c r="M1073" s="90">
        <f t="shared" si="99"/>
        <v>30821000000</v>
      </c>
      <c r="N1073" s="89">
        <f t="shared" si="100"/>
        <v>20944000000</v>
      </c>
      <c r="O1073" s="89">
        <f t="shared" si="101"/>
        <v>9877000000</v>
      </c>
      <c r="P1073" s="87">
        <f t="shared" si="97"/>
        <v>0.20896185499397044</v>
      </c>
      <c r="Q1073" s="87">
        <f t="shared" si="98"/>
        <v>0.65206169208961851</v>
      </c>
    </row>
    <row r="1074" spans="1:17">
      <c r="A1074" s="83">
        <v>1100</v>
      </c>
      <c r="B1074" s="83" t="s">
        <v>403</v>
      </c>
      <c r="C1074" s="83" t="s">
        <v>21</v>
      </c>
      <c r="D1074" s="84">
        <v>42346</v>
      </c>
      <c r="E1074" s="85">
        <f t="shared" si="96"/>
        <v>2015</v>
      </c>
      <c r="F1074" s="86">
        <v>44033000000</v>
      </c>
      <c r="G1074" s="86">
        <v>16954000000</v>
      </c>
      <c r="H1074" s="86">
        <v>11911000000</v>
      </c>
      <c r="I1074" s="86">
        <v>7503000000</v>
      </c>
      <c r="J1074" s="86">
        <v>0</v>
      </c>
      <c r="K1074" s="83" t="s">
        <v>31</v>
      </c>
      <c r="L1074" s="83" t="s">
        <v>32</v>
      </c>
      <c r="M1074" s="91">
        <f t="shared" si="99"/>
        <v>27079000000</v>
      </c>
      <c r="N1074" s="86">
        <f t="shared" si="100"/>
        <v>19414000000</v>
      </c>
      <c r="O1074" s="86">
        <f t="shared" si="101"/>
        <v>7665000000</v>
      </c>
      <c r="P1074" s="83">
        <f t="shared" si="97"/>
        <v>0.17407398996207391</v>
      </c>
      <c r="Q1074" s="83">
        <f t="shared" si="98"/>
        <v>0.6149705902391388</v>
      </c>
    </row>
    <row r="1075" spans="1:17">
      <c r="A1075" s="87">
        <v>1101</v>
      </c>
      <c r="B1075" s="87" t="s">
        <v>403</v>
      </c>
      <c r="C1075" s="87" t="s">
        <v>22</v>
      </c>
      <c r="D1075" s="84">
        <v>42347</v>
      </c>
      <c r="E1075" s="88">
        <f t="shared" si="96"/>
        <v>2015</v>
      </c>
      <c r="F1075" s="89">
        <v>42237000000</v>
      </c>
      <c r="G1075" s="89">
        <v>16768000000</v>
      </c>
      <c r="H1075" s="89">
        <v>11606000000</v>
      </c>
      <c r="I1075" s="89">
        <v>7180000000</v>
      </c>
      <c r="J1075" s="89">
        <v>0</v>
      </c>
      <c r="K1075" s="87" t="s">
        <v>31</v>
      </c>
      <c r="L1075" s="87" t="s">
        <v>32</v>
      </c>
      <c r="M1075" s="90">
        <f t="shared" si="99"/>
        <v>25469000000</v>
      </c>
      <c r="N1075" s="89">
        <f t="shared" si="100"/>
        <v>18786000000</v>
      </c>
      <c r="O1075" s="89">
        <f t="shared" si="101"/>
        <v>6683000000</v>
      </c>
      <c r="P1075" s="87">
        <f t="shared" si="97"/>
        <v>0.15822619977744631</v>
      </c>
      <c r="Q1075" s="87">
        <f t="shared" si="98"/>
        <v>0.60300210715723179</v>
      </c>
    </row>
    <row r="1076" spans="1:17">
      <c r="A1076" s="83">
        <v>1102</v>
      </c>
      <c r="B1076" s="83" t="s">
        <v>403</v>
      </c>
      <c r="C1076" s="83" t="s">
        <v>23</v>
      </c>
      <c r="D1076" s="84">
        <v>42348</v>
      </c>
      <c r="E1076" s="85">
        <f t="shared" si="96"/>
        <v>2015</v>
      </c>
      <c r="F1076" s="86">
        <v>39498000000</v>
      </c>
      <c r="G1076" s="86">
        <v>14934000000</v>
      </c>
      <c r="H1076" s="86">
        <v>10313000000</v>
      </c>
      <c r="I1076" s="86">
        <v>6704000000</v>
      </c>
      <c r="J1076" s="86">
        <v>0</v>
      </c>
      <c r="K1076" s="83" t="s">
        <v>31</v>
      </c>
      <c r="L1076" s="83" t="s">
        <v>32</v>
      </c>
      <c r="M1076" s="91">
        <f t="shared" si="99"/>
        <v>24564000000</v>
      </c>
      <c r="N1076" s="86">
        <f t="shared" si="100"/>
        <v>17017000000</v>
      </c>
      <c r="O1076" s="86">
        <f t="shared" si="101"/>
        <v>7547000000</v>
      </c>
      <c r="P1076" s="83">
        <f t="shared" si="97"/>
        <v>0.19107296571978327</v>
      </c>
      <c r="Q1076" s="83">
        <f t="shared" si="98"/>
        <v>0.62190490657754816</v>
      </c>
    </row>
    <row r="1077" spans="1:17">
      <c r="A1077" s="87">
        <v>1103</v>
      </c>
      <c r="B1077" s="87" t="s">
        <v>404</v>
      </c>
      <c r="C1077" s="87" t="s">
        <v>18</v>
      </c>
      <c r="D1077" s="84">
        <v>42349</v>
      </c>
      <c r="E1077" s="85">
        <f t="shared" si="96"/>
        <v>2015</v>
      </c>
      <c r="F1077" s="89">
        <v>11966000000</v>
      </c>
      <c r="G1077" s="89">
        <v>2079000000</v>
      </c>
      <c r="H1077" s="89">
        <v>4017000000</v>
      </c>
      <c r="I1077" s="89">
        <v>0</v>
      </c>
      <c r="J1077" s="89">
        <v>2008000000</v>
      </c>
      <c r="K1077" s="87" t="s">
        <v>89</v>
      </c>
      <c r="L1077" s="87" t="s">
        <v>90</v>
      </c>
      <c r="M1077" s="90">
        <f t="shared" si="99"/>
        <v>9887000000</v>
      </c>
      <c r="N1077" s="89">
        <f t="shared" si="100"/>
        <v>6025000000</v>
      </c>
      <c r="O1077" s="89">
        <f t="shared" si="101"/>
        <v>3862000000</v>
      </c>
      <c r="P1077" s="87">
        <f t="shared" si="97"/>
        <v>0.32274778539194382</v>
      </c>
      <c r="Q1077" s="87">
        <f t="shared" si="98"/>
        <v>0.82625773023566773</v>
      </c>
    </row>
    <row r="1078" spans="1:17">
      <c r="A1078" s="83">
        <v>1104</v>
      </c>
      <c r="B1078" s="83" t="s">
        <v>404</v>
      </c>
      <c r="C1078" s="83" t="s">
        <v>21</v>
      </c>
      <c r="D1078" s="84">
        <v>42350</v>
      </c>
      <c r="E1078" s="85">
        <f t="shared" si="96"/>
        <v>2015</v>
      </c>
      <c r="F1078" s="86">
        <v>11325000000</v>
      </c>
      <c r="G1078" s="86">
        <v>2156000000</v>
      </c>
      <c r="H1078" s="86">
        <v>3469000000</v>
      </c>
      <c r="I1078" s="86">
        <v>0</v>
      </c>
      <c r="J1078" s="86">
        <v>2500000000</v>
      </c>
      <c r="K1078" s="83" t="s">
        <v>89</v>
      </c>
      <c r="L1078" s="83" t="s">
        <v>90</v>
      </c>
      <c r="M1078" s="91">
        <f t="shared" si="99"/>
        <v>9169000000</v>
      </c>
      <c r="N1078" s="86">
        <f t="shared" si="100"/>
        <v>5969000000</v>
      </c>
      <c r="O1078" s="86">
        <f t="shared" si="101"/>
        <v>3200000000</v>
      </c>
      <c r="P1078" s="83">
        <f t="shared" si="97"/>
        <v>0.282560706401766</v>
      </c>
      <c r="Q1078" s="83">
        <f t="shared" si="98"/>
        <v>0.80962472406181019</v>
      </c>
    </row>
    <row r="1079" spans="1:17">
      <c r="A1079" s="87">
        <v>1105</v>
      </c>
      <c r="B1079" s="87" t="s">
        <v>404</v>
      </c>
      <c r="C1079" s="87" t="s">
        <v>22</v>
      </c>
      <c r="D1079" s="84">
        <v>42351</v>
      </c>
      <c r="E1079" s="85">
        <f t="shared" si="96"/>
        <v>2015</v>
      </c>
      <c r="F1079" s="89">
        <v>10846000000</v>
      </c>
      <c r="G1079" s="89">
        <v>2246000000</v>
      </c>
      <c r="H1079" s="89">
        <v>3627000000</v>
      </c>
      <c r="I1079" s="89">
        <v>0</v>
      </c>
      <c r="J1079" s="89">
        <v>2861000000</v>
      </c>
      <c r="K1079" s="87" t="s">
        <v>89</v>
      </c>
      <c r="L1079" s="87" t="s">
        <v>90</v>
      </c>
      <c r="M1079" s="90">
        <f t="shared" si="99"/>
        <v>8600000000</v>
      </c>
      <c r="N1079" s="89">
        <f t="shared" si="100"/>
        <v>6488000000</v>
      </c>
      <c r="O1079" s="89">
        <f t="shared" si="101"/>
        <v>2112000000</v>
      </c>
      <c r="P1079" s="87">
        <f t="shared" si="97"/>
        <v>0.1947261663286004</v>
      </c>
      <c r="Q1079" s="87">
        <f t="shared" si="98"/>
        <v>0.79291904849714179</v>
      </c>
    </row>
    <row r="1080" spans="1:17">
      <c r="A1080" s="83">
        <v>1106</v>
      </c>
      <c r="B1080" s="83" t="s">
        <v>404</v>
      </c>
      <c r="C1080" s="83" t="s">
        <v>23</v>
      </c>
      <c r="D1080" s="84">
        <v>42352</v>
      </c>
      <c r="E1080" s="85">
        <f t="shared" si="96"/>
        <v>2015</v>
      </c>
      <c r="F1080" s="86">
        <v>5522000000</v>
      </c>
      <c r="G1080" s="86">
        <v>1694000000</v>
      </c>
      <c r="H1080" s="86">
        <v>1831000000</v>
      </c>
      <c r="I1080" s="86">
        <v>0</v>
      </c>
      <c r="J1080" s="86">
        <v>2957000000</v>
      </c>
      <c r="K1080" s="83" t="s">
        <v>89</v>
      </c>
      <c r="L1080" s="83" t="s">
        <v>90</v>
      </c>
      <c r="M1080" s="91">
        <f t="shared" si="99"/>
        <v>3828000000</v>
      </c>
      <c r="N1080" s="86">
        <f t="shared" si="100"/>
        <v>4788000000</v>
      </c>
      <c r="O1080" s="86">
        <f t="shared" si="101"/>
        <v>-960000000</v>
      </c>
      <c r="P1080" s="83">
        <f t="shared" si="97"/>
        <v>-0.17385005432814199</v>
      </c>
      <c r="Q1080" s="83">
        <f t="shared" si="98"/>
        <v>0.69322709163346619</v>
      </c>
    </row>
    <row r="1081" spans="1:17">
      <c r="A1081" s="87">
        <v>1107</v>
      </c>
      <c r="B1081" s="87" t="s">
        <v>405</v>
      </c>
      <c r="C1081" s="87" t="s">
        <v>18</v>
      </c>
      <c r="D1081" s="84">
        <v>42353</v>
      </c>
      <c r="E1081" s="88">
        <f t="shared" si="96"/>
        <v>2015</v>
      </c>
      <c r="F1081" s="89">
        <v>77849000000</v>
      </c>
      <c r="G1081" s="89">
        <v>20385000000</v>
      </c>
      <c r="H1081" s="89">
        <v>20289000000</v>
      </c>
      <c r="I1081" s="89">
        <v>10411000000</v>
      </c>
      <c r="J1081" s="89">
        <v>0</v>
      </c>
      <c r="K1081" s="87" t="s">
        <v>28</v>
      </c>
      <c r="L1081" s="87" t="s">
        <v>406</v>
      </c>
      <c r="M1081" s="90">
        <f t="shared" si="99"/>
        <v>57464000000</v>
      </c>
      <c r="N1081" s="89">
        <f t="shared" si="100"/>
        <v>30700000000</v>
      </c>
      <c r="O1081" s="89">
        <f t="shared" si="101"/>
        <v>26764000000</v>
      </c>
      <c r="P1081" s="87">
        <f t="shared" si="97"/>
        <v>0.34379375457616668</v>
      </c>
      <c r="Q1081" s="87">
        <f t="shared" si="98"/>
        <v>0.73814692545825888</v>
      </c>
    </row>
    <row r="1082" spans="1:17">
      <c r="A1082" s="83">
        <v>1108</v>
      </c>
      <c r="B1082" s="83" t="s">
        <v>405</v>
      </c>
      <c r="C1082" s="83" t="s">
        <v>21</v>
      </c>
      <c r="D1082" s="84">
        <v>42354</v>
      </c>
      <c r="E1082" s="85">
        <f t="shared" si="96"/>
        <v>2015</v>
      </c>
      <c r="F1082" s="86">
        <v>86833000000</v>
      </c>
      <c r="G1082" s="86">
        <v>27078000000</v>
      </c>
      <c r="H1082" s="86">
        <v>20488000000</v>
      </c>
      <c r="I1082" s="86">
        <v>11381000000</v>
      </c>
      <c r="J1082" s="86">
        <v>0</v>
      </c>
      <c r="K1082" s="83" t="s">
        <v>28</v>
      </c>
      <c r="L1082" s="83" t="s">
        <v>406</v>
      </c>
      <c r="M1082" s="91">
        <f t="shared" si="99"/>
        <v>59755000000</v>
      </c>
      <c r="N1082" s="86">
        <f t="shared" si="100"/>
        <v>31869000000</v>
      </c>
      <c r="O1082" s="86">
        <f t="shared" si="101"/>
        <v>27886000000</v>
      </c>
      <c r="P1082" s="83">
        <f t="shared" si="97"/>
        <v>0.32114518673776099</v>
      </c>
      <c r="Q1082" s="83">
        <f t="shared" si="98"/>
        <v>0.68816003132449644</v>
      </c>
    </row>
    <row r="1083" spans="1:17">
      <c r="A1083" s="87">
        <v>1109</v>
      </c>
      <c r="B1083" s="87" t="s">
        <v>405</v>
      </c>
      <c r="C1083" s="87" t="s">
        <v>22</v>
      </c>
      <c r="D1083" s="84">
        <v>42355</v>
      </c>
      <c r="E1083" s="88">
        <f t="shared" si="96"/>
        <v>2015</v>
      </c>
      <c r="F1083" s="89">
        <v>93580000000</v>
      </c>
      <c r="G1083" s="89">
        <v>33038000000</v>
      </c>
      <c r="H1083" s="89">
        <v>20324000000</v>
      </c>
      <c r="I1083" s="89">
        <v>12046000000</v>
      </c>
      <c r="J1083" s="89">
        <v>0</v>
      </c>
      <c r="K1083" s="87" t="s">
        <v>28</v>
      </c>
      <c r="L1083" s="87" t="s">
        <v>406</v>
      </c>
      <c r="M1083" s="90">
        <f t="shared" si="99"/>
        <v>60542000000</v>
      </c>
      <c r="N1083" s="89">
        <f t="shared" si="100"/>
        <v>32370000000</v>
      </c>
      <c r="O1083" s="89">
        <f t="shared" si="101"/>
        <v>28172000000</v>
      </c>
      <c r="P1083" s="87">
        <f t="shared" si="97"/>
        <v>0.30104723231459712</v>
      </c>
      <c r="Q1083" s="87">
        <f t="shared" si="98"/>
        <v>0.64695447745244716</v>
      </c>
    </row>
    <row r="1084" spans="1:17">
      <c r="A1084" s="83">
        <v>1110</v>
      </c>
      <c r="B1084" s="83" t="s">
        <v>405</v>
      </c>
      <c r="C1084" s="83" t="s">
        <v>23</v>
      </c>
      <c r="D1084" s="84">
        <v>42356</v>
      </c>
      <c r="E1084" s="85">
        <f t="shared" si="96"/>
        <v>2015</v>
      </c>
      <c r="F1084" s="86">
        <v>85320000000</v>
      </c>
      <c r="G1084" s="86">
        <v>32780000000</v>
      </c>
      <c r="H1084" s="86">
        <v>19260000000</v>
      </c>
      <c r="I1084" s="86">
        <v>11988000000</v>
      </c>
      <c r="J1084" s="86">
        <v>0</v>
      </c>
      <c r="K1084" s="83" t="s">
        <v>28</v>
      </c>
      <c r="L1084" s="83" t="s">
        <v>406</v>
      </c>
      <c r="M1084" s="91">
        <f t="shared" si="99"/>
        <v>52540000000</v>
      </c>
      <c r="N1084" s="86">
        <f t="shared" si="100"/>
        <v>31248000000</v>
      </c>
      <c r="O1084" s="86">
        <f t="shared" si="101"/>
        <v>21292000000</v>
      </c>
      <c r="P1084" s="83">
        <f t="shared" si="97"/>
        <v>0.24955461790904829</v>
      </c>
      <c r="Q1084" s="83">
        <f t="shared" si="98"/>
        <v>0.61579934364744493</v>
      </c>
    </row>
    <row r="1085" spans="1:17">
      <c r="A1085" s="87">
        <v>1111</v>
      </c>
      <c r="B1085" s="87" t="s">
        <v>407</v>
      </c>
      <c r="C1085" s="87" t="s">
        <v>18</v>
      </c>
      <c r="D1085" s="84">
        <v>42357</v>
      </c>
      <c r="E1085" s="88">
        <f t="shared" si="96"/>
        <v>2015</v>
      </c>
      <c r="F1085" s="89">
        <v>4608955000</v>
      </c>
      <c r="G1085" s="89">
        <v>116586000</v>
      </c>
      <c r="H1085" s="89">
        <v>2448629000</v>
      </c>
      <c r="I1085" s="89">
        <v>0</v>
      </c>
      <c r="J1085" s="89">
        <v>264631000</v>
      </c>
      <c r="K1085" s="87" t="s">
        <v>53</v>
      </c>
      <c r="L1085" s="87" t="s">
        <v>111</v>
      </c>
      <c r="M1085" s="90">
        <f t="shared" si="99"/>
        <v>4492369000</v>
      </c>
      <c r="N1085" s="89">
        <f t="shared" si="100"/>
        <v>2713260000</v>
      </c>
      <c r="O1085" s="89">
        <f t="shared" si="101"/>
        <v>1779109000</v>
      </c>
      <c r="P1085" s="87">
        <f t="shared" si="97"/>
        <v>0.38601136266246905</v>
      </c>
      <c r="Q1085" s="87">
        <f t="shared" si="98"/>
        <v>0.97470446120649912</v>
      </c>
    </row>
    <row r="1086" spans="1:17">
      <c r="A1086" s="83">
        <v>1112</v>
      </c>
      <c r="B1086" s="83" t="s">
        <v>407</v>
      </c>
      <c r="C1086" s="83" t="s">
        <v>21</v>
      </c>
      <c r="D1086" s="84">
        <v>42358</v>
      </c>
      <c r="E1086" s="85">
        <f t="shared" si="96"/>
        <v>2015</v>
      </c>
      <c r="F1086" s="86">
        <v>4822539000</v>
      </c>
      <c r="G1086" s="86">
        <v>83692000</v>
      </c>
      <c r="H1086" s="86">
        <v>2540954000</v>
      </c>
      <c r="I1086" s="86">
        <v>0</v>
      </c>
      <c r="J1086" s="86">
        <v>231912000</v>
      </c>
      <c r="K1086" s="83" t="s">
        <v>53</v>
      </c>
      <c r="L1086" s="83" t="s">
        <v>111</v>
      </c>
      <c r="M1086" s="91">
        <f t="shared" si="99"/>
        <v>4738847000</v>
      </c>
      <c r="N1086" s="86">
        <f t="shared" si="100"/>
        <v>2772866000</v>
      </c>
      <c r="O1086" s="86">
        <f t="shared" si="101"/>
        <v>1965981000</v>
      </c>
      <c r="P1086" s="83">
        <f t="shared" si="97"/>
        <v>0.40766513241261504</v>
      </c>
      <c r="Q1086" s="83">
        <f t="shared" si="98"/>
        <v>0.98264565615747224</v>
      </c>
    </row>
    <row r="1087" spans="1:17">
      <c r="A1087" s="87">
        <v>1113</v>
      </c>
      <c r="B1087" s="87" t="s">
        <v>407</v>
      </c>
      <c r="C1087" s="87" t="s">
        <v>22</v>
      </c>
      <c r="D1087" s="84">
        <v>42359</v>
      </c>
      <c r="E1087" s="88">
        <f t="shared" ref="E1087:E1150" si="102">YEAR(D1087)</f>
        <v>2015</v>
      </c>
      <c r="F1087" s="89">
        <v>4736150000</v>
      </c>
      <c r="G1087" s="89">
        <v>63083000</v>
      </c>
      <c r="H1087" s="89">
        <v>2655650000</v>
      </c>
      <c r="I1087" s="89">
        <v>0</v>
      </c>
      <c r="J1087" s="89">
        <v>157824000</v>
      </c>
      <c r="K1087" s="87" t="s">
        <v>53</v>
      </c>
      <c r="L1087" s="87" t="s">
        <v>111</v>
      </c>
      <c r="M1087" s="90">
        <f t="shared" si="99"/>
        <v>4673067000</v>
      </c>
      <c r="N1087" s="89">
        <f t="shared" si="100"/>
        <v>2813474000</v>
      </c>
      <c r="O1087" s="89">
        <f t="shared" si="101"/>
        <v>1859593000</v>
      </c>
      <c r="P1087" s="87">
        <f t="shared" si="97"/>
        <v>0.39263811323543385</v>
      </c>
      <c r="Q1087" s="87">
        <f t="shared" si="98"/>
        <v>0.98668053165545855</v>
      </c>
    </row>
    <row r="1088" spans="1:17">
      <c r="A1088" s="83">
        <v>1114</v>
      </c>
      <c r="B1088" s="83" t="s">
        <v>407</v>
      </c>
      <c r="C1088" s="83" t="s">
        <v>23</v>
      </c>
      <c r="D1088" s="84">
        <v>42360</v>
      </c>
      <c r="E1088" s="85">
        <f t="shared" si="102"/>
        <v>2015</v>
      </c>
      <c r="F1088" s="86">
        <v>4995881000</v>
      </c>
      <c r="G1088" s="86">
        <v>73814000</v>
      </c>
      <c r="H1088" s="86">
        <v>2796508000</v>
      </c>
      <c r="I1088" s="86">
        <v>0</v>
      </c>
      <c r="J1088" s="86">
        <v>196424000</v>
      </c>
      <c r="K1088" s="83" t="s">
        <v>53</v>
      </c>
      <c r="L1088" s="83" t="s">
        <v>111</v>
      </c>
      <c r="M1088" s="91">
        <f t="shared" si="99"/>
        <v>4922067000</v>
      </c>
      <c r="N1088" s="86">
        <f t="shared" si="100"/>
        <v>2992932000</v>
      </c>
      <c r="O1088" s="86">
        <f t="shared" si="101"/>
        <v>1929135000</v>
      </c>
      <c r="P1088" s="83">
        <f t="shared" si="97"/>
        <v>0.38614510633860172</v>
      </c>
      <c r="Q1088" s="83">
        <f t="shared" si="98"/>
        <v>0.98522502837837811</v>
      </c>
    </row>
    <row r="1089" spans="1:17">
      <c r="A1089" s="87">
        <v>1115</v>
      </c>
      <c r="B1089" s="87" t="s">
        <v>408</v>
      </c>
      <c r="C1089" s="87" t="s">
        <v>18</v>
      </c>
      <c r="D1089" s="84">
        <v>42361</v>
      </c>
      <c r="E1089" s="88">
        <f t="shared" si="102"/>
        <v>2015</v>
      </c>
      <c r="F1089" s="89">
        <v>2378972000</v>
      </c>
      <c r="G1089" s="89">
        <v>1097041000</v>
      </c>
      <c r="H1089" s="89">
        <v>692693000</v>
      </c>
      <c r="I1089" s="89">
        <v>116346000</v>
      </c>
      <c r="J1089" s="89">
        <v>24539000</v>
      </c>
      <c r="K1089" s="87" t="s">
        <v>31</v>
      </c>
      <c r="L1089" s="87" t="s">
        <v>324</v>
      </c>
      <c r="M1089" s="90">
        <f t="shared" si="99"/>
        <v>1281931000</v>
      </c>
      <c r="N1089" s="89">
        <f t="shared" si="100"/>
        <v>833578000</v>
      </c>
      <c r="O1089" s="89">
        <f t="shared" si="101"/>
        <v>448353000</v>
      </c>
      <c r="P1089" s="87">
        <f t="shared" si="97"/>
        <v>0.18846501766309146</v>
      </c>
      <c r="Q1089" s="87">
        <f t="shared" si="98"/>
        <v>0.53885922154611321</v>
      </c>
    </row>
    <row r="1090" spans="1:17">
      <c r="A1090" s="83">
        <v>1116</v>
      </c>
      <c r="B1090" s="83" t="s">
        <v>408</v>
      </c>
      <c r="C1090" s="83" t="s">
        <v>21</v>
      </c>
      <c r="D1090" s="84">
        <v>42362</v>
      </c>
      <c r="E1090" s="85">
        <f t="shared" si="102"/>
        <v>2015</v>
      </c>
      <c r="F1090" s="86">
        <v>2485983000</v>
      </c>
      <c r="G1090" s="86">
        <v>1127233000</v>
      </c>
      <c r="H1090" s="86">
        <v>728582000</v>
      </c>
      <c r="I1090" s="86">
        <v>123297000</v>
      </c>
      <c r="J1090" s="86">
        <v>29185000</v>
      </c>
      <c r="K1090" s="83" t="s">
        <v>31</v>
      </c>
      <c r="L1090" s="83" t="s">
        <v>324</v>
      </c>
      <c r="M1090" s="91">
        <f t="shared" si="99"/>
        <v>1358750000</v>
      </c>
      <c r="N1090" s="86">
        <f t="shared" si="100"/>
        <v>881064000</v>
      </c>
      <c r="O1090" s="86">
        <f t="shared" si="101"/>
        <v>477686000</v>
      </c>
      <c r="P1090" s="83">
        <f t="shared" ref="P1090:P1153" si="103">O1090/F1090</f>
        <v>0.19215175646816571</v>
      </c>
      <c r="Q1090" s="83">
        <f t="shared" ref="Q1090:Q1153" si="104">1-G1090/F1090</f>
        <v>0.54656447771364491</v>
      </c>
    </row>
    <row r="1091" spans="1:17">
      <c r="A1091" s="87">
        <v>1117</v>
      </c>
      <c r="B1091" s="87" t="s">
        <v>408</v>
      </c>
      <c r="C1091" s="87" t="s">
        <v>22</v>
      </c>
      <c r="D1091" s="84">
        <v>42363</v>
      </c>
      <c r="E1091" s="88">
        <f t="shared" si="102"/>
        <v>2015</v>
      </c>
      <c r="F1091" s="89">
        <v>2395447000</v>
      </c>
      <c r="G1091" s="89">
        <v>1043454000</v>
      </c>
      <c r="H1091" s="89">
        <v>700810000</v>
      </c>
      <c r="I1091" s="89">
        <v>119076000</v>
      </c>
      <c r="J1091" s="89">
        <v>30951000</v>
      </c>
      <c r="K1091" s="87" t="s">
        <v>31</v>
      </c>
      <c r="L1091" s="87" t="s">
        <v>324</v>
      </c>
      <c r="M1091" s="90">
        <f t="shared" ref="M1091:M1154" si="105">F1091-G1091</f>
        <v>1351993000</v>
      </c>
      <c r="N1091" s="89">
        <f t="shared" ref="N1091:N1154" si="106">H1091+I1091+J1091</f>
        <v>850837000</v>
      </c>
      <c r="O1091" s="89">
        <f t="shared" ref="O1091:O1154" si="107">M1091-N1091</f>
        <v>501156000</v>
      </c>
      <c r="P1091" s="87">
        <f t="shared" si="103"/>
        <v>0.20921189239419616</v>
      </c>
      <c r="Q1091" s="87">
        <f t="shared" si="104"/>
        <v>0.56440113264872904</v>
      </c>
    </row>
    <row r="1092" spans="1:17">
      <c r="A1092" s="83">
        <v>1118</v>
      </c>
      <c r="B1092" s="83" t="s">
        <v>408</v>
      </c>
      <c r="C1092" s="83" t="s">
        <v>23</v>
      </c>
      <c r="D1092" s="84">
        <v>42364</v>
      </c>
      <c r="E1092" s="85">
        <f t="shared" si="102"/>
        <v>2015</v>
      </c>
      <c r="F1092" s="86">
        <v>2508257000</v>
      </c>
      <c r="G1092" s="86">
        <v>1072670000</v>
      </c>
      <c r="H1092" s="86">
        <v>732622000</v>
      </c>
      <c r="I1092" s="86">
        <v>119968000</v>
      </c>
      <c r="J1092" s="86">
        <v>36052000</v>
      </c>
      <c r="K1092" s="83" t="s">
        <v>31</v>
      </c>
      <c r="L1092" s="83" t="s">
        <v>324</v>
      </c>
      <c r="M1092" s="91">
        <f t="shared" si="105"/>
        <v>1435587000</v>
      </c>
      <c r="N1092" s="86">
        <f t="shared" si="106"/>
        <v>888642000</v>
      </c>
      <c r="O1092" s="86">
        <f t="shared" si="107"/>
        <v>546945000</v>
      </c>
      <c r="P1092" s="83">
        <f t="shared" si="103"/>
        <v>0.21805779870244557</v>
      </c>
      <c r="Q1092" s="83">
        <f t="shared" si="104"/>
        <v>0.57234446071514999</v>
      </c>
    </row>
    <row r="1093" spans="1:17">
      <c r="A1093" s="87">
        <v>1119</v>
      </c>
      <c r="B1093" s="87" t="s">
        <v>409</v>
      </c>
      <c r="C1093" s="87" t="s">
        <v>18</v>
      </c>
      <c r="D1093" s="84">
        <v>42365</v>
      </c>
      <c r="E1093" s="88">
        <f t="shared" si="102"/>
        <v>2015</v>
      </c>
      <c r="F1093" s="89">
        <v>9073000000</v>
      </c>
      <c r="G1093" s="89">
        <v>7226000000</v>
      </c>
      <c r="H1093" s="89">
        <v>554000000</v>
      </c>
      <c r="I1093" s="89">
        <v>931000000</v>
      </c>
      <c r="J1093" s="89">
        <v>0</v>
      </c>
      <c r="K1093" s="87" t="s">
        <v>28</v>
      </c>
      <c r="L1093" s="87" t="s">
        <v>40</v>
      </c>
      <c r="M1093" s="90">
        <f t="shared" si="105"/>
        <v>1847000000</v>
      </c>
      <c r="N1093" s="89">
        <f t="shared" si="106"/>
        <v>1485000000</v>
      </c>
      <c r="O1093" s="89">
        <f t="shared" si="107"/>
        <v>362000000</v>
      </c>
      <c r="P1093" s="87">
        <f t="shared" si="103"/>
        <v>3.9898600242477683E-2</v>
      </c>
      <c r="Q1093" s="87">
        <f t="shared" si="104"/>
        <v>0.20357103493882944</v>
      </c>
    </row>
    <row r="1094" spans="1:17">
      <c r="A1094" s="83">
        <v>1120</v>
      </c>
      <c r="B1094" s="83" t="s">
        <v>409</v>
      </c>
      <c r="C1094" s="83" t="s">
        <v>21</v>
      </c>
      <c r="D1094" s="84">
        <v>42366</v>
      </c>
      <c r="E1094" s="85">
        <f t="shared" si="102"/>
        <v>2015</v>
      </c>
      <c r="F1094" s="86">
        <v>16358000000</v>
      </c>
      <c r="G1094" s="86">
        <v>10921000000</v>
      </c>
      <c r="H1094" s="86">
        <v>939000000</v>
      </c>
      <c r="I1094" s="86">
        <v>1371000000</v>
      </c>
      <c r="J1094" s="86">
        <v>0</v>
      </c>
      <c r="K1094" s="83" t="s">
        <v>28</v>
      </c>
      <c r="L1094" s="83" t="s">
        <v>40</v>
      </c>
      <c r="M1094" s="91">
        <f t="shared" si="105"/>
        <v>5437000000</v>
      </c>
      <c r="N1094" s="86">
        <f t="shared" si="106"/>
        <v>2310000000</v>
      </c>
      <c r="O1094" s="86">
        <f t="shared" si="107"/>
        <v>3127000000</v>
      </c>
      <c r="P1094" s="83">
        <f t="shared" si="103"/>
        <v>0.19116028854383177</v>
      </c>
      <c r="Q1094" s="83">
        <f t="shared" si="104"/>
        <v>0.33237559603863553</v>
      </c>
    </row>
    <row r="1095" spans="1:17">
      <c r="A1095" s="87">
        <v>1121</v>
      </c>
      <c r="B1095" s="87" t="s">
        <v>409</v>
      </c>
      <c r="C1095" s="87" t="s">
        <v>22</v>
      </c>
      <c r="D1095" s="84">
        <v>42367</v>
      </c>
      <c r="E1095" s="88">
        <f t="shared" si="102"/>
        <v>2015</v>
      </c>
      <c r="F1095" s="89">
        <v>16192000000</v>
      </c>
      <c r="G1095" s="89">
        <v>10977000000</v>
      </c>
      <c r="H1095" s="89">
        <v>674000000</v>
      </c>
      <c r="I1095" s="89">
        <v>1540000000</v>
      </c>
      <c r="J1095" s="89">
        <v>0</v>
      </c>
      <c r="K1095" s="87" t="s">
        <v>28</v>
      </c>
      <c r="L1095" s="87" t="s">
        <v>40</v>
      </c>
      <c r="M1095" s="90">
        <f t="shared" si="105"/>
        <v>5215000000</v>
      </c>
      <c r="N1095" s="89">
        <f t="shared" si="106"/>
        <v>2214000000</v>
      </c>
      <c r="O1095" s="89">
        <f t="shared" si="107"/>
        <v>3001000000</v>
      </c>
      <c r="P1095" s="87">
        <f t="shared" si="103"/>
        <v>0.18533843873517786</v>
      </c>
      <c r="Q1095" s="87">
        <f t="shared" si="104"/>
        <v>0.32207262845849804</v>
      </c>
    </row>
    <row r="1096" spans="1:17">
      <c r="A1096" s="83">
        <v>1122</v>
      </c>
      <c r="B1096" s="83" t="s">
        <v>409</v>
      </c>
      <c r="C1096" s="83" t="s">
        <v>23</v>
      </c>
      <c r="D1096" s="84">
        <v>42368</v>
      </c>
      <c r="E1096" s="85">
        <f t="shared" si="102"/>
        <v>2015</v>
      </c>
      <c r="F1096" s="86">
        <v>12399000000</v>
      </c>
      <c r="G1096" s="86">
        <v>9894000000</v>
      </c>
      <c r="H1096" s="86">
        <v>653000000</v>
      </c>
      <c r="I1096" s="86">
        <v>1617000000</v>
      </c>
      <c r="J1096" s="86">
        <v>0</v>
      </c>
      <c r="K1096" s="83" t="s">
        <v>28</v>
      </c>
      <c r="L1096" s="83" t="s">
        <v>40</v>
      </c>
      <c r="M1096" s="91">
        <f t="shared" si="105"/>
        <v>2505000000</v>
      </c>
      <c r="N1096" s="86">
        <f t="shared" si="106"/>
        <v>2270000000</v>
      </c>
      <c r="O1096" s="86">
        <f t="shared" si="107"/>
        <v>235000000</v>
      </c>
      <c r="P1096" s="83">
        <f t="shared" si="103"/>
        <v>1.8953141382369545E-2</v>
      </c>
      <c r="Q1096" s="83">
        <f t="shared" si="104"/>
        <v>0.20203242196951365</v>
      </c>
    </row>
    <row r="1097" spans="1:17">
      <c r="A1097" s="87">
        <v>1123</v>
      </c>
      <c r="B1097" s="87" t="s">
        <v>410</v>
      </c>
      <c r="C1097" s="87" t="s">
        <v>18</v>
      </c>
      <c r="D1097" s="84">
        <v>42369</v>
      </c>
      <c r="E1097" s="88">
        <f t="shared" si="102"/>
        <v>2015</v>
      </c>
      <c r="F1097" s="89">
        <v>4608563000</v>
      </c>
      <c r="G1097" s="89">
        <v>1079136000</v>
      </c>
      <c r="H1097" s="89">
        <v>285144000</v>
      </c>
      <c r="I1097" s="89">
        <v>0</v>
      </c>
      <c r="J1097" s="89">
        <v>1291456000</v>
      </c>
      <c r="K1097" s="87" t="s">
        <v>89</v>
      </c>
      <c r="L1097" s="87" t="s">
        <v>150</v>
      </c>
      <c r="M1097" s="90">
        <f t="shared" si="105"/>
        <v>3529427000</v>
      </c>
      <c r="N1097" s="89">
        <f t="shared" si="106"/>
        <v>1576600000</v>
      </c>
      <c r="O1097" s="89">
        <f t="shared" si="107"/>
        <v>1952827000</v>
      </c>
      <c r="P1097" s="87">
        <f t="shared" si="103"/>
        <v>0.42373880968970157</v>
      </c>
      <c r="Q1097" s="87">
        <f t="shared" si="104"/>
        <v>0.76584110925683335</v>
      </c>
    </row>
    <row r="1098" spans="1:17">
      <c r="A1098" s="83">
        <v>1124</v>
      </c>
      <c r="B1098" s="83" t="s">
        <v>410</v>
      </c>
      <c r="C1098" s="83" t="s">
        <v>21</v>
      </c>
      <c r="D1098" s="84">
        <v>42370</v>
      </c>
      <c r="E1098" s="85">
        <f t="shared" si="102"/>
        <v>2016</v>
      </c>
      <c r="F1098" s="86">
        <v>5312686000</v>
      </c>
      <c r="G1098" s="86">
        <v>1252812000</v>
      </c>
      <c r="H1098" s="86">
        <v>466498000</v>
      </c>
      <c r="I1098" s="86">
        <v>0</v>
      </c>
      <c r="J1098" s="86">
        <v>1602390000</v>
      </c>
      <c r="K1098" s="83" t="s">
        <v>89</v>
      </c>
      <c r="L1098" s="83" t="s">
        <v>150</v>
      </c>
      <c r="M1098" s="91">
        <f t="shared" si="105"/>
        <v>4059874000</v>
      </c>
      <c r="N1098" s="86">
        <f t="shared" si="106"/>
        <v>2068888000</v>
      </c>
      <c r="O1098" s="86">
        <f t="shared" si="107"/>
        <v>1990986000</v>
      </c>
      <c r="P1098" s="83">
        <f t="shared" si="103"/>
        <v>0.37476071426016894</v>
      </c>
      <c r="Q1098" s="83">
        <f t="shared" si="104"/>
        <v>0.76418482101144314</v>
      </c>
    </row>
    <row r="1099" spans="1:17">
      <c r="A1099" s="87">
        <v>1125</v>
      </c>
      <c r="B1099" s="87" t="s">
        <v>410</v>
      </c>
      <c r="C1099" s="87" t="s">
        <v>22</v>
      </c>
      <c r="D1099" s="84">
        <v>42371</v>
      </c>
      <c r="E1099" s="88">
        <f t="shared" si="102"/>
        <v>2016</v>
      </c>
      <c r="F1099" s="89">
        <v>5288933000</v>
      </c>
      <c r="G1099" s="89">
        <v>1089888000</v>
      </c>
      <c r="H1099" s="89">
        <v>471219000</v>
      </c>
      <c r="I1099" s="89">
        <v>0</v>
      </c>
      <c r="J1099" s="89">
        <v>1957025000</v>
      </c>
      <c r="K1099" s="87" t="s">
        <v>89</v>
      </c>
      <c r="L1099" s="87" t="s">
        <v>150</v>
      </c>
      <c r="M1099" s="90">
        <f t="shared" si="105"/>
        <v>4199045000</v>
      </c>
      <c r="N1099" s="89">
        <f t="shared" si="106"/>
        <v>2428244000</v>
      </c>
      <c r="O1099" s="89">
        <f t="shared" si="107"/>
        <v>1770801000</v>
      </c>
      <c r="P1099" s="87">
        <f t="shared" si="103"/>
        <v>0.33481252267706929</v>
      </c>
      <c r="Q1099" s="87">
        <f t="shared" si="104"/>
        <v>0.79393045818504415</v>
      </c>
    </row>
    <row r="1100" spans="1:17">
      <c r="A1100" s="83">
        <v>1126</v>
      </c>
      <c r="B1100" s="83" t="s">
        <v>410</v>
      </c>
      <c r="C1100" s="83" t="s">
        <v>23</v>
      </c>
      <c r="D1100" s="84">
        <v>42372</v>
      </c>
      <c r="E1100" s="85">
        <f t="shared" si="102"/>
        <v>2016</v>
      </c>
      <c r="F1100" s="86">
        <v>2787116000</v>
      </c>
      <c r="G1100" s="86">
        <v>832306000</v>
      </c>
      <c r="H1100" s="86">
        <v>372457000</v>
      </c>
      <c r="I1100" s="86">
        <v>0</v>
      </c>
      <c r="J1100" s="86">
        <v>1668489000</v>
      </c>
      <c r="K1100" s="83" t="s">
        <v>89</v>
      </c>
      <c r="L1100" s="83" t="s">
        <v>150</v>
      </c>
      <c r="M1100" s="91">
        <f t="shared" si="105"/>
        <v>1954810000</v>
      </c>
      <c r="N1100" s="86">
        <f t="shared" si="106"/>
        <v>2040946000</v>
      </c>
      <c r="O1100" s="86">
        <f t="shared" si="107"/>
        <v>-86136000</v>
      </c>
      <c r="P1100" s="83">
        <f t="shared" si="103"/>
        <v>-3.0905064590063709E-2</v>
      </c>
      <c r="Q1100" s="83">
        <f t="shared" si="104"/>
        <v>0.70137374978292977</v>
      </c>
    </row>
    <row r="1101" spans="1:17">
      <c r="A1101" s="87">
        <v>1127</v>
      </c>
      <c r="B1101" s="87" t="s">
        <v>411</v>
      </c>
      <c r="C1101" s="87" t="s">
        <v>18</v>
      </c>
      <c r="D1101" s="84">
        <v>42373</v>
      </c>
      <c r="E1101" s="88">
        <f t="shared" si="102"/>
        <v>2016</v>
      </c>
      <c r="F1101" s="89">
        <v>7719600000</v>
      </c>
      <c r="G1101" s="89">
        <v>4191600000</v>
      </c>
      <c r="H1101" s="89">
        <v>1545700000</v>
      </c>
      <c r="I1101" s="89">
        <v>581800000</v>
      </c>
      <c r="J1101" s="89">
        <v>0</v>
      </c>
      <c r="K1101" s="87" t="s">
        <v>31</v>
      </c>
      <c r="L1101" s="87" t="s">
        <v>32</v>
      </c>
      <c r="M1101" s="90">
        <f t="shared" si="105"/>
        <v>3528000000</v>
      </c>
      <c r="N1101" s="89">
        <f t="shared" si="106"/>
        <v>2127500000</v>
      </c>
      <c r="O1101" s="89">
        <f t="shared" si="107"/>
        <v>1400500000</v>
      </c>
      <c r="P1101" s="87">
        <f t="shared" si="103"/>
        <v>0.18142131716669258</v>
      </c>
      <c r="Q1101" s="87">
        <f t="shared" si="104"/>
        <v>0.45701849836779107</v>
      </c>
    </row>
    <row r="1102" spans="1:17">
      <c r="A1102" s="83">
        <v>1128</v>
      </c>
      <c r="B1102" s="83" t="s">
        <v>411</v>
      </c>
      <c r="C1102" s="83" t="s">
        <v>21</v>
      </c>
      <c r="D1102" s="84">
        <v>42374</v>
      </c>
      <c r="E1102" s="85">
        <f t="shared" si="102"/>
        <v>2016</v>
      </c>
      <c r="F1102" s="86">
        <v>9429300000</v>
      </c>
      <c r="G1102" s="86">
        <v>5213200000</v>
      </c>
      <c r="H1102" s="86">
        <v>2180700000</v>
      </c>
      <c r="I1102" s="86">
        <v>671900000</v>
      </c>
      <c r="J1102" s="86">
        <v>0</v>
      </c>
      <c r="K1102" s="83" t="s">
        <v>31</v>
      </c>
      <c r="L1102" s="83" t="s">
        <v>32</v>
      </c>
      <c r="M1102" s="91">
        <f t="shared" si="105"/>
        <v>4216100000</v>
      </c>
      <c r="N1102" s="86">
        <f t="shared" si="106"/>
        <v>2852600000</v>
      </c>
      <c r="O1102" s="86">
        <f t="shared" si="107"/>
        <v>1363500000</v>
      </c>
      <c r="P1102" s="83">
        <f t="shared" si="103"/>
        <v>0.14460246253698578</v>
      </c>
      <c r="Q1102" s="83">
        <f t="shared" si="104"/>
        <v>0.44712757044531404</v>
      </c>
    </row>
    <row r="1103" spans="1:17">
      <c r="A1103" s="87">
        <v>1132</v>
      </c>
      <c r="B1103" s="87" t="s">
        <v>412</v>
      </c>
      <c r="C1103" s="87" t="s">
        <v>18</v>
      </c>
      <c r="D1103" s="84">
        <v>42375</v>
      </c>
      <c r="E1103" s="85">
        <f t="shared" si="102"/>
        <v>2016</v>
      </c>
      <c r="F1103" s="89">
        <v>5015000000</v>
      </c>
      <c r="G1103" s="89">
        <v>844000000</v>
      </c>
      <c r="H1103" s="89">
        <v>446000000</v>
      </c>
      <c r="I1103" s="89">
        <v>0</v>
      </c>
      <c r="J1103" s="89">
        <v>1568000000</v>
      </c>
      <c r="K1103" s="87" t="s">
        <v>89</v>
      </c>
      <c r="L1103" s="87" t="s">
        <v>90</v>
      </c>
      <c r="M1103" s="90">
        <f t="shared" si="105"/>
        <v>4171000000</v>
      </c>
      <c r="N1103" s="89">
        <f t="shared" si="106"/>
        <v>2014000000</v>
      </c>
      <c r="O1103" s="89">
        <f t="shared" si="107"/>
        <v>2157000000</v>
      </c>
      <c r="P1103" s="87">
        <f t="shared" si="103"/>
        <v>0.43010967098703889</v>
      </c>
      <c r="Q1103" s="87">
        <f t="shared" si="104"/>
        <v>0.83170488534396814</v>
      </c>
    </row>
    <row r="1104" spans="1:17">
      <c r="A1104" s="83">
        <v>1133</v>
      </c>
      <c r="B1104" s="83" t="s">
        <v>412</v>
      </c>
      <c r="C1104" s="83" t="s">
        <v>21</v>
      </c>
      <c r="D1104" s="84">
        <v>42376</v>
      </c>
      <c r="E1104" s="85">
        <f t="shared" si="102"/>
        <v>2016</v>
      </c>
      <c r="F1104" s="86">
        <v>5115000000</v>
      </c>
      <c r="G1104" s="86">
        <v>945000000</v>
      </c>
      <c r="H1104" s="86">
        <v>495000000</v>
      </c>
      <c r="I1104" s="86">
        <v>0</v>
      </c>
      <c r="J1104" s="86">
        <v>1759000000</v>
      </c>
      <c r="K1104" s="83" t="s">
        <v>89</v>
      </c>
      <c r="L1104" s="83" t="s">
        <v>90</v>
      </c>
      <c r="M1104" s="91">
        <f t="shared" si="105"/>
        <v>4170000000</v>
      </c>
      <c r="N1104" s="86">
        <f t="shared" si="106"/>
        <v>2254000000</v>
      </c>
      <c r="O1104" s="86">
        <f t="shared" si="107"/>
        <v>1916000000</v>
      </c>
      <c r="P1104" s="83">
        <f t="shared" si="103"/>
        <v>0.37458455522971651</v>
      </c>
      <c r="Q1104" s="83">
        <f t="shared" si="104"/>
        <v>0.81524926686217003</v>
      </c>
    </row>
    <row r="1105" spans="1:17">
      <c r="A1105" s="87">
        <v>1134</v>
      </c>
      <c r="B1105" s="87" t="s">
        <v>412</v>
      </c>
      <c r="C1105" s="87" t="s">
        <v>22</v>
      </c>
      <c r="D1105" s="84">
        <v>42377</v>
      </c>
      <c r="E1105" s="85">
        <f t="shared" si="102"/>
        <v>2016</v>
      </c>
      <c r="F1105" s="89">
        <v>3183000000</v>
      </c>
      <c r="G1105" s="89">
        <v>979000000</v>
      </c>
      <c r="H1105" s="89">
        <v>745000000</v>
      </c>
      <c r="I1105" s="89">
        <v>0</v>
      </c>
      <c r="J1105" s="89">
        <v>2131000000</v>
      </c>
      <c r="K1105" s="87" t="s">
        <v>89</v>
      </c>
      <c r="L1105" s="87" t="s">
        <v>90</v>
      </c>
      <c r="M1105" s="90">
        <f t="shared" si="105"/>
        <v>2204000000</v>
      </c>
      <c r="N1105" s="89">
        <f t="shared" si="106"/>
        <v>2876000000</v>
      </c>
      <c r="O1105" s="89">
        <f t="shared" si="107"/>
        <v>-672000000</v>
      </c>
      <c r="P1105" s="87">
        <f t="shared" si="103"/>
        <v>-0.21112158341187559</v>
      </c>
      <c r="Q1105" s="87">
        <f t="shared" si="104"/>
        <v>0.69242852654728249</v>
      </c>
    </row>
    <row r="1106" spans="1:17">
      <c r="A1106" s="83">
        <v>1135</v>
      </c>
      <c r="B1106" s="83" t="s">
        <v>412</v>
      </c>
      <c r="C1106" s="83" t="s">
        <v>23</v>
      </c>
      <c r="D1106" s="84">
        <v>42378</v>
      </c>
      <c r="E1106" s="85">
        <f t="shared" si="102"/>
        <v>2016</v>
      </c>
      <c r="F1106" s="86">
        <v>3491000000</v>
      </c>
      <c r="G1106" s="86">
        <v>1083000000</v>
      </c>
      <c r="H1106" s="86">
        <v>233000000</v>
      </c>
      <c r="I1106" s="86">
        <v>0</v>
      </c>
      <c r="J1106" s="86">
        <v>2454000000</v>
      </c>
      <c r="K1106" s="83" t="s">
        <v>89</v>
      </c>
      <c r="L1106" s="83" t="s">
        <v>90</v>
      </c>
      <c r="M1106" s="91">
        <f t="shared" si="105"/>
        <v>2408000000</v>
      </c>
      <c r="N1106" s="86">
        <f t="shared" si="106"/>
        <v>2687000000</v>
      </c>
      <c r="O1106" s="86">
        <f t="shared" si="107"/>
        <v>-279000000</v>
      </c>
      <c r="P1106" s="83">
        <f t="shared" si="103"/>
        <v>-7.9919793755370949E-2</v>
      </c>
      <c r="Q1106" s="83">
        <f t="shared" si="104"/>
        <v>0.68977370380979663</v>
      </c>
    </row>
    <row r="1107" spans="1:17">
      <c r="A1107" s="87">
        <v>1136</v>
      </c>
      <c r="B1107" s="87" t="s">
        <v>413</v>
      </c>
      <c r="C1107" s="87" t="s">
        <v>18</v>
      </c>
      <c r="D1107" s="84">
        <v>42379</v>
      </c>
      <c r="E1107" s="88">
        <f t="shared" si="102"/>
        <v>2016</v>
      </c>
      <c r="F1107" s="89">
        <v>3023000000</v>
      </c>
      <c r="G1107" s="89">
        <v>1446000000</v>
      </c>
      <c r="H1107" s="89">
        <v>832000000</v>
      </c>
      <c r="I1107" s="89">
        <v>0</v>
      </c>
      <c r="J1107" s="89">
        <v>104000000</v>
      </c>
      <c r="K1107" s="87" t="s">
        <v>53</v>
      </c>
      <c r="L1107" s="87" t="s">
        <v>385</v>
      </c>
      <c r="M1107" s="90">
        <f t="shared" si="105"/>
        <v>1577000000</v>
      </c>
      <c r="N1107" s="89">
        <f t="shared" si="106"/>
        <v>936000000</v>
      </c>
      <c r="O1107" s="89">
        <f t="shared" si="107"/>
        <v>641000000</v>
      </c>
      <c r="P1107" s="87">
        <f t="shared" si="103"/>
        <v>0.2120410188554416</v>
      </c>
      <c r="Q1107" s="87">
        <f t="shared" si="104"/>
        <v>0.52166721799536886</v>
      </c>
    </row>
    <row r="1108" spans="1:17">
      <c r="A1108" s="83">
        <v>1137</v>
      </c>
      <c r="B1108" s="83" t="s">
        <v>413</v>
      </c>
      <c r="C1108" s="83" t="s">
        <v>21</v>
      </c>
      <c r="D1108" s="84">
        <v>42380</v>
      </c>
      <c r="E1108" s="85">
        <f t="shared" si="102"/>
        <v>2016</v>
      </c>
      <c r="F1108" s="86">
        <v>3100000000</v>
      </c>
      <c r="G1108" s="86">
        <v>1316000000</v>
      </c>
      <c r="H1108" s="86">
        <v>1054000000</v>
      </c>
      <c r="I1108" s="86">
        <v>0</v>
      </c>
      <c r="J1108" s="86">
        <v>122000000</v>
      </c>
      <c r="K1108" s="83" t="s">
        <v>53</v>
      </c>
      <c r="L1108" s="83" t="s">
        <v>385</v>
      </c>
      <c r="M1108" s="91">
        <f t="shared" si="105"/>
        <v>1784000000</v>
      </c>
      <c r="N1108" s="86">
        <f t="shared" si="106"/>
        <v>1176000000</v>
      </c>
      <c r="O1108" s="86">
        <f t="shared" si="107"/>
        <v>608000000</v>
      </c>
      <c r="P1108" s="83">
        <f t="shared" si="103"/>
        <v>0.19612903225806452</v>
      </c>
      <c r="Q1108" s="83">
        <f t="shared" si="104"/>
        <v>0.5754838709677419</v>
      </c>
    </row>
    <row r="1109" spans="1:17">
      <c r="A1109" s="87">
        <v>1138</v>
      </c>
      <c r="B1109" s="87" t="s">
        <v>413</v>
      </c>
      <c r="C1109" s="87" t="s">
        <v>22</v>
      </c>
      <c r="D1109" s="84">
        <v>42381</v>
      </c>
      <c r="E1109" s="88">
        <f t="shared" si="102"/>
        <v>2016</v>
      </c>
      <c r="F1109" s="89">
        <v>3383000000</v>
      </c>
      <c r="G1109" s="89">
        <v>1433000000</v>
      </c>
      <c r="H1109" s="89">
        <v>1095000000</v>
      </c>
      <c r="I1109" s="89">
        <v>0</v>
      </c>
      <c r="J1109" s="89">
        <v>137000000</v>
      </c>
      <c r="K1109" s="87" t="s">
        <v>53</v>
      </c>
      <c r="L1109" s="87" t="s">
        <v>385</v>
      </c>
      <c r="M1109" s="90">
        <f t="shared" si="105"/>
        <v>1950000000</v>
      </c>
      <c r="N1109" s="89">
        <f t="shared" si="106"/>
        <v>1232000000</v>
      </c>
      <c r="O1109" s="89">
        <f t="shared" si="107"/>
        <v>718000000</v>
      </c>
      <c r="P1109" s="87">
        <f t="shared" si="103"/>
        <v>0.21223765888264853</v>
      </c>
      <c r="Q1109" s="87">
        <f t="shared" si="104"/>
        <v>0.57641146911025709</v>
      </c>
    </row>
    <row r="1110" spans="1:17">
      <c r="A1110" s="83">
        <v>1139</v>
      </c>
      <c r="B1110" s="83" t="s">
        <v>413</v>
      </c>
      <c r="C1110" s="83" t="s">
        <v>23</v>
      </c>
      <c r="D1110" s="84">
        <v>42382</v>
      </c>
      <c r="E1110" s="85">
        <f t="shared" si="102"/>
        <v>2016</v>
      </c>
      <c r="F1110" s="86">
        <v>3292000000</v>
      </c>
      <c r="G1110" s="86">
        <v>1313000000</v>
      </c>
      <c r="H1110" s="86">
        <v>1050000000</v>
      </c>
      <c r="I1110" s="86">
        <v>0</v>
      </c>
      <c r="J1110" s="86">
        <v>138000000</v>
      </c>
      <c r="K1110" s="83" t="s">
        <v>53</v>
      </c>
      <c r="L1110" s="83" t="s">
        <v>385</v>
      </c>
      <c r="M1110" s="91">
        <f t="shared" si="105"/>
        <v>1979000000</v>
      </c>
      <c r="N1110" s="86">
        <f t="shared" si="106"/>
        <v>1188000000</v>
      </c>
      <c r="O1110" s="86">
        <f t="shared" si="107"/>
        <v>791000000</v>
      </c>
      <c r="P1110" s="83">
        <f t="shared" si="103"/>
        <v>0.24027946537059539</v>
      </c>
      <c r="Q1110" s="83">
        <f t="shared" si="104"/>
        <v>0.6011543134872418</v>
      </c>
    </row>
    <row r="1111" spans="1:17">
      <c r="A1111" s="87">
        <v>1140</v>
      </c>
      <c r="B1111" s="87" t="s">
        <v>414</v>
      </c>
      <c r="C1111" s="87" t="s">
        <v>18</v>
      </c>
      <c r="D1111" s="84">
        <v>42383</v>
      </c>
      <c r="E1111" s="88">
        <f t="shared" si="102"/>
        <v>2016</v>
      </c>
      <c r="F1111" s="89">
        <v>14256000000</v>
      </c>
      <c r="G1111" s="89">
        <v>8276000000</v>
      </c>
      <c r="H1111" s="89">
        <v>1186000000</v>
      </c>
      <c r="I1111" s="89">
        <v>0</v>
      </c>
      <c r="J1111" s="89">
        <v>1518000000</v>
      </c>
      <c r="K1111" s="87" t="s">
        <v>48</v>
      </c>
      <c r="L1111" s="87" t="s">
        <v>49</v>
      </c>
      <c r="M1111" s="90">
        <f t="shared" si="105"/>
        <v>5980000000</v>
      </c>
      <c r="N1111" s="89">
        <f t="shared" si="106"/>
        <v>2704000000</v>
      </c>
      <c r="O1111" s="89">
        <f t="shared" si="107"/>
        <v>3276000000</v>
      </c>
      <c r="P1111" s="87">
        <f t="shared" si="103"/>
        <v>0.22979797979797981</v>
      </c>
      <c r="Q1111" s="87">
        <f t="shared" si="104"/>
        <v>0.41947250280583614</v>
      </c>
    </row>
    <row r="1112" spans="1:17">
      <c r="A1112" s="83">
        <v>1141</v>
      </c>
      <c r="B1112" s="83" t="s">
        <v>414</v>
      </c>
      <c r="C1112" s="83" t="s">
        <v>21</v>
      </c>
      <c r="D1112" s="84">
        <v>42384</v>
      </c>
      <c r="E1112" s="85">
        <f t="shared" si="102"/>
        <v>2016</v>
      </c>
      <c r="F1112" s="86">
        <v>15136000000</v>
      </c>
      <c r="G1112" s="86">
        <v>8152000000</v>
      </c>
      <c r="H1112" s="86">
        <v>1280000000</v>
      </c>
      <c r="I1112" s="86">
        <v>0</v>
      </c>
      <c r="J1112" s="86">
        <v>2163000000</v>
      </c>
      <c r="K1112" s="83" t="s">
        <v>48</v>
      </c>
      <c r="L1112" s="83" t="s">
        <v>49</v>
      </c>
      <c r="M1112" s="91">
        <f t="shared" si="105"/>
        <v>6984000000</v>
      </c>
      <c r="N1112" s="86">
        <f t="shared" si="106"/>
        <v>3443000000</v>
      </c>
      <c r="O1112" s="86">
        <f t="shared" si="107"/>
        <v>3541000000</v>
      </c>
      <c r="P1112" s="83">
        <f t="shared" si="103"/>
        <v>0.23394556025369978</v>
      </c>
      <c r="Q1112" s="83">
        <f t="shared" si="104"/>
        <v>0.46141649048625788</v>
      </c>
    </row>
    <row r="1113" spans="1:17">
      <c r="A1113" s="87">
        <v>1142</v>
      </c>
      <c r="B1113" s="87" t="s">
        <v>414</v>
      </c>
      <c r="C1113" s="87" t="s">
        <v>22</v>
      </c>
      <c r="D1113" s="84">
        <v>42385</v>
      </c>
      <c r="E1113" s="88">
        <f t="shared" si="102"/>
        <v>2016</v>
      </c>
      <c r="F1113" s="89">
        <v>17021000000</v>
      </c>
      <c r="G1113" s="89">
        <v>8751000000</v>
      </c>
      <c r="H1113" s="89">
        <v>1324000000</v>
      </c>
      <c r="I1113" s="89">
        <v>0</v>
      </c>
      <c r="J1113" s="89">
        <v>2551000000</v>
      </c>
      <c r="K1113" s="87" t="s">
        <v>48</v>
      </c>
      <c r="L1113" s="87" t="s">
        <v>49</v>
      </c>
      <c r="M1113" s="90">
        <f t="shared" si="105"/>
        <v>8270000000</v>
      </c>
      <c r="N1113" s="89">
        <f t="shared" si="106"/>
        <v>3875000000</v>
      </c>
      <c r="O1113" s="89">
        <f t="shared" si="107"/>
        <v>4395000000</v>
      </c>
      <c r="P1113" s="87">
        <f t="shared" si="103"/>
        <v>0.25821044591974618</v>
      </c>
      <c r="Q1113" s="87">
        <f t="shared" si="104"/>
        <v>0.48587039539392518</v>
      </c>
    </row>
    <row r="1114" spans="1:17">
      <c r="A1114" s="83">
        <v>1143</v>
      </c>
      <c r="B1114" s="83" t="s">
        <v>414</v>
      </c>
      <c r="C1114" s="83" t="s">
        <v>23</v>
      </c>
      <c r="D1114" s="84">
        <v>42386</v>
      </c>
      <c r="E1114" s="85">
        <f t="shared" si="102"/>
        <v>2016</v>
      </c>
      <c r="F1114" s="86">
        <v>17486000000</v>
      </c>
      <c r="G1114" s="86">
        <v>8596000000</v>
      </c>
      <c r="H1114" s="86">
        <v>1399000000</v>
      </c>
      <c r="I1114" s="86">
        <v>0</v>
      </c>
      <c r="J1114" s="86">
        <v>2831000000</v>
      </c>
      <c r="K1114" s="83" t="s">
        <v>48</v>
      </c>
      <c r="L1114" s="83" t="s">
        <v>49</v>
      </c>
      <c r="M1114" s="91">
        <f t="shared" si="105"/>
        <v>8890000000</v>
      </c>
      <c r="N1114" s="86">
        <f t="shared" si="106"/>
        <v>4230000000</v>
      </c>
      <c r="O1114" s="86">
        <f t="shared" si="107"/>
        <v>4660000000</v>
      </c>
      <c r="P1114" s="83">
        <f t="shared" si="103"/>
        <v>0.26649891341644744</v>
      </c>
      <c r="Q1114" s="83">
        <f t="shared" si="104"/>
        <v>0.50840672538030418</v>
      </c>
    </row>
    <row r="1115" spans="1:17">
      <c r="A1115" s="87">
        <v>1144</v>
      </c>
      <c r="B1115" s="87" t="s">
        <v>415</v>
      </c>
      <c r="C1115" s="87" t="s">
        <v>18</v>
      </c>
      <c r="D1115" s="84">
        <v>42387</v>
      </c>
      <c r="E1115" s="88">
        <f t="shared" si="102"/>
        <v>2016</v>
      </c>
      <c r="F1115" s="89">
        <v>9964000000</v>
      </c>
      <c r="G1115" s="89">
        <v>4334000000</v>
      </c>
      <c r="H1115" s="89">
        <v>757000000</v>
      </c>
      <c r="I1115" s="89">
        <v>704000000</v>
      </c>
      <c r="J1115" s="89">
        <v>1032000000</v>
      </c>
      <c r="K1115" s="87" t="s">
        <v>65</v>
      </c>
      <c r="L1115" s="87" t="s">
        <v>416</v>
      </c>
      <c r="M1115" s="90">
        <f t="shared" si="105"/>
        <v>5630000000</v>
      </c>
      <c r="N1115" s="89">
        <f t="shared" si="106"/>
        <v>2493000000</v>
      </c>
      <c r="O1115" s="89">
        <f t="shared" si="107"/>
        <v>3137000000</v>
      </c>
      <c r="P1115" s="87">
        <f t="shared" si="103"/>
        <v>0.31483340024086715</v>
      </c>
      <c r="Q1115" s="87">
        <f t="shared" si="104"/>
        <v>0.56503412284223198</v>
      </c>
    </row>
    <row r="1116" spans="1:17">
      <c r="A1116" s="83">
        <v>1145</v>
      </c>
      <c r="B1116" s="83" t="s">
        <v>415</v>
      </c>
      <c r="C1116" s="83" t="s">
        <v>21</v>
      </c>
      <c r="D1116" s="84">
        <v>42388</v>
      </c>
      <c r="E1116" s="85">
        <f t="shared" si="102"/>
        <v>2016</v>
      </c>
      <c r="F1116" s="86">
        <v>8414000000</v>
      </c>
      <c r="G1116" s="86">
        <v>5299000000</v>
      </c>
      <c r="H1116" s="86">
        <v>584000000</v>
      </c>
      <c r="I1116" s="86">
        <v>469000000</v>
      </c>
      <c r="J1116" s="86">
        <v>1362000000</v>
      </c>
      <c r="K1116" s="83" t="s">
        <v>65</v>
      </c>
      <c r="L1116" s="83" t="s">
        <v>416</v>
      </c>
      <c r="M1116" s="91">
        <f t="shared" si="105"/>
        <v>3115000000</v>
      </c>
      <c r="N1116" s="86">
        <f t="shared" si="106"/>
        <v>2415000000</v>
      </c>
      <c r="O1116" s="86">
        <f t="shared" si="107"/>
        <v>700000000</v>
      </c>
      <c r="P1116" s="83">
        <f t="shared" si="103"/>
        <v>8.3194675540765387E-2</v>
      </c>
      <c r="Q1116" s="83">
        <f t="shared" si="104"/>
        <v>0.37021630615640599</v>
      </c>
    </row>
    <row r="1117" spans="1:17">
      <c r="A1117" s="87">
        <v>1146</v>
      </c>
      <c r="B1117" s="87" t="s">
        <v>415</v>
      </c>
      <c r="C1117" s="87" t="s">
        <v>22</v>
      </c>
      <c r="D1117" s="84">
        <v>42389</v>
      </c>
      <c r="E1117" s="88">
        <f t="shared" si="102"/>
        <v>2016</v>
      </c>
      <c r="F1117" s="89">
        <v>7292000000</v>
      </c>
      <c r="G1117" s="89">
        <v>4457000000</v>
      </c>
      <c r="H1117" s="89">
        <v>545000000</v>
      </c>
      <c r="I1117" s="89">
        <v>325000000</v>
      </c>
      <c r="J1117" s="89">
        <v>1229000000</v>
      </c>
      <c r="K1117" s="87" t="s">
        <v>65</v>
      </c>
      <c r="L1117" s="87" t="s">
        <v>416</v>
      </c>
      <c r="M1117" s="90">
        <f t="shared" si="105"/>
        <v>2835000000</v>
      </c>
      <c r="N1117" s="89">
        <f t="shared" si="106"/>
        <v>2099000000</v>
      </c>
      <c r="O1117" s="89">
        <f t="shared" si="107"/>
        <v>736000000</v>
      </c>
      <c r="P1117" s="87">
        <f t="shared" si="103"/>
        <v>0.10093252879868349</v>
      </c>
      <c r="Q1117" s="87">
        <f t="shared" si="104"/>
        <v>0.38878222709818977</v>
      </c>
    </row>
    <row r="1118" spans="1:17">
      <c r="A1118" s="83">
        <v>1147</v>
      </c>
      <c r="B1118" s="83" t="s">
        <v>415</v>
      </c>
      <c r="C1118" s="83" t="s">
        <v>23</v>
      </c>
      <c r="D1118" s="84">
        <v>42390</v>
      </c>
      <c r="E1118" s="85">
        <f t="shared" si="102"/>
        <v>2016</v>
      </c>
      <c r="F1118" s="86">
        <v>7729000000</v>
      </c>
      <c r="G1118" s="86">
        <v>4312000000</v>
      </c>
      <c r="H1118" s="86">
        <v>670000000</v>
      </c>
      <c r="I1118" s="86">
        <v>289000000</v>
      </c>
      <c r="J1118" s="86">
        <v>1239000000</v>
      </c>
      <c r="K1118" s="83" t="s">
        <v>65</v>
      </c>
      <c r="L1118" s="83" t="s">
        <v>416</v>
      </c>
      <c r="M1118" s="91">
        <f t="shared" si="105"/>
        <v>3417000000</v>
      </c>
      <c r="N1118" s="86">
        <f t="shared" si="106"/>
        <v>2198000000</v>
      </c>
      <c r="O1118" s="86">
        <f t="shared" si="107"/>
        <v>1219000000</v>
      </c>
      <c r="P1118" s="83">
        <f t="shared" si="103"/>
        <v>0.15771768663475222</v>
      </c>
      <c r="Q1118" s="83">
        <f t="shared" si="104"/>
        <v>0.44210117738387888</v>
      </c>
    </row>
    <row r="1119" spans="1:17">
      <c r="A1119" s="87">
        <v>1148</v>
      </c>
      <c r="B1119" s="87" t="s">
        <v>417</v>
      </c>
      <c r="C1119" s="87" t="s">
        <v>18</v>
      </c>
      <c r="D1119" s="84">
        <v>42391</v>
      </c>
      <c r="E1119" s="88">
        <f t="shared" si="102"/>
        <v>2016</v>
      </c>
      <c r="F1119" s="89">
        <v>4374562000</v>
      </c>
      <c r="G1119" s="89">
        <v>3117203000</v>
      </c>
      <c r="H1119" s="89">
        <v>650243000</v>
      </c>
      <c r="I1119" s="89">
        <v>378769000</v>
      </c>
      <c r="J1119" s="89">
        <v>0</v>
      </c>
      <c r="K1119" s="87" t="s">
        <v>28</v>
      </c>
      <c r="L1119" s="87" t="s">
        <v>63</v>
      </c>
      <c r="M1119" s="90">
        <f t="shared" si="105"/>
        <v>1257359000</v>
      </c>
      <c r="N1119" s="89">
        <f t="shared" si="106"/>
        <v>1029012000</v>
      </c>
      <c r="O1119" s="89">
        <f t="shared" si="107"/>
        <v>228347000</v>
      </c>
      <c r="P1119" s="87">
        <f t="shared" si="103"/>
        <v>5.2198825848164911E-2</v>
      </c>
      <c r="Q1119" s="87">
        <f t="shared" si="104"/>
        <v>0.28742511821754957</v>
      </c>
    </row>
    <row r="1120" spans="1:17">
      <c r="A1120" s="83">
        <v>1149</v>
      </c>
      <c r="B1120" s="83" t="s">
        <v>417</v>
      </c>
      <c r="C1120" s="83" t="s">
        <v>21</v>
      </c>
      <c r="D1120" s="84">
        <v>42392</v>
      </c>
      <c r="E1120" s="85">
        <f t="shared" si="102"/>
        <v>2016</v>
      </c>
      <c r="F1120" s="86">
        <v>5504656000</v>
      </c>
      <c r="G1120" s="86">
        <v>3752760000</v>
      </c>
      <c r="H1120" s="86">
        <v>876927000</v>
      </c>
      <c r="I1120" s="86">
        <v>472321000</v>
      </c>
      <c r="J1120" s="86">
        <v>0</v>
      </c>
      <c r="K1120" s="83" t="s">
        <v>28</v>
      </c>
      <c r="L1120" s="83" t="s">
        <v>63</v>
      </c>
      <c r="M1120" s="91">
        <f t="shared" si="105"/>
        <v>1751896000</v>
      </c>
      <c r="N1120" s="86">
        <f t="shared" si="106"/>
        <v>1349248000</v>
      </c>
      <c r="O1120" s="86">
        <f t="shared" si="107"/>
        <v>402648000</v>
      </c>
      <c r="P1120" s="83">
        <f t="shared" si="103"/>
        <v>7.3146805177289914E-2</v>
      </c>
      <c r="Q1120" s="83">
        <f t="shared" si="104"/>
        <v>0.31825712633087333</v>
      </c>
    </row>
    <row r="1121" spans="1:17">
      <c r="A1121" s="87">
        <v>1150</v>
      </c>
      <c r="B1121" s="87" t="s">
        <v>417</v>
      </c>
      <c r="C1121" s="87" t="s">
        <v>22</v>
      </c>
      <c r="D1121" s="84">
        <v>42393</v>
      </c>
      <c r="E1121" s="88">
        <f t="shared" si="102"/>
        <v>2016</v>
      </c>
      <c r="F1121" s="89">
        <v>6779511000</v>
      </c>
      <c r="G1121" s="89">
        <v>4591476000</v>
      </c>
      <c r="H1121" s="89">
        <v>1231421000</v>
      </c>
      <c r="I1121" s="89">
        <v>650788000</v>
      </c>
      <c r="J1121" s="89">
        <v>0</v>
      </c>
      <c r="K1121" s="87" t="s">
        <v>28</v>
      </c>
      <c r="L1121" s="87" t="s">
        <v>63</v>
      </c>
      <c r="M1121" s="90">
        <f t="shared" si="105"/>
        <v>2188035000</v>
      </c>
      <c r="N1121" s="89">
        <f t="shared" si="106"/>
        <v>1882209000</v>
      </c>
      <c r="O1121" s="89">
        <f t="shared" si="107"/>
        <v>305826000</v>
      </c>
      <c r="P1121" s="87">
        <f t="shared" si="103"/>
        <v>4.5110333178897413E-2</v>
      </c>
      <c r="Q1121" s="87">
        <f t="shared" si="104"/>
        <v>0.32274230398033132</v>
      </c>
    </row>
    <row r="1122" spans="1:17">
      <c r="A1122" s="83">
        <v>1151</v>
      </c>
      <c r="B1122" s="83" t="s">
        <v>417</v>
      </c>
      <c r="C1122" s="83" t="s">
        <v>23</v>
      </c>
      <c r="D1122" s="84">
        <v>42394</v>
      </c>
      <c r="E1122" s="85">
        <f t="shared" si="102"/>
        <v>2016</v>
      </c>
      <c r="F1122" s="86">
        <v>8830669000</v>
      </c>
      <c r="G1122" s="86">
        <v>6029901000</v>
      </c>
      <c r="H1122" s="86">
        <v>1568877000</v>
      </c>
      <c r="I1122" s="86">
        <v>852098000</v>
      </c>
      <c r="J1122" s="86">
        <v>0</v>
      </c>
      <c r="K1122" s="83" t="s">
        <v>28</v>
      </c>
      <c r="L1122" s="83" t="s">
        <v>63</v>
      </c>
      <c r="M1122" s="91">
        <f t="shared" si="105"/>
        <v>2800768000</v>
      </c>
      <c r="N1122" s="86">
        <f t="shared" si="106"/>
        <v>2420975000</v>
      </c>
      <c r="O1122" s="86">
        <f t="shared" si="107"/>
        <v>379793000</v>
      </c>
      <c r="P1122" s="83">
        <f t="shared" si="103"/>
        <v>4.3008406271370835E-2</v>
      </c>
      <c r="Q1122" s="83">
        <f t="shared" si="104"/>
        <v>0.31716373923651764</v>
      </c>
    </row>
    <row r="1123" spans="1:17">
      <c r="A1123" s="87">
        <v>1152</v>
      </c>
      <c r="B1123" s="87" t="s">
        <v>418</v>
      </c>
      <c r="C1123" s="87" t="s">
        <v>18</v>
      </c>
      <c r="D1123" s="84">
        <v>42395</v>
      </c>
      <c r="E1123" s="85">
        <f t="shared" si="102"/>
        <v>2016</v>
      </c>
      <c r="F1123" s="89">
        <v>1562000000</v>
      </c>
      <c r="G1123" s="89">
        <v>413000000</v>
      </c>
      <c r="H1123" s="89">
        <v>311000000</v>
      </c>
      <c r="I1123" s="89">
        <v>0</v>
      </c>
      <c r="J1123" s="89">
        <v>704000000</v>
      </c>
      <c r="K1123" s="87" t="s">
        <v>89</v>
      </c>
      <c r="L1123" s="87" t="s">
        <v>90</v>
      </c>
      <c r="M1123" s="90">
        <f t="shared" si="105"/>
        <v>1149000000</v>
      </c>
      <c r="N1123" s="89">
        <f t="shared" si="106"/>
        <v>1015000000</v>
      </c>
      <c r="O1123" s="89">
        <f t="shared" si="107"/>
        <v>134000000</v>
      </c>
      <c r="P1123" s="87">
        <f t="shared" si="103"/>
        <v>8.5787451984635082E-2</v>
      </c>
      <c r="Q1123" s="87">
        <f t="shared" si="104"/>
        <v>0.73559539052496792</v>
      </c>
    </row>
    <row r="1124" spans="1:17">
      <c r="A1124" s="83">
        <v>1153</v>
      </c>
      <c r="B1124" s="83" t="s">
        <v>418</v>
      </c>
      <c r="C1124" s="83" t="s">
        <v>21</v>
      </c>
      <c r="D1124" s="84">
        <v>42396</v>
      </c>
      <c r="E1124" s="85">
        <f t="shared" si="102"/>
        <v>2016</v>
      </c>
      <c r="F1124" s="86">
        <v>1857000000</v>
      </c>
      <c r="G1124" s="86">
        <v>411000000</v>
      </c>
      <c r="H1124" s="86">
        <v>311000000</v>
      </c>
      <c r="I1124" s="86">
        <v>0</v>
      </c>
      <c r="J1124" s="86">
        <v>685000000</v>
      </c>
      <c r="K1124" s="83" t="s">
        <v>89</v>
      </c>
      <c r="L1124" s="83" t="s">
        <v>90</v>
      </c>
      <c r="M1124" s="91">
        <f t="shared" si="105"/>
        <v>1446000000</v>
      </c>
      <c r="N1124" s="86">
        <f t="shared" si="106"/>
        <v>996000000</v>
      </c>
      <c r="O1124" s="86">
        <f t="shared" si="107"/>
        <v>450000000</v>
      </c>
      <c r="P1124" s="83">
        <f t="shared" si="103"/>
        <v>0.24232633279483037</v>
      </c>
      <c r="Q1124" s="83">
        <f t="shared" si="104"/>
        <v>0.77867528271405495</v>
      </c>
    </row>
    <row r="1125" spans="1:17">
      <c r="A1125" s="87">
        <v>1154</v>
      </c>
      <c r="B1125" s="87" t="s">
        <v>418</v>
      </c>
      <c r="C1125" s="87" t="s">
        <v>22</v>
      </c>
      <c r="D1125" s="84">
        <v>42397</v>
      </c>
      <c r="E1125" s="85">
        <f t="shared" si="102"/>
        <v>2016</v>
      </c>
      <c r="F1125" s="89">
        <v>2288000000</v>
      </c>
      <c r="G1125" s="89">
        <v>485000000</v>
      </c>
      <c r="H1125" s="89">
        <v>358000000</v>
      </c>
      <c r="I1125" s="89">
        <v>0</v>
      </c>
      <c r="J1125" s="89">
        <v>870000000</v>
      </c>
      <c r="K1125" s="87" t="s">
        <v>89</v>
      </c>
      <c r="L1125" s="87" t="s">
        <v>90</v>
      </c>
      <c r="M1125" s="90">
        <f t="shared" si="105"/>
        <v>1803000000</v>
      </c>
      <c r="N1125" s="89">
        <f t="shared" si="106"/>
        <v>1228000000</v>
      </c>
      <c r="O1125" s="89">
        <f t="shared" si="107"/>
        <v>575000000</v>
      </c>
      <c r="P1125" s="87">
        <f t="shared" si="103"/>
        <v>0.2513111888111888</v>
      </c>
      <c r="Q1125" s="87">
        <f t="shared" si="104"/>
        <v>0.78802447552447552</v>
      </c>
    </row>
    <row r="1126" spans="1:17">
      <c r="A1126" s="83">
        <v>1155</v>
      </c>
      <c r="B1126" s="83" t="s">
        <v>418</v>
      </c>
      <c r="C1126" s="83" t="s">
        <v>23</v>
      </c>
      <c r="D1126" s="84">
        <v>42398</v>
      </c>
      <c r="E1126" s="85">
        <f t="shared" si="102"/>
        <v>2016</v>
      </c>
      <c r="F1126" s="86">
        <v>1557000000</v>
      </c>
      <c r="G1126" s="86">
        <v>497000000</v>
      </c>
      <c r="H1126" s="86">
        <v>5204000000</v>
      </c>
      <c r="I1126" s="86">
        <v>0</v>
      </c>
      <c r="J1126" s="86">
        <v>917000000</v>
      </c>
      <c r="K1126" s="83" t="s">
        <v>89</v>
      </c>
      <c r="L1126" s="83" t="s">
        <v>90</v>
      </c>
      <c r="M1126" s="91">
        <f t="shared" si="105"/>
        <v>1060000000</v>
      </c>
      <c r="N1126" s="86">
        <f t="shared" si="106"/>
        <v>6121000000</v>
      </c>
      <c r="O1126" s="86">
        <f t="shared" si="107"/>
        <v>-5061000000</v>
      </c>
      <c r="P1126" s="83">
        <f t="shared" si="103"/>
        <v>-3.2504816955684008</v>
      </c>
      <c r="Q1126" s="83">
        <f t="shared" si="104"/>
        <v>0.680796403339756</v>
      </c>
    </row>
    <row r="1127" spans="1:17">
      <c r="A1127" s="87">
        <v>1156</v>
      </c>
      <c r="B1127" s="87" t="s">
        <v>419</v>
      </c>
      <c r="C1127" s="87" t="s">
        <v>18</v>
      </c>
      <c r="D1127" s="84">
        <v>42399</v>
      </c>
      <c r="E1127" s="88">
        <f t="shared" si="102"/>
        <v>2016</v>
      </c>
      <c r="F1127" s="89">
        <v>25313000000</v>
      </c>
      <c r="G1127" s="89">
        <v>14279000000</v>
      </c>
      <c r="H1127" s="89">
        <v>7796000000</v>
      </c>
      <c r="I1127" s="89">
        <v>0</v>
      </c>
      <c r="J1127" s="89">
        <v>0</v>
      </c>
      <c r="K1127" s="87" t="s">
        <v>25</v>
      </c>
      <c r="L1127" s="87" t="s">
        <v>295</v>
      </c>
      <c r="M1127" s="90">
        <f t="shared" si="105"/>
        <v>11034000000</v>
      </c>
      <c r="N1127" s="89">
        <f t="shared" si="106"/>
        <v>7796000000</v>
      </c>
      <c r="O1127" s="89">
        <f t="shared" si="107"/>
        <v>3238000000</v>
      </c>
      <c r="P1127" s="87">
        <f t="shared" si="103"/>
        <v>0.12791846086990874</v>
      </c>
      <c r="Q1127" s="87">
        <f t="shared" si="104"/>
        <v>0.4359025006913444</v>
      </c>
    </row>
    <row r="1128" spans="1:17">
      <c r="A1128" s="83">
        <v>1157</v>
      </c>
      <c r="B1128" s="83" t="s">
        <v>419</v>
      </c>
      <c r="C1128" s="83" t="s">
        <v>21</v>
      </c>
      <c r="D1128" s="84">
        <v>42400</v>
      </c>
      <c r="E1128" s="85">
        <f t="shared" si="102"/>
        <v>2016</v>
      </c>
      <c r="F1128" s="86">
        <v>27799000000</v>
      </c>
      <c r="G1128" s="86">
        <v>15353000000</v>
      </c>
      <c r="H1128" s="86">
        <v>8766000000</v>
      </c>
      <c r="I1128" s="86">
        <v>0</v>
      </c>
      <c r="J1128" s="86">
        <v>0</v>
      </c>
      <c r="K1128" s="83" t="s">
        <v>25</v>
      </c>
      <c r="L1128" s="83" t="s">
        <v>295</v>
      </c>
      <c r="M1128" s="91">
        <f t="shared" si="105"/>
        <v>12446000000</v>
      </c>
      <c r="N1128" s="86">
        <f t="shared" si="106"/>
        <v>8766000000</v>
      </c>
      <c r="O1128" s="86">
        <f t="shared" si="107"/>
        <v>3680000000</v>
      </c>
      <c r="P1128" s="83">
        <f t="shared" si="103"/>
        <v>0.13237886254901254</v>
      </c>
      <c r="Q1128" s="83">
        <f t="shared" si="104"/>
        <v>0.44771394654483976</v>
      </c>
    </row>
    <row r="1129" spans="1:17">
      <c r="A1129" s="87">
        <v>1158</v>
      </c>
      <c r="B1129" s="87" t="s">
        <v>419</v>
      </c>
      <c r="C1129" s="87" t="s">
        <v>22</v>
      </c>
      <c r="D1129" s="84">
        <v>42401</v>
      </c>
      <c r="E1129" s="88">
        <f t="shared" si="102"/>
        <v>2016</v>
      </c>
      <c r="F1129" s="89">
        <v>30601000000</v>
      </c>
      <c r="G1129" s="89">
        <v>16534000000</v>
      </c>
      <c r="H1129" s="89">
        <v>9892000000</v>
      </c>
      <c r="I1129" s="89">
        <v>0</v>
      </c>
      <c r="J1129" s="89">
        <v>0</v>
      </c>
      <c r="K1129" s="87" t="s">
        <v>25</v>
      </c>
      <c r="L1129" s="87" t="s">
        <v>295</v>
      </c>
      <c r="M1129" s="90">
        <f t="shared" si="105"/>
        <v>14067000000</v>
      </c>
      <c r="N1129" s="89">
        <f t="shared" si="106"/>
        <v>9892000000</v>
      </c>
      <c r="O1129" s="89">
        <f t="shared" si="107"/>
        <v>4175000000</v>
      </c>
      <c r="P1129" s="87">
        <f t="shared" si="103"/>
        <v>0.13643344988725858</v>
      </c>
      <c r="Q1129" s="87">
        <f t="shared" si="104"/>
        <v>0.45969085977582436</v>
      </c>
    </row>
    <row r="1130" spans="1:17">
      <c r="A1130" s="83">
        <v>1159</v>
      </c>
      <c r="B1130" s="83" t="s">
        <v>419</v>
      </c>
      <c r="C1130" s="83" t="s">
        <v>23</v>
      </c>
      <c r="D1130" s="84">
        <v>42402</v>
      </c>
      <c r="E1130" s="85">
        <f t="shared" si="102"/>
        <v>2016</v>
      </c>
      <c r="F1130" s="86">
        <v>32376000000</v>
      </c>
      <c r="G1130" s="86">
        <v>17405000000</v>
      </c>
      <c r="H1130" s="86">
        <v>10469000000</v>
      </c>
      <c r="I1130" s="86">
        <v>0</v>
      </c>
      <c r="J1130" s="86">
        <v>0</v>
      </c>
      <c r="K1130" s="83" t="s">
        <v>25</v>
      </c>
      <c r="L1130" s="83" t="s">
        <v>295</v>
      </c>
      <c r="M1130" s="91">
        <f t="shared" si="105"/>
        <v>14971000000</v>
      </c>
      <c r="N1130" s="86">
        <f t="shared" si="106"/>
        <v>10469000000</v>
      </c>
      <c r="O1130" s="86">
        <f t="shared" si="107"/>
        <v>4502000000</v>
      </c>
      <c r="P1130" s="83">
        <f t="shared" si="103"/>
        <v>0.13905361996540647</v>
      </c>
      <c r="Q1130" s="83">
        <f t="shared" si="104"/>
        <v>0.46241042747714356</v>
      </c>
    </row>
    <row r="1131" spans="1:17">
      <c r="A1131" s="87">
        <v>1160</v>
      </c>
      <c r="B1131" s="87" t="s">
        <v>420</v>
      </c>
      <c r="C1131" s="87" t="s">
        <v>18</v>
      </c>
      <c r="D1131" s="84">
        <v>42403</v>
      </c>
      <c r="E1131" s="88">
        <f t="shared" si="102"/>
        <v>2016</v>
      </c>
      <c r="F1131" s="89">
        <v>5703000000</v>
      </c>
      <c r="G1131" s="89">
        <v>2398000000</v>
      </c>
      <c r="H1131" s="89">
        <v>1815000000</v>
      </c>
      <c r="I1131" s="89">
        <v>0</v>
      </c>
      <c r="J1131" s="89">
        <v>510000000</v>
      </c>
      <c r="K1131" s="87" t="s">
        <v>19</v>
      </c>
      <c r="L1131" s="87" t="s">
        <v>217</v>
      </c>
      <c r="M1131" s="90">
        <f t="shared" si="105"/>
        <v>3305000000</v>
      </c>
      <c r="N1131" s="89">
        <f t="shared" si="106"/>
        <v>2325000000</v>
      </c>
      <c r="O1131" s="89">
        <f t="shared" si="107"/>
        <v>980000000</v>
      </c>
      <c r="P1131" s="87">
        <f t="shared" si="103"/>
        <v>0.17183938278099245</v>
      </c>
      <c r="Q1131" s="87">
        <f t="shared" si="104"/>
        <v>0.57951955111344899</v>
      </c>
    </row>
    <row r="1132" spans="1:17">
      <c r="A1132" s="83">
        <v>1161</v>
      </c>
      <c r="B1132" s="83" t="s">
        <v>420</v>
      </c>
      <c r="C1132" s="83" t="s">
        <v>21</v>
      </c>
      <c r="D1132" s="84">
        <v>42404</v>
      </c>
      <c r="E1132" s="85">
        <f t="shared" si="102"/>
        <v>2016</v>
      </c>
      <c r="F1132" s="86">
        <v>6288000000</v>
      </c>
      <c r="G1132" s="86">
        <v>2620000000</v>
      </c>
      <c r="H1132" s="86">
        <v>1917000000</v>
      </c>
      <c r="I1132" s="86">
        <v>0</v>
      </c>
      <c r="J1132" s="86">
        <v>573000000</v>
      </c>
      <c r="K1132" s="83" t="s">
        <v>19</v>
      </c>
      <c r="L1132" s="83" t="s">
        <v>217</v>
      </c>
      <c r="M1132" s="91">
        <f t="shared" si="105"/>
        <v>3668000000</v>
      </c>
      <c r="N1132" s="86">
        <f t="shared" si="106"/>
        <v>2490000000</v>
      </c>
      <c r="O1132" s="86">
        <f t="shared" si="107"/>
        <v>1178000000</v>
      </c>
      <c r="P1132" s="83">
        <f t="shared" si="103"/>
        <v>0.18734096692111959</v>
      </c>
      <c r="Q1132" s="83">
        <f t="shared" si="104"/>
        <v>0.58333333333333326</v>
      </c>
    </row>
    <row r="1133" spans="1:17">
      <c r="A1133" s="87">
        <v>1162</v>
      </c>
      <c r="B1133" s="87" t="s">
        <v>420</v>
      </c>
      <c r="C1133" s="87" t="s">
        <v>22</v>
      </c>
      <c r="D1133" s="84">
        <v>42405</v>
      </c>
      <c r="E1133" s="88">
        <f t="shared" si="102"/>
        <v>2016</v>
      </c>
      <c r="F1133" s="89">
        <v>6172000000</v>
      </c>
      <c r="G1133" s="89">
        <v>2539000000</v>
      </c>
      <c r="H1133" s="89">
        <v>1915000000</v>
      </c>
      <c r="I1133" s="89">
        <v>0</v>
      </c>
      <c r="J1133" s="89">
        <v>574000000</v>
      </c>
      <c r="K1133" s="87" t="s">
        <v>19</v>
      </c>
      <c r="L1133" s="87" t="s">
        <v>217</v>
      </c>
      <c r="M1133" s="90">
        <f t="shared" si="105"/>
        <v>3633000000</v>
      </c>
      <c r="N1133" s="89">
        <f t="shared" si="106"/>
        <v>2489000000</v>
      </c>
      <c r="O1133" s="89">
        <f t="shared" si="107"/>
        <v>1144000000</v>
      </c>
      <c r="P1133" s="87">
        <f t="shared" si="103"/>
        <v>0.18535320803629293</v>
      </c>
      <c r="Q1133" s="87">
        <f t="shared" si="104"/>
        <v>0.58862605314322747</v>
      </c>
    </row>
    <row r="1134" spans="1:17">
      <c r="A1134" s="83">
        <v>1163</v>
      </c>
      <c r="B1134" s="83" t="s">
        <v>420</v>
      </c>
      <c r="C1134" s="83" t="s">
        <v>23</v>
      </c>
      <c r="D1134" s="84">
        <v>42406</v>
      </c>
      <c r="E1134" s="85">
        <f t="shared" si="102"/>
        <v>2016</v>
      </c>
      <c r="F1134" s="86">
        <v>6309000000</v>
      </c>
      <c r="G1134" s="86">
        <v>2607000000</v>
      </c>
      <c r="H1134" s="86">
        <v>1851000000</v>
      </c>
      <c r="I1134" s="86">
        <v>0</v>
      </c>
      <c r="J1134" s="86">
        <v>603000000</v>
      </c>
      <c r="K1134" s="83" t="s">
        <v>19</v>
      </c>
      <c r="L1134" s="83" t="s">
        <v>217</v>
      </c>
      <c r="M1134" s="91">
        <f t="shared" si="105"/>
        <v>3702000000</v>
      </c>
      <c r="N1134" s="86">
        <f t="shared" si="106"/>
        <v>2454000000</v>
      </c>
      <c r="O1134" s="86">
        <f t="shared" si="107"/>
        <v>1248000000</v>
      </c>
      <c r="P1134" s="83">
        <f t="shared" si="103"/>
        <v>0.19781264859724204</v>
      </c>
      <c r="Q1134" s="83">
        <f t="shared" si="104"/>
        <v>0.58678078934854971</v>
      </c>
    </row>
    <row r="1135" spans="1:17">
      <c r="A1135" s="87">
        <v>1164</v>
      </c>
      <c r="B1135" s="87" t="s">
        <v>421</v>
      </c>
      <c r="C1135" s="87" t="s">
        <v>18</v>
      </c>
      <c r="D1135" s="84">
        <v>42407</v>
      </c>
      <c r="E1135" s="88">
        <f t="shared" si="102"/>
        <v>2016</v>
      </c>
      <c r="F1135" s="89">
        <v>17194000000</v>
      </c>
      <c r="G1135" s="89">
        <v>12151000000</v>
      </c>
      <c r="H1135" s="89">
        <v>1654000000</v>
      </c>
      <c r="I1135" s="89">
        <v>0</v>
      </c>
      <c r="J1135" s="89">
        <v>0</v>
      </c>
      <c r="K1135" s="87" t="s">
        <v>89</v>
      </c>
      <c r="L1135" s="87" t="s">
        <v>120</v>
      </c>
      <c r="M1135" s="90">
        <f t="shared" si="105"/>
        <v>5043000000</v>
      </c>
      <c r="N1135" s="89">
        <f t="shared" si="106"/>
        <v>1654000000</v>
      </c>
      <c r="O1135" s="89">
        <f t="shared" si="107"/>
        <v>3389000000</v>
      </c>
      <c r="P1135" s="87">
        <f t="shared" si="103"/>
        <v>0.19710364080493195</v>
      </c>
      <c r="Q1135" s="87">
        <f t="shared" si="104"/>
        <v>0.29329998836803539</v>
      </c>
    </row>
    <row r="1136" spans="1:17">
      <c r="A1136" s="83">
        <v>1165</v>
      </c>
      <c r="B1136" s="83" t="s">
        <v>421</v>
      </c>
      <c r="C1136" s="83" t="s">
        <v>21</v>
      </c>
      <c r="D1136" s="84">
        <v>42408</v>
      </c>
      <c r="E1136" s="85">
        <f t="shared" si="102"/>
        <v>2016</v>
      </c>
      <c r="F1136" s="86">
        <v>19221000000</v>
      </c>
      <c r="G1136" s="86">
        <v>14117000000</v>
      </c>
      <c r="H1136" s="86">
        <v>1905000000</v>
      </c>
      <c r="I1136" s="86">
        <v>0</v>
      </c>
      <c r="J1136" s="86">
        <v>0</v>
      </c>
      <c r="K1136" s="83" t="s">
        <v>89</v>
      </c>
      <c r="L1136" s="83" t="s">
        <v>120</v>
      </c>
      <c r="M1136" s="91">
        <f t="shared" si="105"/>
        <v>5104000000</v>
      </c>
      <c r="N1136" s="86">
        <f t="shared" si="106"/>
        <v>1905000000</v>
      </c>
      <c r="O1136" s="86">
        <f t="shared" si="107"/>
        <v>3199000000</v>
      </c>
      <c r="P1136" s="83">
        <f t="shared" si="103"/>
        <v>0.16643254773424901</v>
      </c>
      <c r="Q1136" s="83">
        <f t="shared" si="104"/>
        <v>0.26554289579106183</v>
      </c>
    </row>
    <row r="1137" spans="1:17">
      <c r="A1137" s="87">
        <v>1166</v>
      </c>
      <c r="B1137" s="87" t="s">
        <v>421</v>
      </c>
      <c r="C1137" s="87" t="s">
        <v>22</v>
      </c>
      <c r="D1137" s="84">
        <v>42409</v>
      </c>
      <c r="E1137" s="88">
        <f t="shared" si="102"/>
        <v>2016</v>
      </c>
      <c r="F1137" s="89">
        <v>21440000000</v>
      </c>
      <c r="G1137" s="89">
        <v>15631000000</v>
      </c>
      <c r="H1137" s="89">
        <v>2092000000</v>
      </c>
      <c r="I1137" s="89">
        <v>0</v>
      </c>
      <c r="J1137" s="89">
        <v>0</v>
      </c>
      <c r="K1137" s="87" t="s">
        <v>89</v>
      </c>
      <c r="L1137" s="87" t="s">
        <v>120</v>
      </c>
      <c r="M1137" s="90">
        <f t="shared" si="105"/>
        <v>5809000000</v>
      </c>
      <c r="N1137" s="89">
        <f t="shared" si="106"/>
        <v>2092000000</v>
      </c>
      <c r="O1137" s="89">
        <f t="shared" si="107"/>
        <v>3717000000</v>
      </c>
      <c r="P1137" s="87">
        <f t="shared" si="103"/>
        <v>0.17336753731343282</v>
      </c>
      <c r="Q1137" s="87">
        <f t="shared" si="104"/>
        <v>0.27094216417910444</v>
      </c>
    </row>
    <row r="1138" spans="1:17">
      <c r="A1138" s="83">
        <v>1167</v>
      </c>
      <c r="B1138" s="83" t="s">
        <v>421</v>
      </c>
      <c r="C1138" s="83" t="s">
        <v>23</v>
      </c>
      <c r="D1138" s="84">
        <v>42410</v>
      </c>
      <c r="E1138" s="85">
        <f t="shared" si="102"/>
        <v>2016</v>
      </c>
      <c r="F1138" s="86">
        <v>14757000000</v>
      </c>
      <c r="G1138" s="86">
        <v>11694000000</v>
      </c>
      <c r="H1138" s="86">
        <v>1764000000</v>
      </c>
      <c r="I1138" s="86">
        <v>0</v>
      </c>
      <c r="J1138" s="86">
        <v>0</v>
      </c>
      <c r="K1138" s="83" t="s">
        <v>89</v>
      </c>
      <c r="L1138" s="83" t="s">
        <v>120</v>
      </c>
      <c r="M1138" s="91">
        <f t="shared" si="105"/>
        <v>3063000000</v>
      </c>
      <c r="N1138" s="86">
        <f t="shared" si="106"/>
        <v>1764000000</v>
      </c>
      <c r="O1138" s="86">
        <f t="shared" si="107"/>
        <v>1299000000</v>
      </c>
      <c r="P1138" s="83">
        <f t="shared" si="103"/>
        <v>8.8026021549095348E-2</v>
      </c>
      <c r="Q1138" s="83">
        <f t="shared" si="104"/>
        <v>0.20756251270583448</v>
      </c>
    </row>
    <row r="1139" spans="1:17">
      <c r="A1139" s="87">
        <v>1168</v>
      </c>
      <c r="B1139" s="87" t="s">
        <v>422</v>
      </c>
      <c r="C1139" s="87" t="s">
        <v>18</v>
      </c>
      <c r="D1139" s="84">
        <v>42411</v>
      </c>
      <c r="E1139" s="88">
        <f t="shared" si="102"/>
        <v>2016</v>
      </c>
      <c r="F1139" s="89">
        <v>11245000000</v>
      </c>
      <c r="G1139" s="89">
        <v>4070000000</v>
      </c>
      <c r="H1139" s="89">
        <v>3002000000</v>
      </c>
      <c r="I1139" s="89">
        <v>0</v>
      </c>
      <c r="J1139" s="89">
        <v>916000000</v>
      </c>
      <c r="K1139" s="87" t="s">
        <v>19</v>
      </c>
      <c r="L1139" s="87" t="s">
        <v>184</v>
      </c>
      <c r="M1139" s="90">
        <f t="shared" si="105"/>
        <v>7175000000</v>
      </c>
      <c r="N1139" s="89">
        <f t="shared" si="106"/>
        <v>3918000000</v>
      </c>
      <c r="O1139" s="89">
        <f t="shared" si="107"/>
        <v>3257000000</v>
      </c>
      <c r="P1139" s="87">
        <f t="shared" si="103"/>
        <v>0.28963983992885728</v>
      </c>
      <c r="Q1139" s="87">
        <f t="shared" si="104"/>
        <v>0.63806136060471319</v>
      </c>
    </row>
    <row r="1140" spans="1:17">
      <c r="A1140" s="83">
        <v>1169</v>
      </c>
      <c r="B1140" s="83" t="s">
        <v>422</v>
      </c>
      <c r="C1140" s="83" t="s">
        <v>21</v>
      </c>
      <c r="D1140" s="84">
        <v>42412</v>
      </c>
      <c r="E1140" s="85">
        <f t="shared" si="102"/>
        <v>2016</v>
      </c>
      <c r="F1140" s="86">
        <v>11624000000</v>
      </c>
      <c r="G1140" s="86">
        <v>4201000000</v>
      </c>
      <c r="H1140" s="86">
        <v>2897000000</v>
      </c>
      <c r="I1140" s="86">
        <v>0</v>
      </c>
      <c r="J1140" s="86">
        <v>951000000</v>
      </c>
      <c r="K1140" s="83" t="s">
        <v>19</v>
      </c>
      <c r="L1140" s="83" t="s">
        <v>184</v>
      </c>
      <c r="M1140" s="91">
        <f t="shared" si="105"/>
        <v>7423000000</v>
      </c>
      <c r="N1140" s="86">
        <f t="shared" si="106"/>
        <v>3848000000</v>
      </c>
      <c r="O1140" s="86">
        <f t="shared" si="107"/>
        <v>3575000000</v>
      </c>
      <c r="P1140" s="83">
        <f t="shared" si="103"/>
        <v>0.30755333792154166</v>
      </c>
      <c r="Q1140" s="83">
        <f t="shared" si="104"/>
        <v>0.63859256710254653</v>
      </c>
    </row>
    <row r="1141" spans="1:17">
      <c r="A1141" s="87">
        <v>1170</v>
      </c>
      <c r="B1141" s="87" t="s">
        <v>422</v>
      </c>
      <c r="C1141" s="87" t="s">
        <v>22</v>
      </c>
      <c r="D1141" s="84">
        <v>42413</v>
      </c>
      <c r="E1141" s="88">
        <f t="shared" si="102"/>
        <v>2016</v>
      </c>
      <c r="F1141" s="89">
        <v>10511000000</v>
      </c>
      <c r="G1141" s="89">
        <v>3662000000</v>
      </c>
      <c r="H1141" s="89">
        <v>2911000000</v>
      </c>
      <c r="I1141" s="89">
        <v>0</v>
      </c>
      <c r="J1141" s="89">
        <v>1054000000</v>
      </c>
      <c r="K1141" s="87" t="s">
        <v>19</v>
      </c>
      <c r="L1141" s="87" t="s">
        <v>184</v>
      </c>
      <c r="M1141" s="90">
        <f t="shared" si="105"/>
        <v>6849000000</v>
      </c>
      <c r="N1141" s="89">
        <f t="shared" si="106"/>
        <v>3965000000</v>
      </c>
      <c r="O1141" s="89">
        <f t="shared" si="107"/>
        <v>2884000000</v>
      </c>
      <c r="P1141" s="87">
        <f t="shared" si="103"/>
        <v>0.27437922176767199</v>
      </c>
      <c r="Q1141" s="87">
        <f t="shared" si="104"/>
        <v>0.65160308248501564</v>
      </c>
    </row>
    <row r="1142" spans="1:17">
      <c r="A1142" s="83">
        <v>1171</v>
      </c>
      <c r="B1142" s="83" t="s">
        <v>422</v>
      </c>
      <c r="C1142" s="83" t="s">
        <v>23</v>
      </c>
      <c r="D1142" s="84">
        <v>42414</v>
      </c>
      <c r="E1142" s="85">
        <f t="shared" si="102"/>
        <v>2016</v>
      </c>
      <c r="F1142" s="86">
        <v>9888000000</v>
      </c>
      <c r="G1142" s="86">
        <v>3045000000</v>
      </c>
      <c r="H1142" s="86">
        <v>2743000000</v>
      </c>
      <c r="I1142" s="86">
        <v>0</v>
      </c>
      <c r="J1142" s="86">
        <v>1026000000</v>
      </c>
      <c r="K1142" s="83" t="s">
        <v>19</v>
      </c>
      <c r="L1142" s="83" t="s">
        <v>184</v>
      </c>
      <c r="M1142" s="91">
        <f t="shared" si="105"/>
        <v>6843000000</v>
      </c>
      <c r="N1142" s="86">
        <f t="shared" si="106"/>
        <v>3769000000</v>
      </c>
      <c r="O1142" s="86">
        <f t="shared" si="107"/>
        <v>3074000000</v>
      </c>
      <c r="P1142" s="83">
        <f t="shared" si="103"/>
        <v>0.31088187702265374</v>
      </c>
      <c r="Q1142" s="83">
        <f t="shared" si="104"/>
        <v>0.69205097087378642</v>
      </c>
    </row>
    <row r="1143" spans="1:17">
      <c r="A1143" s="87">
        <v>1172</v>
      </c>
      <c r="B1143" s="87" t="s">
        <v>423</v>
      </c>
      <c r="C1143" s="87" t="s">
        <v>18</v>
      </c>
      <c r="D1143" s="84">
        <v>42415</v>
      </c>
      <c r="E1143" s="88">
        <f t="shared" si="102"/>
        <v>2016</v>
      </c>
      <c r="F1143" s="89">
        <v>6332400000</v>
      </c>
      <c r="G1143" s="89">
        <v>2571300000</v>
      </c>
      <c r="H1143" s="89">
        <v>2247400000</v>
      </c>
      <c r="I1143" s="89">
        <v>904200000</v>
      </c>
      <c r="J1143" s="89">
        <v>0</v>
      </c>
      <c r="K1143" s="87" t="s">
        <v>28</v>
      </c>
      <c r="L1143" s="87" t="s">
        <v>63</v>
      </c>
      <c r="M1143" s="90">
        <f t="shared" si="105"/>
        <v>3761100000</v>
      </c>
      <c r="N1143" s="89">
        <f t="shared" si="106"/>
        <v>3151600000</v>
      </c>
      <c r="O1143" s="89">
        <f t="shared" si="107"/>
        <v>609500000</v>
      </c>
      <c r="P1143" s="87">
        <f t="shared" si="103"/>
        <v>9.6251026467058298E-2</v>
      </c>
      <c r="Q1143" s="87">
        <f t="shared" si="104"/>
        <v>0.59394542353610014</v>
      </c>
    </row>
    <row r="1144" spans="1:17">
      <c r="A1144" s="83">
        <v>1173</v>
      </c>
      <c r="B1144" s="83" t="s">
        <v>423</v>
      </c>
      <c r="C1144" s="83" t="s">
        <v>21</v>
      </c>
      <c r="D1144" s="84">
        <v>42416</v>
      </c>
      <c r="E1144" s="85">
        <f t="shared" si="102"/>
        <v>2016</v>
      </c>
      <c r="F1144" s="86">
        <v>6325000000</v>
      </c>
      <c r="G1144" s="86">
        <v>2406000000</v>
      </c>
      <c r="H1144" s="86">
        <v>2179000000</v>
      </c>
      <c r="I1144" s="86">
        <v>918000000</v>
      </c>
      <c r="J1144" s="86">
        <v>0</v>
      </c>
      <c r="K1144" s="83" t="s">
        <v>28</v>
      </c>
      <c r="L1144" s="83" t="s">
        <v>63</v>
      </c>
      <c r="M1144" s="91">
        <f t="shared" si="105"/>
        <v>3919000000</v>
      </c>
      <c r="N1144" s="86">
        <f t="shared" si="106"/>
        <v>3097000000</v>
      </c>
      <c r="O1144" s="86">
        <f t="shared" si="107"/>
        <v>822000000</v>
      </c>
      <c r="P1144" s="83">
        <f t="shared" si="103"/>
        <v>0.12996047430830041</v>
      </c>
      <c r="Q1144" s="83">
        <f t="shared" si="104"/>
        <v>0.61960474308300395</v>
      </c>
    </row>
    <row r="1145" spans="1:17">
      <c r="A1145" s="87">
        <v>1174</v>
      </c>
      <c r="B1145" s="87" t="s">
        <v>423</v>
      </c>
      <c r="C1145" s="87" t="s">
        <v>22</v>
      </c>
      <c r="D1145" s="84">
        <v>42417</v>
      </c>
      <c r="E1145" s="88">
        <f t="shared" si="102"/>
        <v>2016</v>
      </c>
      <c r="F1145" s="89">
        <v>6123000000</v>
      </c>
      <c r="G1145" s="89">
        <v>2290000000</v>
      </c>
      <c r="H1145" s="89">
        <v>2197000000</v>
      </c>
      <c r="I1145" s="89">
        <v>920000000</v>
      </c>
      <c r="J1145" s="89">
        <v>0</v>
      </c>
      <c r="K1145" s="87" t="s">
        <v>28</v>
      </c>
      <c r="L1145" s="87" t="s">
        <v>63</v>
      </c>
      <c r="M1145" s="90">
        <f t="shared" si="105"/>
        <v>3833000000</v>
      </c>
      <c r="N1145" s="89">
        <f t="shared" si="106"/>
        <v>3117000000</v>
      </c>
      <c r="O1145" s="89">
        <f t="shared" si="107"/>
        <v>716000000</v>
      </c>
      <c r="P1145" s="87">
        <f t="shared" si="103"/>
        <v>0.11693614241384942</v>
      </c>
      <c r="Q1145" s="87">
        <f t="shared" si="104"/>
        <v>0.62600032663726934</v>
      </c>
    </row>
    <row r="1146" spans="1:17">
      <c r="A1146" s="83">
        <v>1175</v>
      </c>
      <c r="B1146" s="83" t="s">
        <v>423</v>
      </c>
      <c r="C1146" s="83" t="s">
        <v>23</v>
      </c>
      <c r="D1146" s="84">
        <v>42418</v>
      </c>
      <c r="E1146" s="85">
        <f t="shared" si="102"/>
        <v>2016</v>
      </c>
      <c r="F1146" s="86">
        <v>5546000000</v>
      </c>
      <c r="G1146" s="86">
        <v>2173000000</v>
      </c>
      <c r="H1146" s="86">
        <v>2099000000</v>
      </c>
      <c r="I1146" s="86">
        <v>861000000</v>
      </c>
      <c r="J1146" s="86">
        <v>0</v>
      </c>
      <c r="K1146" s="83" t="s">
        <v>28</v>
      </c>
      <c r="L1146" s="83" t="s">
        <v>63</v>
      </c>
      <c r="M1146" s="91">
        <f t="shared" si="105"/>
        <v>3373000000</v>
      </c>
      <c r="N1146" s="86">
        <f t="shared" si="106"/>
        <v>2960000000</v>
      </c>
      <c r="O1146" s="86">
        <f t="shared" si="107"/>
        <v>413000000</v>
      </c>
      <c r="P1146" s="83">
        <f t="shared" si="103"/>
        <v>7.4468085106382975E-2</v>
      </c>
      <c r="Q1146" s="83">
        <f t="shared" si="104"/>
        <v>0.60818608005769925</v>
      </c>
    </row>
    <row r="1147" spans="1:17">
      <c r="A1147" s="87">
        <v>1180</v>
      </c>
      <c r="B1147" s="87" t="s">
        <v>424</v>
      </c>
      <c r="C1147" s="87" t="s">
        <v>18</v>
      </c>
      <c r="D1147" s="84">
        <v>42419</v>
      </c>
      <c r="E1147" s="88">
        <f t="shared" si="102"/>
        <v>2016</v>
      </c>
      <c r="F1147" s="89">
        <v>19429273000</v>
      </c>
      <c r="G1147" s="89">
        <v>17915735000</v>
      </c>
      <c r="H1147" s="89">
        <v>454900000</v>
      </c>
      <c r="I1147" s="89">
        <v>0</v>
      </c>
      <c r="J1147" s="89">
        <v>0</v>
      </c>
      <c r="K1147" s="87" t="s">
        <v>65</v>
      </c>
      <c r="L1147" s="87" t="s">
        <v>425</v>
      </c>
      <c r="M1147" s="90">
        <f t="shared" si="105"/>
        <v>1513538000</v>
      </c>
      <c r="N1147" s="89">
        <f t="shared" si="106"/>
        <v>454900000</v>
      </c>
      <c r="O1147" s="89">
        <f t="shared" si="107"/>
        <v>1058638000</v>
      </c>
      <c r="P1147" s="87">
        <f t="shared" si="103"/>
        <v>5.448675305555694E-2</v>
      </c>
      <c r="Q1147" s="87">
        <f t="shared" si="104"/>
        <v>7.7899878188957494E-2</v>
      </c>
    </row>
    <row r="1148" spans="1:17">
      <c r="A1148" s="83">
        <v>1181</v>
      </c>
      <c r="B1148" s="83" t="s">
        <v>424</v>
      </c>
      <c r="C1148" s="83" t="s">
        <v>21</v>
      </c>
      <c r="D1148" s="84">
        <v>42420</v>
      </c>
      <c r="E1148" s="85">
        <f t="shared" si="102"/>
        <v>2016</v>
      </c>
      <c r="F1148" s="86">
        <v>19052046000</v>
      </c>
      <c r="G1148" s="86">
        <v>17641421000</v>
      </c>
      <c r="H1148" s="86">
        <v>467904000</v>
      </c>
      <c r="I1148" s="86">
        <v>0</v>
      </c>
      <c r="J1148" s="86">
        <v>0</v>
      </c>
      <c r="K1148" s="83" t="s">
        <v>65</v>
      </c>
      <c r="L1148" s="83" t="s">
        <v>425</v>
      </c>
      <c r="M1148" s="91">
        <f t="shared" si="105"/>
        <v>1410625000</v>
      </c>
      <c r="N1148" s="86">
        <f t="shared" si="106"/>
        <v>467904000</v>
      </c>
      <c r="O1148" s="86">
        <f t="shared" si="107"/>
        <v>942721000</v>
      </c>
      <c r="P1148" s="83">
        <f t="shared" si="103"/>
        <v>4.9481352291507172E-2</v>
      </c>
      <c r="Q1148" s="83">
        <f t="shared" si="104"/>
        <v>7.4040604352939354E-2</v>
      </c>
    </row>
    <row r="1149" spans="1:17">
      <c r="A1149" s="87">
        <v>1182</v>
      </c>
      <c r="B1149" s="87" t="s">
        <v>424</v>
      </c>
      <c r="C1149" s="87" t="s">
        <v>22</v>
      </c>
      <c r="D1149" s="84">
        <v>42421</v>
      </c>
      <c r="E1149" s="88">
        <f t="shared" si="102"/>
        <v>2016</v>
      </c>
      <c r="F1149" s="89">
        <v>21105141000</v>
      </c>
      <c r="G1149" s="89">
        <v>19198615000</v>
      </c>
      <c r="H1149" s="89">
        <v>520805000</v>
      </c>
      <c r="I1149" s="89">
        <v>0</v>
      </c>
      <c r="J1149" s="89">
        <v>0</v>
      </c>
      <c r="K1149" s="87" t="s">
        <v>65</v>
      </c>
      <c r="L1149" s="87" t="s">
        <v>425</v>
      </c>
      <c r="M1149" s="90">
        <f t="shared" si="105"/>
        <v>1906526000</v>
      </c>
      <c r="N1149" s="89">
        <f t="shared" si="106"/>
        <v>520805000</v>
      </c>
      <c r="O1149" s="89">
        <f t="shared" si="107"/>
        <v>1385721000</v>
      </c>
      <c r="P1149" s="87">
        <f t="shared" si="103"/>
        <v>6.5657983521645272E-2</v>
      </c>
      <c r="Q1149" s="87">
        <f t="shared" si="104"/>
        <v>9.03346724857228E-2</v>
      </c>
    </row>
    <row r="1150" spans="1:17">
      <c r="A1150" s="83">
        <v>1183</v>
      </c>
      <c r="B1150" s="83" t="s">
        <v>424</v>
      </c>
      <c r="C1150" s="83" t="s">
        <v>23</v>
      </c>
      <c r="D1150" s="84">
        <v>42422</v>
      </c>
      <c r="E1150" s="85">
        <f t="shared" si="102"/>
        <v>2016</v>
      </c>
      <c r="F1150" s="86">
        <v>16439276000</v>
      </c>
      <c r="G1150" s="86">
        <v>14858014000</v>
      </c>
      <c r="H1150" s="86">
        <v>458989000</v>
      </c>
      <c r="I1150" s="86">
        <v>0</v>
      </c>
      <c r="J1150" s="86">
        <v>0</v>
      </c>
      <c r="K1150" s="83" t="s">
        <v>65</v>
      </c>
      <c r="L1150" s="83" t="s">
        <v>425</v>
      </c>
      <c r="M1150" s="91">
        <f t="shared" si="105"/>
        <v>1581262000</v>
      </c>
      <c r="N1150" s="86">
        <f t="shared" si="106"/>
        <v>458989000</v>
      </c>
      <c r="O1150" s="86">
        <f t="shared" si="107"/>
        <v>1122273000</v>
      </c>
      <c r="P1150" s="83">
        <f t="shared" si="103"/>
        <v>6.8267787462172907E-2</v>
      </c>
      <c r="Q1150" s="83">
        <f t="shared" si="104"/>
        <v>9.6188055970348074E-2</v>
      </c>
    </row>
    <row r="1151" spans="1:17">
      <c r="A1151" s="87">
        <v>1184</v>
      </c>
      <c r="B1151" s="87" t="s">
        <v>426</v>
      </c>
      <c r="C1151" s="87" t="s">
        <v>18</v>
      </c>
      <c r="D1151" s="84">
        <v>42423</v>
      </c>
      <c r="E1151" s="88">
        <f t="shared" ref="E1151:E1214" si="108">YEAR(D1151)</f>
        <v>2016</v>
      </c>
      <c r="F1151" s="89">
        <v>4280159000</v>
      </c>
      <c r="G1151" s="89">
        <v>2053816000</v>
      </c>
      <c r="H1151" s="89">
        <v>430822000</v>
      </c>
      <c r="I1151" s="89">
        <v>1147282000</v>
      </c>
      <c r="J1151" s="89">
        <v>0</v>
      </c>
      <c r="K1151" s="87" t="s">
        <v>28</v>
      </c>
      <c r="L1151" s="87" t="s">
        <v>40</v>
      </c>
      <c r="M1151" s="90">
        <f t="shared" si="105"/>
        <v>2226343000</v>
      </c>
      <c r="N1151" s="89">
        <f t="shared" si="106"/>
        <v>1578104000</v>
      </c>
      <c r="O1151" s="89">
        <f t="shared" si="107"/>
        <v>648239000</v>
      </c>
      <c r="P1151" s="87">
        <f t="shared" si="103"/>
        <v>0.15145208390622872</v>
      </c>
      <c r="Q1151" s="87">
        <f t="shared" si="104"/>
        <v>0.52015427464260089</v>
      </c>
    </row>
    <row r="1152" spans="1:17">
      <c r="A1152" s="83">
        <v>1185</v>
      </c>
      <c r="B1152" s="83" t="s">
        <v>426</v>
      </c>
      <c r="C1152" s="83" t="s">
        <v>21</v>
      </c>
      <c r="D1152" s="84">
        <v>42424</v>
      </c>
      <c r="E1152" s="85">
        <f t="shared" si="108"/>
        <v>2016</v>
      </c>
      <c r="F1152" s="86">
        <v>4130000000</v>
      </c>
      <c r="G1152" s="86">
        <v>1862000000</v>
      </c>
      <c r="H1152" s="86">
        <v>436000000</v>
      </c>
      <c r="I1152" s="86">
        <v>1336000000</v>
      </c>
      <c r="J1152" s="86">
        <v>0</v>
      </c>
      <c r="K1152" s="83" t="s">
        <v>28</v>
      </c>
      <c r="L1152" s="83" t="s">
        <v>40</v>
      </c>
      <c r="M1152" s="91">
        <f t="shared" si="105"/>
        <v>2268000000</v>
      </c>
      <c r="N1152" s="86">
        <f t="shared" si="106"/>
        <v>1772000000</v>
      </c>
      <c r="O1152" s="86">
        <f t="shared" si="107"/>
        <v>496000000</v>
      </c>
      <c r="P1152" s="83">
        <f t="shared" si="103"/>
        <v>0.12009685230024213</v>
      </c>
      <c r="Q1152" s="83">
        <f t="shared" si="104"/>
        <v>0.54915254237288136</v>
      </c>
    </row>
    <row r="1153" spans="1:17">
      <c r="A1153" s="87">
        <v>1186</v>
      </c>
      <c r="B1153" s="87" t="s">
        <v>426</v>
      </c>
      <c r="C1153" s="87" t="s">
        <v>22</v>
      </c>
      <c r="D1153" s="84">
        <v>42425</v>
      </c>
      <c r="E1153" s="88">
        <f t="shared" si="108"/>
        <v>2016</v>
      </c>
      <c r="F1153" s="89">
        <v>4682000000</v>
      </c>
      <c r="G1153" s="89">
        <v>2083000000</v>
      </c>
      <c r="H1153" s="89">
        <v>480000000</v>
      </c>
      <c r="I1153" s="89">
        <v>1360000000</v>
      </c>
      <c r="J1153" s="89">
        <v>0</v>
      </c>
      <c r="K1153" s="87" t="s">
        <v>28</v>
      </c>
      <c r="L1153" s="87" t="s">
        <v>40</v>
      </c>
      <c r="M1153" s="90">
        <f t="shared" si="105"/>
        <v>2599000000</v>
      </c>
      <c r="N1153" s="89">
        <f t="shared" si="106"/>
        <v>1840000000</v>
      </c>
      <c r="O1153" s="89">
        <f t="shared" si="107"/>
        <v>759000000</v>
      </c>
      <c r="P1153" s="87">
        <f t="shared" si="103"/>
        <v>0.16211020931225972</v>
      </c>
      <c r="Q1153" s="87">
        <f t="shared" si="104"/>
        <v>0.55510465612985904</v>
      </c>
    </row>
    <row r="1154" spans="1:17">
      <c r="A1154" s="83">
        <v>1187</v>
      </c>
      <c r="B1154" s="83" t="s">
        <v>426</v>
      </c>
      <c r="C1154" s="83" t="s">
        <v>23</v>
      </c>
      <c r="D1154" s="84">
        <v>42426</v>
      </c>
      <c r="E1154" s="85">
        <f t="shared" si="108"/>
        <v>2016</v>
      </c>
      <c r="F1154" s="86">
        <v>5010000000</v>
      </c>
      <c r="G1154" s="86">
        <v>2199000000</v>
      </c>
      <c r="H1154" s="86">
        <v>602000000</v>
      </c>
      <c r="I1154" s="86">
        <v>1331000000</v>
      </c>
      <c r="J1154" s="86">
        <v>0</v>
      </c>
      <c r="K1154" s="83" t="s">
        <v>28</v>
      </c>
      <c r="L1154" s="83" t="s">
        <v>40</v>
      </c>
      <c r="M1154" s="91">
        <f t="shared" si="105"/>
        <v>2811000000</v>
      </c>
      <c r="N1154" s="86">
        <f t="shared" si="106"/>
        <v>1933000000</v>
      </c>
      <c r="O1154" s="86">
        <f t="shared" si="107"/>
        <v>878000000</v>
      </c>
      <c r="P1154" s="83">
        <f t="shared" ref="P1154:P1217" si="109">O1154/F1154</f>
        <v>0.17524950099800399</v>
      </c>
      <c r="Q1154" s="83">
        <f t="shared" ref="Q1154:Q1217" si="110">1-G1154/F1154</f>
        <v>0.56107784431137731</v>
      </c>
    </row>
    <row r="1155" spans="1:17">
      <c r="A1155" s="87">
        <v>1188</v>
      </c>
      <c r="B1155" s="87" t="s">
        <v>427</v>
      </c>
      <c r="C1155" s="87" t="s">
        <v>18</v>
      </c>
      <c r="D1155" s="84">
        <v>42427</v>
      </c>
      <c r="E1155" s="88">
        <f t="shared" si="108"/>
        <v>2016</v>
      </c>
      <c r="F1155" s="89">
        <v>5508500000</v>
      </c>
      <c r="G1155" s="89">
        <v>3414400000</v>
      </c>
      <c r="H1155" s="89">
        <v>1403500000</v>
      </c>
      <c r="I1155" s="89">
        <v>0</v>
      </c>
      <c r="J1155" s="89">
        <v>0</v>
      </c>
      <c r="K1155" s="87" t="s">
        <v>25</v>
      </c>
      <c r="L1155" s="87" t="s">
        <v>428</v>
      </c>
      <c r="M1155" s="90">
        <f t="shared" ref="M1155:M1218" si="111">F1155-G1155</f>
        <v>2094100000</v>
      </c>
      <c r="N1155" s="89">
        <f t="shared" ref="N1155:N1218" si="112">H1155+I1155+J1155</f>
        <v>1403500000</v>
      </c>
      <c r="O1155" s="89">
        <f t="shared" ref="O1155:O1218" si="113">M1155-N1155</f>
        <v>690600000</v>
      </c>
      <c r="P1155" s="87">
        <f t="shared" si="109"/>
        <v>0.12536988290823273</v>
      </c>
      <c r="Q1155" s="87">
        <f t="shared" si="110"/>
        <v>0.3801579377325951</v>
      </c>
    </row>
    <row r="1156" spans="1:17">
      <c r="A1156" s="83">
        <v>1189</v>
      </c>
      <c r="B1156" s="83" t="s">
        <v>427</v>
      </c>
      <c r="C1156" s="83" t="s">
        <v>21</v>
      </c>
      <c r="D1156" s="84">
        <v>42428</v>
      </c>
      <c r="E1156" s="85">
        <f t="shared" si="108"/>
        <v>2016</v>
      </c>
      <c r="F1156" s="86">
        <v>5607000000</v>
      </c>
      <c r="G1156" s="86">
        <v>3482100000</v>
      </c>
      <c r="H1156" s="86">
        <v>1399500000</v>
      </c>
      <c r="I1156" s="86">
        <v>0</v>
      </c>
      <c r="J1156" s="86">
        <v>0</v>
      </c>
      <c r="K1156" s="83" t="s">
        <v>25</v>
      </c>
      <c r="L1156" s="83" t="s">
        <v>428</v>
      </c>
      <c r="M1156" s="91">
        <f t="shared" si="111"/>
        <v>2124900000</v>
      </c>
      <c r="N1156" s="86">
        <f t="shared" si="112"/>
        <v>1399500000</v>
      </c>
      <c r="O1156" s="86">
        <f t="shared" si="113"/>
        <v>725400000</v>
      </c>
      <c r="P1156" s="83">
        <f t="shared" si="109"/>
        <v>0.12937399678972714</v>
      </c>
      <c r="Q1156" s="83">
        <f t="shared" si="110"/>
        <v>0.37897271268057786</v>
      </c>
    </row>
    <row r="1157" spans="1:17">
      <c r="A1157" s="87">
        <v>1190</v>
      </c>
      <c r="B1157" s="87" t="s">
        <v>427</v>
      </c>
      <c r="C1157" s="87" t="s">
        <v>22</v>
      </c>
      <c r="D1157" s="84">
        <v>42429</v>
      </c>
      <c r="E1157" s="88">
        <f t="shared" si="108"/>
        <v>2016</v>
      </c>
      <c r="F1157" s="89">
        <v>5727000000</v>
      </c>
      <c r="G1157" s="89">
        <v>3523600000</v>
      </c>
      <c r="H1157" s="89">
        <v>1545900000</v>
      </c>
      <c r="I1157" s="89">
        <v>0</v>
      </c>
      <c r="J1157" s="89">
        <v>0</v>
      </c>
      <c r="K1157" s="87" t="s">
        <v>25</v>
      </c>
      <c r="L1157" s="87" t="s">
        <v>428</v>
      </c>
      <c r="M1157" s="90">
        <f t="shared" si="111"/>
        <v>2203400000</v>
      </c>
      <c r="N1157" s="89">
        <f t="shared" si="112"/>
        <v>1545900000</v>
      </c>
      <c r="O1157" s="89">
        <f t="shared" si="113"/>
        <v>657500000</v>
      </c>
      <c r="P1157" s="87">
        <f t="shared" si="109"/>
        <v>0.11480705430417322</v>
      </c>
      <c r="Q1157" s="87">
        <f t="shared" si="110"/>
        <v>0.3847389558232932</v>
      </c>
    </row>
    <row r="1158" spans="1:17">
      <c r="A1158" s="83">
        <v>1191</v>
      </c>
      <c r="B1158" s="83" t="s">
        <v>427</v>
      </c>
      <c r="C1158" s="83" t="s">
        <v>23</v>
      </c>
      <c r="D1158" s="84">
        <v>42430</v>
      </c>
      <c r="E1158" s="85">
        <f t="shared" si="108"/>
        <v>2016</v>
      </c>
      <c r="F1158" s="86">
        <v>5915700000</v>
      </c>
      <c r="G1158" s="86">
        <v>3611100000</v>
      </c>
      <c r="H1158" s="86">
        <v>1626000000</v>
      </c>
      <c r="I1158" s="86">
        <v>0</v>
      </c>
      <c r="J1158" s="86">
        <v>0</v>
      </c>
      <c r="K1158" s="83" t="s">
        <v>25</v>
      </c>
      <c r="L1158" s="83" t="s">
        <v>428</v>
      </c>
      <c r="M1158" s="91">
        <f t="shared" si="111"/>
        <v>2304600000</v>
      </c>
      <c r="N1158" s="86">
        <f t="shared" si="112"/>
        <v>1626000000</v>
      </c>
      <c r="O1158" s="86">
        <f t="shared" si="113"/>
        <v>678600000</v>
      </c>
      <c r="P1158" s="83">
        <f t="shared" si="109"/>
        <v>0.11471169937623611</v>
      </c>
      <c r="Q1158" s="83">
        <f t="shared" si="110"/>
        <v>0.38957350778437039</v>
      </c>
    </row>
    <row r="1159" spans="1:17">
      <c r="A1159" s="87">
        <v>1200</v>
      </c>
      <c r="B1159" s="87" t="s">
        <v>429</v>
      </c>
      <c r="C1159" s="87" t="s">
        <v>18</v>
      </c>
      <c r="D1159" s="84">
        <v>42431</v>
      </c>
      <c r="E1159" s="88">
        <f t="shared" si="108"/>
        <v>2016</v>
      </c>
      <c r="F1159" s="89">
        <v>484581000</v>
      </c>
      <c r="G1159" s="89">
        <v>21306000</v>
      </c>
      <c r="H1159" s="89">
        <v>38123000</v>
      </c>
      <c r="I1159" s="89">
        <v>0</v>
      </c>
      <c r="J1159" s="89">
        <v>147515000</v>
      </c>
      <c r="K1159" s="87" t="s">
        <v>58</v>
      </c>
      <c r="L1159" s="87" t="s">
        <v>271</v>
      </c>
      <c r="M1159" s="90">
        <f t="shared" si="111"/>
        <v>463275000</v>
      </c>
      <c r="N1159" s="89">
        <f t="shared" si="112"/>
        <v>185638000</v>
      </c>
      <c r="O1159" s="89">
        <f t="shared" si="113"/>
        <v>277637000</v>
      </c>
      <c r="P1159" s="87">
        <f t="shared" si="109"/>
        <v>0.57294239765900845</v>
      </c>
      <c r="Q1159" s="87">
        <f t="shared" si="110"/>
        <v>0.95603211846935809</v>
      </c>
    </row>
    <row r="1160" spans="1:17">
      <c r="A1160" s="83">
        <v>1201</v>
      </c>
      <c r="B1160" s="83" t="s">
        <v>429</v>
      </c>
      <c r="C1160" s="83" t="s">
        <v>21</v>
      </c>
      <c r="D1160" s="84">
        <v>42432</v>
      </c>
      <c r="E1160" s="85">
        <f t="shared" si="108"/>
        <v>2016</v>
      </c>
      <c r="F1160" s="86">
        <v>780209000</v>
      </c>
      <c r="G1160" s="86">
        <v>38851000</v>
      </c>
      <c r="H1160" s="86">
        <v>56881000</v>
      </c>
      <c r="I1160" s="86">
        <v>0</v>
      </c>
      <c r="J1160" s="86">
        <v>306769000</v>
      </c>
      <c r="K1160" s="83" t="s">
        <v>58</v>
      </c>
      <c r="L1160" s="83" t="s">
        <v>271</v>
      </c>
      <c r="M1160" s="91">
        <f t="shared" si="111"/>
        <v>741358000</v>
      </c>
      <c r="N1160" s="86">
        <f t="shared" si="112"/>
        <v>363650000</v>
      </c>
      <c r="O1160" s="86">
        <f t="shared" si="113"/>
        <v>377708000</v>
      </c>
      <c r="P1160" s="83">
        <f t="shared" si="109"/>
        <v>0.48411130863653201</v>
      </c>
      <c r="Q1160" s="83">
        <f t="shared" si="110"/>
        <v>0.95020436831669464</v>
      </c>
    </row>
    <row r="1161" spans="1:17">
      <c r="A1161" s="87">
        <v>1202</v>
      </c>
      <c r="B1161" s="87" t="s">
        <v>429</v>
      </c>
      <c r="C1161" s="87" t="s">
        <v>22</v>
      </c>
      <c r="D1161" s="84">
        <v>42433</v>
      </c>
      <c r="E1161" s="88">
        <f t="shared" si="108"/>
        <v>2016</v>
      </c>
      <c r="F1161" s="89">
        <v>933505000</v>
      </c>
      <c r="G1161" s="89">
        <v>53871000</v>
      </c>
      <c r="H1161" s="89">
        <v>51085000</v>
      </c>
      <c r="I1161" s="89">
        <v>0</v>
      </c>
      <c r="J1161" s="89">
        <v>374661000</v>
      </c>
      <c r="K1161" s="87" t="s">
        <v>58</v>
      </c>
      <c r="L1161" s="87" t="s">
        <v>271</v>
      </c>
      <c r="M1161" s="90">
        <f t="shared" si="111"/>
        <v>879634000</v>
      </c>
      <c r="N1161" s="89">
        <f t="shared" si="112"/>
        <v>425746000</v>
      </c>
      <c r="O1161" s="89">
        <f t="shared" si="113"/>
        <v>453888000</v>
      </c>
      <c r="P1161" s="87">
        <f t="shared" si="109"/>
        <v>0.48621914183641224</v>
      </c>
      <c r="Q1161" s="87">
        <f t="shared" si="110"/>
        <v>0.94229168563639187</v>
      </c>
    </row>
    <row r="1162" spans="1:17">
      <c r="A1162" s="83">
        <v>1203</v>
      </c>
      <c r="B1162" s="83" t="s">
        <v>429</v>
      </c>
      <c r="C1162" s="83" t="s">
        <v>23</v>
      </c>
      <c r="D1162" s="84">
        <v>42434</v>
      </c>
      <c r="E1162" s="85">
        <f t="shared" si="108"/>
        <v>2016</v>
      </c>
      <c r="F1162" s="86">
        <v>1023285000</v>
      </c>
      <c r="G1162" s="86">
        <v>55352000</v>
      </c>
      <c r="H1162" s="86">
        <v>49298000</v>
      </c>
      <c r="I1162" s="86">
        <v>0</v>
      </c>
      <c r="J1162" s="86">
        <v>409215000</v>
      </c>
      <c r="K1162" s="83" t="s">
        <v>58</v>
      </c>
      <c r="L1162" s="83" t="s">
        <v>271</v>
      </c>
      <c r="M1162" s="91">
        <f t="shared" si="111"/>
        <v>967933000</v>
      </c>
      <c r="N1162" s="86">
        <f t="shared" si="112"/>
        <v>458513000</v>
      </c>
      <c r="O1162" s="86">
        <f t="shared" si="113"/>
        <v>509420000</v>
      </c>
      <c r="P1162" s="83">
        <f t="shared" si="109"/>
        <v>0.4978280733129089</v>
      </c>
      <c r="Q1162" s="83">
        <f t="shared" si="110"/>
        <v>0.94590754286440237</v>
      </c>
    </row>
    <row r="1163" spans="1:17">
      <c r="A1163" s="87">
        <v>1204</v>
      </c>
      <c r="B1163" s="87" t="s">
        <v>430</v>
      </c>
      <c r="C1163" s="87" t="s">
        <v>18</v>
      </c>
      <c r="D1163" s="84">
        <v>42435</v>
      </c>
      <c r="E1163" s="85">
        <f t="shared" si="108"/>
        <v>2016</v>
      </c>
      <c r="F1163" s="89">
        <v>10184121000</v>
      </c>
      <c r="G1163" s="89">
        <v>8540319000</v>
      </c>
      <c r="H1163" s="89">
        <v>491725000</v>
      </c>
      <c r="I1163" s="89">
        <v>0</v>
      </c>
      <c r="J1163" s="89">
        <v>205334000</v>
      </c>
      <c r="K1163" s="87" t="s">
        <v>89</v>
      </c>
      <c r="L1163" s="87" t="s">
        <v>90</v>
      </c>
      <c r="M1163" s="90">
        <f t="shared" si="111"/>
        <v>1643802000</v>
      </c>
      <c r="N1163" s="89">
        <f t="shared" si="112"/>
        <v>697059000</v>
      </c>
      <c r="O1163" s="89">
        <f t="shared" si="113"/>
        <v>946743000</v>
      </c>
      <c r="P1163" s="87">
        <f t="shared" si="109"/>
        <v>9.2962662167898433E-2</v>
      </c>
      <c r="Q1163" s="87">
        <f t="shared" si="110"/>
        <v>0.16140833362054519</v>
      </c>
    </row>
    <row r="1164" spans="1:17">
      <c r="A1164" s="83">
        <v>1205</v>
      </c>
      <c r="B1164" s="83" t="s">
        <v>430</v>
      </c>
      <c r="C1164" s="83" t="s">
        <v>21</v>
      </c>
      <c r="D1164" s="84">
        <v>42436</v>
      </c>
      <c r="E1164" s="85">
        <f t="shared" si="108"/>
        <v>2016</v>
      </c>
      <c r="F1164" s="86">
        <v>11871879000</v>
      </c>
      <c r="G1164" s="86">
        <v>10222213000</v>
      </c>
      <c r="H1164" s="86">
        <v>541586000</v>
      </c>
      <c r="I1164" s="86">
        <v>0</v>
      </c>
      <c r="J1164" s="86">
        <v>239343000</v>
      </c>
      <c r="K1164" s="83" t="s">
        <v>89</v>
      </c>
      <c r="L1164" s="83" t="s">
        <v>90</v>
      </c>
      <c r="M1164" s="91">
        <f t="shared" si="111"/>
        <v>1649666000</v>
      </c>
      <c r="N1164" s="86">
        <f t="shared" si="112"/>
        <v>780929000</v>
      </c>
      <c r="O1164" s="86">
        <f t="shared" si="113"/>
        <v>868737000</v>
      </c>
      <c r="P1164" s="83">
        <f t="shared" si="109"/>
        <v>7.3176032201810681E-2</v>
      </c>
      <c r="Q1164" s="83">
        <f t="shared" si="110"/>
        <v>0.13895576260506026</v>
      </c>
    </row>
    <row r="1165" spans="1:17">
      <c r="A1165" s="87">
        <v>1206</v>
      </c>
      <c r="B1165" s="87" t="s">
        <v>430</v>
      </c>
      <c r="C1165" s="87" t="s">
        <v>22</v>
      </c>
      <c r="D1165" s="84">
        <v>42437</v>
      </c>
      <c r="E1165" s="85">
        <f t="shared" si="108"/>
        <v>2016</v>
      </c>
      <c r="F1165" s="89">
        <v>12195091000</v>
      </c>
      <c r="G1165" s="89">
        <v>10088548000</v>
      </c>
      <c r="H1165" s="89">
        <v>674887000</v>
      </c>
      <c r="I1165" s="89">
        <v>0</v>
      </c>
      <c r="J1165" s="89">
        <v>294684000</v>
      </c>
      <c r="K1165" s="87" t="s">
        <v>89</v>
      </c>
      <c r="L1165" s="87" t="s">
        <v>90</v>
      </c>
      <c r="M1165" s="90">
        <f t="shared" si="111"/>
        <v>2106543000</v>
      </c>
      <c r="N1165" s="89">
        <f t="shared" si="112"/>
        <v>969571000</v>
      </c>
      <c r="O1165" s="89">
        <f t="shared" si="113"/>
        <v>1136972000</v>
      </c>
      <c r="P1165" s="87">
        <f t="shared" si="109"/>
        <v>9.3231940622665294E-2</v>
      </c>
      <c r="Q1165" s="87">
        <f t="shared" si="110"/>
        <v>0.17273696440641562</v>
      </c>
    </row>
    <row r="1166" spans="1:17">
      <c r="A1166" s="83">
        <v>1207</v>
      </c>
      <c r="B1166" s="83" t="s">
        <v>430</v>
      </c>
      <c r="C1166" s="83" t="s">
        <v>23</v>
      </c>
      <c r="D1166" s="84">
        <v>42438</v>
      </c>
      <c r="E1166" s="85">
        <f t="shared" si="108"/>
        <v>2016</v>
      </c>
      <c r="F1166" s="86">
        <v>7763206000</v>
      </c>
      <c r="G1166" s="86">
        <v>5641052000</v>
      </c>
      <c r="H1166" s="86">
        <v>693331000</v>
      </c>
      <c r="I1166" s="86">
        <v>0</v>
      </c>
      <c r="J1166" s="86">
        <v>354620000</v>
      </c>
      <c r="K1166" s="83" t="s">
        <v>89</v>
      </c>
      <c r="L1166" s="83" t="s">
        <v>90</v>
      </c>
      <c r="M1166" s="91">
        <f t="shared" si="111"/>
        <v>2122154000</v>
      </c>
      <c r="N1166" s="86">
        <f t="shared" si="112"/>
        <v>1047951000</v>
      </c>
      <c r="O1166" s="86">
        <f t="shared" si="113"/>
        <v>1074203000</v>
      </c>
      <c r="P1166" s="83">
        <f t="shared" si="109"/>
        <v>0.13837105443292372</v>
      </c>
      <c r="Q1166" s="83">
        <f t="shared" si="110"/>
        <v>0.27336051626093649</v>
      </c>
    </row>
    <row r="1167" spans="1:17">
      <c r="A1167" s="87">
        <v>1209</v>
      </c>
      <c r="B1167" s="87" t="s">
        <v>431</v>
      </c>
      <c r="C1167" s="87" t="s">
        <v>18</v>
      </c>
      <c r="D1167" s="84">
        <v>42439</v>
      </c>
      <c r="E1167" s="88">
        <f t="shared" si="108"/>
        <v>2016</v>
      </c>
      <c r="F1167" s="89">
        <v>15317800000</v>
      </c>
      <c r="G1167" s="89">
        <v>12602100000</v>
      </c>
      <c r="H1167" s="89">
        <v>477200000</v>
      </c>
      <c r="I1167" s="89">
        <v>0</v>
      </c>
      <c r="J1167" s="89">
        <v>294400000</v>
      </c>
      <c r="K1167" s="87" t="s">
        <v>25</v>
      </c>
      <c r="L1167" s="87" t="s">
        <v>329</v>
      </c>
      <c r="M1167" s="90">
        <f t="shared" si="111"/>
        <v>2715700000</v>
      </c>
      <c r="N1167" s="89">
        <f t="shared" si="112"/>
        <v>771600000</v>
      </c>
      <c r="O1167" s="89">
        <f t="shared" si="113"/>
        <v>1944100000</v>
      </c>
      <c r="P1167" s="87">
        <f t="shared" si="109"/>
        <v>0.12691770358667695</v>
      </c>
      <c r="Q1167" s="87">
        <f t="shared" si="110"/>
        <v>0.17729047252216379</v>
      </c>
    </row>
    <row r="1168" spans="1:17">
      <c r="A1168" s="83">
        <v>1210</v>
      </c>
      <c r="B1168" s="83" t="s">
        <v>431</v>
      </c>
      <c r="C1168" s="83" t="s">
        <v>21</v>
      </c>
      <c r="D1168" s="84">
        <v>42440</v>
      </c>
      <c r="E1168" s="85">
        <f t="shared" si="108"/>
        <v>2016</v>
      </c>
      <c r="F1168" s="86">
        <v>15134400000</v>
      </c>
      <c r="G1168" s="86">
        <v>12491400000</v>
      </c>
      <c r="H1168" s="86">
        <v>431800000</v>
      </c>
      <c r="I1168" s="86">
        <v>0</v>
      </c>
      <c r="J1168" s="86">
        <v>291100000</v>
      </c>
      <c r="K1168" s="83" t="s">
        <v>25</v>
      </c>
      <c r="L1168" s="83" t="s">
        <v>329</v>
      </c>
      <c r="M1168" s="91">
        <f t="shared" si="111"/>
        <v>2643000000</v>
      </c>
      <c r="N1168" s="86">
        <f t="shared" si="112"/>
        <v>722900000</v>
      </c>
      <c r="O1168" s="86">
        <f t="shared" si="113"/>
        <v>1920100000</v>
      </c>
      <c r="P1168" s="83">
        <f t="shared" si="109"/>
        <v>0.12686991225288086</v>
      </c>
      <c r="Q1168" s="83">
        <f t="shared" si="110"/>
        <v>0.17463526799873141</v>
      </c>
    </row>
    <row r="1169" spans="1:17">
      <c r="A1169" s="87">
        <v>1211</v>
      </c>
      <c r="B1169" s="87" t="s">
        <v>431</v>
      </c>
      <c r="C1169" s="87" t="s">
        <v>22</v>
      </c>
      <c r="D1169" s="84">
        <v>42441</v>
      </c>
      <c r="E1169" s="88">
        <f t="shared" si="108"/>
        <v>2016</v>
      </c>
      <c r="F1169" s="89">
        <v>15416900000</v>
      </c>
      <c r="G1169" s="89">
        <v>12671200000</v>
      </c>
      <c r="H1169" s="89">
        <v>443900000</v>
      </c>
      <c r="I1169" s="89">
        <v>0</v>
      </c>
      <c r="J1169" s="89">
        <v>292900000</v>
      </c>
      <c r="K1169" s="87" t="s">
        <v>25</v>
      </c>
      <c r="L1169" s="87" t="s">
        <v>329</v>
      </c>
      <c r="M1169" s="90">
        <f t="shared" si="111"/>
        <v>2745700000</v>
      </c>
      <c r="N1169" s="89">
        <f t="shared" si="112"/>
        <v>736800000</v>
      </c>
      <c r="O1169" s="89">
        <f t="shared" si="113"/>
        <v>2008900000</v>
      </c>
      <c r="P1169" s="87">
        <f t="shared" si="109"/>
        <v>0.1303050548424132</v>
      </c>
      <c r="Q1169" s="87">
        <f t="shared" si="110"/>
        <v>0.17809676394087004</v>
      </c>
    </row>
    <row r="1170" spans="1:17">
      <c r="A1170" s="83">
        <v>1212</v>
      </c>
      <c r="B1170" s="83" t="s">
        <v>432</v>
      </c>
      <c r="C1170" s="83" t="s">
        <v>18</v>
      </c>
      <c r="D1170" s="84">
        <v>42442</v>
      </c>
      <c r="E1170" s="85">
        <f t="shared" si="108"/>
        <v>2016</v>
      </c>
      <c r="F1170" s="86">
        <v>6182184000</v>
      </c>
      <c r="G1170" s="86">
        <v>3084766000</v>
      </c>
      <c r="H1170" s="86">
        <v>2120025000</v>
      </c>
      <c r="I1170" s="86">
        <v>0</v>
      </c>
      <c r="J1170" s="86">
        <v>0</v>
      </c>
      <c r="K1170" s="83" t="s">
        <v>25</v>
      </c>
      <c r="L1170" s="83" t="s">
        <v>85</v>
      </c>
      <c r="M1170" s="91">
        <f t="shared" si="111"/>
        <v>3097418000</v>
      </c>
      <c r="N1170" s="86">
        <f t="shared" si="112"/>
        <v>2120025000</v>
      </c>
      <c r="O1170" s="86">
        <f t="shared" si="113"/>
        <v>977393000</v>
      </c>
      <c r="P1170" s="83">
        <f t="shared" si="109"/>
        <v>0.15809833547497129</v>
      </c>
      <c r="Q1170" s="83">
        <f t="shared" si="110"/>
        <v>0.50102326297632027</v>
      </c>
    </row>
    <row r="1171" spans="1:17">
      <c r="A1171" s="87">
        <v>1213</v>
      </c>
      <c r="B1171" s="87" t="s">
        <v>432</v>
      </c>
      <c r="C1171" s="87" t="s">
        <v>21</v>
      </c>
      <c r="D1171" s="84">
        <v>42443</v>
      </c>
      <c r="E1171" s="88">
        <f t="shared" si="108"/>
        <v>2016</v>
      </c>
      <c r="F1171" s="89">
        <v>6649237000</v>
      </c>
      <c r="G1171" s="89">
        <v>3280236000</v>
      </c>
      <c r="H1171" s="89">
        <v>2265516000</v>
      </c>
      <c r="I1171" s="89">
        <v>0</v>
      </c>
      <c r="J1171" s="89">
        <v>0</v>
      </c>
      <c r="K1171" s="87" t="s">
        <v>25</v>
      </c>
      <c r="L1171" s="87" t="s">
        <v>85</v>
      </c>
      <c r="M1171" s="90">
        <f t="shared" si="111"/>
        <v>3369001000</v>
      </c>
      <c r="N1171" s="89">
        <f t="shared" si="112"/>
        <v>2265516000</v>
      </c>
      <c r="O1171" s="89">
        <f t="shared" si="113"/>
        <v>1103485000</v>
      </c>
      <c r="P1171" s="87">
        <f t="shared" si="109"/>
        <v>0.16595663532522603</v>
      </c>
      <c r="Q1171" s="87">
        <f t="shared" si="110"/>
        <v>0.50667482599883262</v>
      </c>
    </row>
    <row r="1172" spans="1:17">
      <c r="A1172" s="83">
        <v>1214</v>
      </c>
      <c r="B1172" s="83" t="s">
        <v>432</v>
      </c>
      <c r="C1172" s="83" t="s">
        <v>22</v>
      </c>
      <c r="D1172" s="84">
        <v>42444</v>
      </c>
      <c r="E1172" s="85">
        <f t="shared" si="108"/>
        <v>2016</v>
      </c>
      <c r="F1172" s="86">
        <v>7216081000</v>
      </c>
      <c r="G1172" s="86">
        <v>3507180000</v>
      </c>
      <c r="H1172" s="86">
        <v>2438527000</v>
      </c>
      <c r="I1172" s="86">
        <v>0</v>
      </c>
      <c r="J1172" s="86">
        <v>0</v>
      </c>
      <c r="K1172" s="83" t="s">
        <v>25</v>
      </c>
      <c r="L1172" s="83" t="s">
        <v>85</v>
      </c>
      <c r="M1172" s="91">
        <f t="shared" si="111"/>
        <v>3708901000</v>
      </c>
      <c r="N1172" s="86">
        <f t="shared" si="112"/>
        <v>2438527000</v>
      </c>
      <c r="O1172" s="86">
        <f t="shared" si="113"/>
        <v>1270374000</v>
      </c>
      <c r="P1172" s="83">
        <f t="shared" si="109"/>
        <v>0.17604763582892155</v>
      </c>
      <c r="Q1172" s="83">
        <f t="shared" si="110"/>
        <v>0.51397718512306056</v>
      </c>
    </row>
    <row r="1173" spans="1:17">
      <c r="A1173" s="87">
        <v>1215</v>
      </c>
      <c r="B1173" s="87" t="s">
        <v>432</v>
      </c>
      <c r="C1173" s="87" t="s">
        <v>23</v>
      </c>
      <c r="D1173" s="84">
        <v>42445</v>
      </c>
      <c r="E1173" s="88">
        <f t="shared" si="108"/>
        <v>2016</v>
      </c>
      <c r="F1173" s="89">
        <v>7966674000</v>
      </c>
      <c r="G1173" s="89">
        <v>3804031000</v>
      </c>
      <c r="H1173" s="89">
        <v>2648622000</v>
      </c>
      <c r="I1173" s="89">
        <v>0</v>
      </c>
      <c r="J1173" s="89">
        <v>0</v>
      </c>
      <c r="K1173" s="87" t="s">
        <v>25</v>
      </c>
      <c r="L1173" s="87" t="s">
        <v>85</v>
      </c>
      <c r="M1173" s="90">
        <f t="shared" si="111"/>
        <v>4162643000</v>
      </c>
      <c r="N1173" s="89">
        <f t="shared" si="112"/>
        <v>2648622000</v>
      </c>
      <c r="O1173" s="89">
        <f t="shared" si="113"/>
        <v>1514021000</v>
      </c>
      <c r="P1173" s="87">
        <f t="shared" si="109"/>
        <v>0.19004430205127007</v>
      </c>
      <c r="Q1173" s="87">
        <f t="shared" si="110"/>
        <v>0.52250700857095445</v>
      </c>
    </row>
    <row r="1174" spans="1:17">
      <c r="A1174" s="83">
        <v>1216</v>
      </c>
      <c r="B1174" s="83" t="s">
        <v>433</v>
      </c>
      <c r="C1174" s="83" t="s">
        <v>18</v>
      </c>
      <c r="D1174" s="84">
        <v>42446</v>
      </c>
      <c r="E1174" s="85">
        <f t="shared" si="108"/>
        <v>2016</v>
      </c>
      <c r="F1174" s="86">
        <v>20100000000</v>
      </c>
      <c r="G1174" s="86">
        <v>6530000000</v>
      </c>
      <c r="H1174" s="86">
        <v>1879000000</v>
      </c>
      <c r="I1174" s="86">
        <v>0</v>
      </c>
      <c r="J1174" s="86">
        <v>3585000000</v>
      </c>
      <c r="K1174" s="83" t="s">
        <v>89</v>
      </c>
      <c r="L1174" s="83" t="s">
        <v>90</v>
      </c>
      <c r="M1174" s="91">
        <f t="shared" si="111"/>
        <v>13570000000</v>
      </c>
      <c r="N1174" s="86">
        <f t="shared" si="112"/>
        <v>5464000000</v>
      </c>
      <c r="O1174" s="86">
        <f t="shared" si="113"/>
        <v>8106000000</v>
      </c>
      <c r="P1174" s="83">
        <f t="shared" si="109"/>
        <v>0.40328358208955223</v>
      </c>
      <c r="Q1174" s="83">
        <f t="shared" si="110"/>
        <v>0.67512437810945269</v>
      </c>
    </row>
    <row r="1175" spans="1:17">
      <c r="A1175" s="87">
        <v>1217</v>
      </c>
      <c r="B1175" s="87" t="s">
        <v>433</v>
      </c>
      <c r="C1175" s="87" t="s">
        <v>21</v>
      </c>
      <c r="D1175" s="84">
        <v>42447</v>
      </c>
      <c r="E1175" s="85">
        <f t="shared" si="108"/>
        <v>2016</v>
      </c>
      <c r="F1175" s="89">
        <v>20170000000</v>
      </c>
      <c r="G1175" s="89">
        <v>6497000000</v>
      </c>
      <c r="H1175" s="89">
        <v>2108000000</v>
      </c>
      <c r="I1175" s="89">
        <v>0</v>
      </c>
      <c r="J1175" s="89">
        <v>4203000000</v>
      </c>
      <c r="K1175" s="87" t="s">
        <v>89</v>
      </c>
      <c r="L1175" s="87" t="s">
        <v>90</v>
      </c>
      <c r="M1175" s="90">
        <f t="shared" si="111"/>
        <v>13673000000</v>
      </c>
      <c r="N1175" s="89">
        <f t="shared" si="112"/>
        <v>6311000000</v>
      </c>
      <c r="O1175" s="89">
        <f t="shared" si="113"/>
        <v>7362000000</v>
      </c>
      <c r="P1175" s="87">
        <f t="shared" si="109"/>
        <v>0.36499752107089739</v>
      </c>
      <c r="Q1175" s="87">
        <f t="shared" si="110"/>
        <v>0.67788795240456123</v>
      </c>
    </row>
    <row r="1176" spans="1:17">
      <c r="A1176" s="83">
        <v>1218</v>
      </c>
      <c r="B1176" s="83" t="s">
        <v>433</v>
      </c>
      <c r="C1176" s="83" t="s">
        <v>22</v>
      </c>
      <c r="D1176" s="84">
        <v>42448</v>
      </c>
      <c r="E1176" s="85">
        <f t="shared" si="108"/>
        <v>2016</v>
      </c>
      <c r="F1176" s="86">
        <v>19312000000</v>
      </c>
      <c r="G1176" s="86">
        <v>6803000000</v>
      </c>
      <c r="H1176" s="86">
        <v>2053000000</v>
      </c>
      <c r="I1176" s="86">
        <v>0</v>
      </c>
      <c r="J1176" s="86">
        <v>4261000000</v>
      </c>
      <c r="K1176" s="83" t="s">
        <v>89</v>
      </c>
      <c r="L1176" s="83" t="s">
        <v>90</v>
      </c>
      <c r="M1176" s="91">
        <f t="shared" si="111"/>
        <v>12509000000</v>
      </c>
      <c r="N1176" s="86">
        <f t="shared" si="112"/>
        <v>6314000000</v>
      </c>
      <c r="O1176" s="86">
        <f t="shared" si="113"/>
        <v>6195000000</v>
      </c>
      <c r="P1176" s="83">
        <f t="shared" si="109"/>
        <v>0.32078500414250205</v>
      </c>
      <c r="Q1176" s="83">
        <f t="shared" si="110"/>
        <v>0.64773198011598998</v>
      </c>
    </row>
    <row r="1177" spans="1:17">
      <c r="A1177" s="87">
        <v>1219</v>
      </c>
      <c r="B1177" s="87" t="s">
        <v>433</v>
      </c>
      <c r="C1177" s="87" t="s">
        <v>23</v>
      </c>
      <c r="D1177" s="84">
        <v>42449</v>
      </c>
      <c r="E1177" s="85">
        <f t="shared" si="108"/>
        <v>2016</v>
      </c>
      <c r="F1177" s="89">
        <v>12480000000</v>
      </c>
      <c r="G1177" s="89">
        <v>5804000000</v>
      </c>
      <c r="H1177" s="89">
        <v>1613000000</v>
      </c>
      <c r="I1177" s="89">
        <v>0</v>
      </c>
      <c r="J1177" s="89">
        <v>4544000000</v>
      </c>
      <c r="K1177" s="87" t="s">
        <v>89</v>
      </c>
      <c r="L1177" s="87" t="s">
        <v>90</v>
      </c>
      <c r="M1177" s="90">
        <f t="shared" si="111"/>
        <v>6676000000</v>
      </c>
      <c r="N1177" s="89">
        <f t="shared" si="112"/>
        <v>6157000000</v>
      </c>
      <c r="O1177" s="89">
        <f t="shared" si="113"/>
        <v>519000000</v>
      </c>
      <c r="P1177" s="87">
        <f t="shared" si="109"/>
        <v>4.158653846153846E-2</v>
      </c>
      <c r="Q1177" s="87">
        <f t="shared" si="110"/>
        <v>0.53493589743589742</v>
      </c>
    </row>
    <row r="1178" spans="1:17">
      <c r="A1178" s="83">
        <v>1224</v>
      </c>
      <c r="B1178" s="83" t="s">
        <v>434</v>
      </c>
      <c r="C1178" s="83" t="s">
        <v>18</v>
      </c>
      <c r="D1178" s="84">
        <v>42450</v>
      </c>
      <c r="E1178" s="85">
        <f t="shared" si="108"/>
        <v>2016</v>
      </c>
      <c r="F1178" s="86">
        <v>1355300000</v>
      </c>
      <c r="G1178" s="86">
        <v>90800000</v>
      </c>
      <c r="H1178" s="86">
        <v>803800000</v>
      </c>
      <c r="I1178" s="86">
        <v>0</v>
      </c>
      <c r="J1178" s="86">
        <v>76000000</v>
      </c>
      <c r="K1178" s="83" t="s">
        <v>53</v>
      </c>
      <c r="L1178" s="83" t="s">
        <v>435</v>
      </c>
      <c r="M1178" s="91">
        <f t="shared" si="111"/>
        <v>1264500000</v>
      </c>
      <c r="N1178" s="86">
        <f t="shared" si="112"/>
        <v>879800000</v>
      </c>
      <c r="O1178" s="86">
        <f t="shared" si="113"/>
        <v>384700000</v>
      </c>
      <c r="P1178" s="83">
        <f t="shared" si="109"/>
        <v>0.28384859440714233</v>
      </c>
      <c r="Q1178" s="83">
        <f t="shared" si="110"/>
        <v>0.93300376300450083</v>
      </c>
    </row>
    <row r="1179" spans="1:17">
      <c r="A1179" s="87">
        <v>1225</v>
      </c>
      <c r="B1179" s="87" t="s">
        <v>434</v>
      </c>
      <c r="C1179" s="87" t="s">
        <v>21</v>
      </c>
      <c r="D1179" s="84">
        <v>42451</v>
      </c>
      <c r="E1179" s="88">
        <f t="shared" si="108"/>
        <v>2016</v>
      </c>
      <c r="F1179" s="89">
        <v>1346100000</v>
      </c>
      <c r="G1179" s="89">
        <v>81100000</v>
      </c>
      <c r="H1179" s="89">
        <v>812800000</v>
      </c>
      <c r="I1179" s="89">
        <v>0</v>
      </c>
      <c r="J1179" s="89">
        <v>69900000</v>
      </c>
      <c r="K1179" s="87" t="s">
        <v>53</v>
      </c>
      <c r="L1179" s="87" t="s">
        <v>435</v>
      </c>
      <c r="M1179" s="90">
        <f t="shared" si="111"/>
        <v>1265000000</v>
      </c>
      <c r="N1179" s="89">
        <f t="shared" si="112"/>
        <v>882700000</v>
      </c>
      <c r="O1179" s="89">
        <f t="shared" si="113"/>
        <v>382300000</v>
      </c>
      <c r="P1179" s="87">
        <f t="shared" si="109"/>
        <v>0.28400564594012334</v>
      </c>
      <c r="Q1179" s="87">
        <f t="shared" si="110"/>
        <v>0.93975187578931729</v>
      </c>
    </row>
    <row r="1180" spans="1:17">
      <c r="A1180" s="83">
        <v>1226</v>
      </c>
      <c r="B1180" s="83" t="s">
        <v>434</v>
      </c>
      <c r="C1180" s="83" t="s">
        <v>22</v>
      </c>
      <c r="D1180" s="84">
        <v>42452</v>
      </c>
      <c r="E1180" s="85">
        <f t="shared" si="108"/>
        <v>2016</v>
      </c>
      <c r="F1180" s="86">
        <v>1381400000</v>
      </c>
      <c r="G1180" s="86">
        <v>80900000</v>
      </c>
      <c r="H1180" s="86">
        <v>816700000</v>
      </c>
      <c r="I1180" s="86">
        <v>0</v>
      </c>
      <c r="J1180" s="86">
        <v>65400000</v>
      </c>
      <c r="K1180" s="83" t="s">
        <v>53</v>
      </c>
      <c r="L1180" s="83" t="s">
        <v>435</v>
      </c>
      <c r="M1180" s="91">
        <f t="shared" si="111"/>
        <v>1300500000</v>
      </c>
      <c r="N1180" s="86">
        <f t="shared" si="112"/>
        <v>882100000</v>
      </c>
      <c r="O1180" s="86">
        <f t="shared" si="113"/>
        <v>418400000</v>
      </c>
      <c r="P1180" s="83">
        <f t="shared" si="109"/>
        <v>0.30288113508035325</v>
      </c>
      <c r="Q1180" s="83">
        <f t="shared" si="110"/>
        <v>0.94143622412045747</v>
      </c>
    </row>
    <row r="1181" spans="1:17">
      <c r="A1181" s="87">
        <v>1227</v>
      </c>
      <c r="B1181" s="87" t="s">
        <v>434</v>
      </c>
      <c r="C1181" s="87" t="s">
        <v>23</v>
      </c>
      <c r="D1181" s="84">
        <v>42453</v>
      </c>
      <c r="E1181" s="88">
        <f t="shared" si="108"/>
        <v>2016</v>
      </c>
      <c r="F1181" s="89">
        <v>1421300000</v>
      </c>
      <c r="G1181" s="89">
        <v>95500000</v>
      </c>
      <c r="H1181" s="89">
        <v>836700000</v>
      </c>
      <c r="I1181" s="89">
        <v>0</v>
      </c>
      <c r="J1181" s="89">
        <v>57300000</v>
      </c>
      <c r="K1181" s="87" t="s">
        <v>53</v>
      </c>
      <c r="L1181" s="87" t="s">
        <v>435</v>
      </c>
      <c r="M1181" s="90">
        <f t="shared" si="111"/>
        <v>1325800000</v>
      </c>
      <c r="N1181" s="89">
        <f t="shared" si="112"/>
        <v>894000000</v>
      </c>
      <c r="O1181" s="89">
        <f t="shared" si="113"/>
        <v>431800000</v>
      </c>
      <c r="P1181" s="87">
        <f t="shared" si="109"/>
        <v>0.30380637444592978</v>
      </c>
      <c r="Q1181" s="87">
        <f t="shared" si="110"/>
        <v>0.93280799268275527</v>
      </c>
    </row>
    <row r="1182" spans="1:17">
      <c r="A1182" s="83">
        <v>1228</v>
      </c>
      <c r="B1182" s="83" t="s">
        <v>436</v>
      </c>
      <c r="C1182" s="83" t="s">
        <v>18</v>
      </c>
      <c r="D1182" s="84">
        <v>42454</v>
      </c>
      <c r="E1182" s="85">
        <f t="shared" si="108"/>
        <v>2016</v>
      </c>
      <c r="F1182" s="86">
        <v>3823713000</v>
      </c>
      <c r="G1182" s="86">
        <v>1582398000</v>
      </c>
      <c r="H1182" s="86">
        <v>1489735000</v>
      </c>
      <c r="I1182" s="86">
        <v>114250000</v>
      </c>
      <c r="J1182" s="86">
        <v>0</v>
      </c>
      <c r="K1182" s="83" t="s">
        <v>19</v>
      </c>
      <c r="L1182" s="83" t="s">
        <v>437</v>
      </c>
      <c r="M1182" s="91">
        <f t="shared" si="111"/>
        <v>2241315000</v>
      </c>
      <c r="N1182" s="86">
        <f t="shared" si="112"/>
        <v>1603985000</v>
      </c>
      <c r="O1182" s="86">
        <f t="shared" si="113"/>
        <v>637330000</v>
      </c>
      <c r="P1182" s="83">
        <f t="shared" si="109"/>
        <v>0.16667830456940674</v>
      </c>
      <c r="Q1182" s="83">
        <f t="shared" si="110"/>
        <v>0.58616193213245871</v>
      </c>
    </row>
    <row r="1183" spans="1:17">
      <c r="A1183" s="87">
        <v>1229</v>
      </c>
      <c r="B1183" s="87" t="s">
        <v>436</v>
      </c>
      <c r="C1183" s="87" t="s">
        <v>21</v>
      </c>
      <c r="D1183" s="84">
        <v>42455</v>
      </c>
      <c r="E1183" s="88">
        <f t="shared" si="108"/>
        <v>2016</v>
      </c>
      <c r="F1183" s="89">
        <v>3791335000</v>
      </c>
      <c r="G1183" s="89">
        <v>1650622000</v>
      </c>
      <c r="H1183" s="89">
        <v>1420096000</v>
      </c>
      <c r="I1183" s="89">
        <v>110412000</v>
      </c>
      <c r="J1183" s="89">
        <v>0</v>
      </c>
      <c r="K1183" s="87" t="s">
        <v>19</v>
      </c>
      <c r="L1183" s="87" t="s">
        <v>437</v>
      </c>
      <c r="M1183" s="90">
        <f t="shared" si="111"/>
        <v>2140713000</v>
      </c>
      <c r="N1183" s="89">
        <f t="shared" si="112"/>
        <v>1530508000</v>
      </c>
      <c r="O1183" s="89">
        <f t="shared" si="113"/>
        <v>610205000</v>
      </c>
      <c r="P1183" s="87">
        <f t="shared" si="109"/>
        <v>0.16094726527727041</v>
      </c>
      <c r="Q1183" s="87">
        <f t="shared" si="110"/>
        <v>0.56463303823059685</v>
      </c>
    </row>
    <row r="1184" spans="1:17">
      <c r="A1184" s="83">
        <v>1230</v>
      </c>
      <c r="B1184" s="83" t="s">
        <v>436</v>
      </c>
      <c r="C1184" s="83" t="s">
        <v>22</v>
      </c>
      <c r="D1184" s="84">
        <v>42456</v>
      </c>
      <c r="E1184" s="85">
        <f t="shared" si="108"/>
        <v>2016</v>
      </c>
      <c r="F1184" s="86">
        <v>3821504000</v>
      </c>
      <c r="G1184" s="86">
        <v>1680791000</v>
      </c>
      <c r="H1184" s="86">
        <v>1378400000</v>
      </c>
      <c r="I1184" s="86">
        <v>109931000</v>
      </c>
      <c r="J1184" s="86">
        <v>0</v>
      </c>
      <c r="K1184" s="83" t="s">
        <v>19</v>
      </c>
      <c r="L1184" s="83" t="s">
        <v>437</v>
      </c>
      <c r="M1184" s="91">
        <f t="shared" si="111"/>
        <v>2140713000</v>
      </c>
      <c r="N1184" s="86">
        <f t="shared" si="112"/>
        <v>1488331000</v>
      </c>
      <c r="O1184" s="86">
        <f t="shared" si="113"/>
        <v>652382000</v>
      </c>
      <c r="P1184" s="83">
        <f t="shared" si="109"/>
        <v>0.17071341545108942</v>
      </c>
      <c r="Q1184" s="83">
        <f t="shared" si="110"/>
        <v>0.56017552251678926</v>
      </c>
    </row>
    <row r="1185" spans="1:17">
      <c r="A1185" s="87">
        <v>1231</v>
      </c>
      <c r="B1185" s="87" t="s">
        <v>436</v>
      </c>
      <c r="C1185" s="87" t="s">
        <v>23</v>
      </c>
      <c r="D1185" s="84">
        <v>42457</v>
      </c>
      <c r="E1185" s="88">
        <f t="shared" si="108"/>
        <v>2016</v>
      </c>
      <c r="F1185" s="89">
        <v>3578060000</v>
      </c>
      <c r="G1185" s="89">
        <v>1558591000</v>
      </c>
      <c r="H1185" s="89">
        <v>1279961000</v>
      </c>
      <c r="I1185" s="89">
        <v>110156000</v>
      </c>
      <c r="J1185" s="89">
        <v>0</v>
      </c>
      <c r="K1185" s="87" t="s">
        <v>19</v>
      </c>
      <c r="L1185" s="87" t="s">
        <v>437</v>
      </c>
      <c r="M1185" s="90">
        <f t="shared" si="111"/>
        <v>2019469000</v>
      </c>
      <c r="N1185" s="89">
        <f t="shared" si="112"/>
        <v>1390117000</v>
      </c>
      <c r="O1185" s="89">
        <f t="shared" si="113"/>
        <v>629352000</v>
      </c>
      <c r="P1185" s="87">
        <f t="shared" si="109"/>
        <v>0.17589196380161318</v>
      </c>
      <c r="Q1185" s="87">
        <f t="shared" si="110"/>
        <v>0.56440333588592706</v>
      </c>
    </row>
    <row r="1186" spans="1:17">
      <c r="A1186" s="83">
        <v>1232</v>
      </c>
      <c r="B1186" s="83" t="s">
        <v>438</v>
      </c>
      <c r="C1186" s="83" t="s">
        <v>18</v>
      </c>
      <c r="D1186" s="84">
        <v>42458</v>
      </c>
      <c r="E1186" s="85">
        <f t="shared" si="108"/>
        <v>2016</v>
      </c>
      <c r="F1186" s="86">
        <v>16596800000</v>
      </c>
      <c r="G1186" s="86">
        <v>13908300000</v>
      </c>
      <c r="H1186" s="86">
        <v>571600000</v>
      </c>
      <c r="I1186" s="86">
        <v>279300000</v>
      </c>
      <c r="J1186" s="86">
        <v>517400000</v>
      </c>
      <c r="K1186" s="83" t="s">
        <v>19</v>
      </c>
      <c r="L1186" s="83" t="s">
        <v>133</v>
      </c>
      <c r="M1186" s="91">
        <f t="shared" si="111"/>
        <v>2688500000</v>
      </c>
      <c r="N1186" s="86">
        <f t="shared" si="112"/>
        <v>1368300000</v>
      </c>
      <c r="O1186" s="86">
        <f t="shared" si="113"/>
        <v>1320200000</v>
      </c>
      <c r="P1186" s="83">
        <f t="shared" si="109"/>
        <v>7.9545454545454544E-2</v>
      </c>
      <c r="Q1186" s="83">
        <f t="shared" si="110"/>
        <v>0.16198905813168807</v>
      </c>
    </row>
    <row r="1187" spans="1:17">
      <c r="A1187" s="87">
        <v>1233</v>
      </c>
      <c r="B1187" s="87" t="s">
        <v>438</v>
      </c>
      <c r="C1187" s="87" t="s">
        <v>21</v>
      </c>
      <c r="D1187" s="84">
        <v>42459</v>
      </c>
      <c r="E1187" s="88">
        <f t="shared" si="108"/>
        <v>2016</v>
      </c>
      <c r="F1187" s="89">
        <v>16661000000</v>
      </c>
      <c r="G1187" s="89">
        <v>13900700000</v>
      </c>
      <c r="H1187" s="89">
        <v>559500000</v>
      </c>
      <c r="I1187" s="89">
        <v>251400000</v>
      </c>
      <c r="J1187" s="89">
        <v>571700000</v>
      </c>
      <c r="K1187" s="87" t="s">
        <v>19</v>
      </c>
      <c r="L1187" s="87" t="s">
        <v>133</v>
      </c>
      <c r="M1187" s="90">
        <f t="shared" si="111"/>
        <v>2760300000</v>
      </c>
      <c r="N1187" s="89">
        <f t="shared" si="112"/>
        <v>1382600000</v>
      </c>
      <c r="O1187" s="89">
        <f t="shared" si="113"/>
        <v>1377700000</v>
      </c>
      <c r="P1187" s="87">
        <f t="shared" si="109"/>
        <v>8.2690114638977255E-2</v>
      </c>
      <c r="Q1187" s="87">
        <f t="shared" si="110"/>
        <v>0.16567432927195247</v>
      </c>
    </row>
    <row r="1188" spans="1:17">
      <c r="A1188" s="83">
        <v>1234</v>
      </c>
      <c r="B1188" s="83" t="s">
        <v>438</v>
      </c>
      <c r="C1188" s="83" t="s">
        <v>22</v>
      </c>
      <c r="D1188" s="84">
        <v>42460</v>
      </c>
      <c r="E1188" s="85">
        <f t="shared" si="108"/>
        <v>2016</v>
      </c>
      <c r="F1188" s="86">
        <v>18534400000</v>
      </c>
      <c r="G1188" s="86">
        <v>15481600000</v>
      </c>
      <c r="H1188" s="86">
        <v>561400000</v>
      </c>
      <c r="I1188" s="86">
        <v>215600000</v>
      </c>
      <c r="J1188" s="86">
        <v>588500000</v>
      </c>
      <c r="K1188" s="83" t="s">
        <v>19</v>
      </c>
      <c r="L1188" s="83" t="s">
        <v>133</v>
      </c>
      <c r="M1188" s="91">
        <f t="shared" si="111"/>
        <v>3052800000</v>
      </c>
      <c r="N1188" s="86">
        <f t="shared" si="112"/>
        <v>1365500000</v>
      </c>
      <c r="O1188" s="86">
        <f t="shared" si="113"/>
        <v>1687300000</v>
      </c>
      <c r="P1188" s="83">
        <f t="shared" si="109"/>
        <v>9.1036127417127077E-2</v>
      </c>
      <c r="Q1188" s="83">
        <f t="shared" si="110"/>
        <v>0.16470994475138123</v>
      </c>
    </row>
    <row r="1189" spans="1:17">
      <c r="A1189" s="87">
        <v>1235</v>
      </c>
      <c r="B1189" s="87" t="s">
        <v>438</v>
      </c>
      <c r="C1189" s="87" t="s">
        <v>23</v>
      </c>
      <c r="D1189" s="84">
        <v>42461</v>
      </c>
      <c r="E1189" s="88">
        <f t="shared" si="108"/>
        <v>2016</v>
      </c>
      <c r="F1189" s="89">
        <v>18671300000</v>
      </c>
      <c r="G1189" s="89">
        <v>15292100000</v>
      </c>
      <c r="H1189" s="89">
        <v>541500000</v>
      </c>
      <c r="I1189" s="89">
        <v>239800000</v>
      </c>
      <c r="J1189" s="89">
        <v>583700000</v>
      </c>
      <c r="K1189" s="87" t="s">
        <v>19</v>
      </c>
      <c r="L1189" s="87" t="s">
        <v>133</v>
      </c>
      <c r="M1189" s="90">
        <f t="shared" si="111"/>
        <v>3379200000</v>
      </c>
      <c r="N1189" s="89">
        <f t="shared" si="112"/>
        <v>1365000000</v>
      </c>
      <c r="O1189" s="89">
        <f t="shared" si="113"/>
        <v>2014200000</v>
      </c>
      <c r="P1189" s="87">
        <f t="shared" si="109"/>
        <v>0.10787679486698837</v>
      </c>
      <c r="Q1189" s="87">
        <f t="shared" si="110"/>
        <v>0.18098364870148298</v>
      </c>
    </row>
    <row r="1190" spans="1:17">
      <c r="A1190" s="83">
        <v>1236</v>
      </c>
      <c r="B1190" s="83" t="s">
        <v>439</v>
      </c>
      <c r="C1190" s="83" t="s">
        <v>18</v>
      </c>
      <c r="D1190" s="84">
        <v>42462</v>
      </c>
      <c r="E1190" s="85">
        <f t="shared" si="108"/>
        <v>2016</v>
      </c>
      <c r="F1190" s="86">
        <v>15598000000</v>
      </c>
      <c r="G1190" s="86">
        <v>11759000000</v>
      </c>
      <c r="H1190" s="86">
        <v>0</v>
      </c>
      <c r="I1190" s="86">
        <v>0</v>
      </c>
      <c r="J1190" s="86">
        <v>2077000000</v>
      </c>
      <c r="K1190" s="83" t="s">
        <v>48</v>
      </c>
      <c r="L1190" s="83" t="s">
        <v>49</v>
      </c>
      <c r="M1190" s="91">
        <f t="shared" si="111"/>
        <v>3839000000</v>
      </c>
      <c r="N1190" s="86">
        <f t="shared" si="112"/>
        <v>2077000000</v>
      </c>
      <c r="O1190" s="86">
        <f t="shared" si="113"/>
        <v>1762000000</v>
      </c>
      <c r="P1190" s="83">
        <f t="shared" si="109"/>
        <v>0.11296320041030901</v>
      </c>
      <c r="Q1190" s="83">
        <f t="shared" si="110"/>
        <v>0.24612129760225665</v>
      </c>
    </row>
    <row r="1191" spans="1:17">
      <c r="A1191" s="87">
        <v>1237</v>
      </c>
      <c r="B1191" s="87" t="s">
        <v>439</v>
      </c>
      <c r="C1191" s="87" t="s">
        <v>21</v>
      </c>
      <c r="D1191" s="84">
        <v>42463</v>
      </c>
      <c r="E1191" s="88">
        <f t="shared" si="108"/>
        <v>2016</v>
      </c>
      <c r="F1191" s="89">
        <v>17090000000</v>
      </c>
      <c r="G1191" s="89">
        <v>12207000000</v>
      </c>
      <c r="H1191" s="89">
        <v>0</v>
      </c>
      <c r="I1191" s="89">
        <v>0</v>
      </c>
      <c r="J1191" s="89">
        <v>2433000000</v>
      </c>
      <c r="K1191" s="87" t="s">
        <v>48</v>
      </c>
      <c r="L1191" s="87" t="s">
        <v>49</v>
      </c>
      <c r="M1191" s="90">
        <f t="shared" si="111"/>
        <v>4883000000</v>
      </c>
      <c r="N1191" s="89">
        <f t="shared" si="112"/>
        <v>2433000000</v>
      </c>
      <c r="O1191" s="89">
        <f t="shared" si="113"/>
        <v>2450000000</v>
      </c>
      <c r="P1191" s="87">
        <f t="shared" si="109"/>
        <v>0.14335868929198362</v>
      </c>
      <c r="Q1191" s="87">
        <f t="shared" si="110"/>
        <v>0.28572264482153309</v>
      </c>
    </row>
    <row r="1192" spans="1:17">
      <c r="A1192" s="83">
        <v>1238</v>
      </c>
      <c r="B1192" s="83" t="s">
        <v>439</v>
      </c>
      <c r="C1192" s="83" t="s">
        <v>22</v>
      </c>
      <c r="D1192" s="84">
        <v>42464</v>
      </c>
      <c r="E1192" s="85">
        <f t="shared" si="108"/>
        <v>2016</v>
      </c>
      <c r="F1192" s="86">
        <v>16833000000</v>
      </c>
      <c r="G1192" s="86">
        <v>12713000000</v>
      </c>
      <c r="H1192" s="86">
        <v>0</v>
      </c>
      <c r="I1192" s="86">
        <v>0</v>
      </c>
      <c r="J1192" s="86">
        <v>2612000000</v>
      </c>
      <c r="K1192" s="83" t="s">
        <v>48</v>
      </c>
      <c r="L1192" s="83" t="s">
        <v>49</v>
      </c>
      <c r="M1192" s="91">
        <f t="shared" si="111"/>
        <v>4120000000</v>
      </c>
      <c r="N1192" s="86">
        <f t="shared" si="112"/>
        <v>2612000000</v>
      </c>
      <c r="O1192" s="86">
        <f t="shared" si="113"/>
        <v>1508000000</v>
      </c>
      <c r="P1192" s="83">
        <f t="shared" si="109"/>
        <v>8.958593239470089E-2</v>
      </c>
      <c r="Q1192" s="83">
        <f t="shared" si="110"/>
        <v>0.24475732192716693</v>
      </c>
    </row>
    <row r="1193" spans="1:17">
      <c r="A1193" s="87">
        <v>1239</v>
      </c>
      <c r="B1193" s="87" t="s">
        <v>439</v>
      </c>
      <c r="C1193" s="87" t="s">
        <v>23</v>
      </c>
      <c r="D1193" s="84">
        <v>42465</v>
      </c>
      <c r="E1193" s="88">
        <f t="shared" si="108"/>
        <v>2016</v>
      </c>
      <c r="F1193" s="89">
        <v>17666000000</v>
      </c>
      <c r="G1193" s="89">
        <v>12734000000</v>
      </c>
      <c r="H1193" s="89">
        <v>0</v>
      </c>
      <c r="I1193" s="89">
        <v>0</v>
      </c>
      <c r="J1193" s="89">
        <v>2755000000</v>
      </c>
      <c r="K1193" s="87" t="s">
        <v>48</v>
      </c>
      <c r="L1193" s="87" t="s">
        <v>49</v>
      </c>
      <c r="M1193" s="90">
        <f t="shared" si="111"/>
        <v>4932000000</v>
      </c>
      <c r="N1193" s="89">
        <f t="shared" si="112"/>
        <v>2755000000</v>
      </c>
      <c r="O1193" s="89">
        <f t="shared" si="113"/>
        <v>2177000000</v>
      </c>
      <c r="P1193" s="87">
        <f t="shared" si="109"/>
        <v>0.12323106532321974</v>
      </c>
      <c r="Q1193" s="87">
        <f t="shared" si="110"/>
        <v>0.27918034642816714</v>
      </c>
    </row>
    <row r="1194" spans="1:17">
      <c r="A1194" s="83">
        <v>1240</v>
      </c>
      <c r="B1194" s="83" t="s">
        <v>440</v>
      </c>
      <c r="C1194" s="83" t="s">
        <v>18</v>
      </c>
      <c r="D1194" s="84">
        <v>42466</v>
      </c>
      <c r="E1194" s="85">
        <f t="shared" si="108"/>
        <v>2016</v>
      </c>
      <c r="F1194" s="86">
        <v>5260956000</v>
      </c>
      <c r="G1194" s="86">
        <v>1177275000</v>
      </c>
      <c r="H1194" s="86">
        <v>2188747000</v>
      </c>
      <c r="I1194" s="86">
        <v>0</v>
      </c>
      <c r="J1194" s="86">
        <v>65141000</v>
      </c>
      <c r="K1194" s="83" t="s">
        <v>25</v>
      </c>
      <c r="L1194" s="83" t="s">
        <v>83</v>
      </c>
      <c r="M1194" s="91">
        <f t="shared" si="111"/>
        <v>4083681000</v>
      </c>
      <c r="N1194" s="86">
        <f t="shared" si="112"/>
        <v>2253888000</v>
      </c>
      <c r="O1194" s="86">
        <f t="shared" si="113"/>
        <v>1829793000</v>
      </c>
      <c r="P1194" s="83">
        <f t="shared" si="109"/>
        <v>0.3478061781927087</v>
      </c>
      <c r="Q1194" s="83">
        <f t="shared" si="110"/>
        <v>0.77622413112749844</v>
      </c>
    </row>
    <row r="1195" spans="1:17">
      <c r="A1195" s="87">
        <v>1241</v>
      </c>
      <c r="B1195" s="87" t="s">
        <v>440</v>
      </c>
      <c r="C1195" s="87" t="s">
        <v>21</v>
      </c>
      <c r="D1195" s="84">
        <v>42467</v>
      </c>
      <c r="E1195" s="88">
        <f t="shared" si="108"/>
        <v>2016</v>
      </c>
      <c r="F1195" s="89">
        <v>6793306000</v>
      </c>
      <c r="G1195" s="89">
        <v>1077420000</v>
      </c>
      <c r="H1195" s="89">
        <v>3185497000</v>
      </c>
      <c r="I1195" s="89">
        <v>0</v>
      </c>
      <c r="J1195" s="89">
        <v>117975000</v>
      </c>
      <c r="K1195" s="87" t="s">
        <v>25</v>
      </c>
      <c r="L1195" s="87" t="s">
        <v>83</v>
      </c>
      <c r="M1195" s="90">
        <f t="shared" si="111"/>
        <v>5715886000</v>
      </c>
      <c r="N1195" s="89">
        <f t="shared" si="112"/>
        <v>3303472000</v>
      </c>
      <c r="O1195" s="89">
        <f t="shared" si="113"/>
        <v>2412414000</v>
      </c>
      <c r="P1195" s="87">
        <f t="shared" si="109"/>
        <v>0.35511634541414738</v>
      </c>
      <c r="Q1195" s="87">
        <f t="shared" si="110"/>
        <v>0.84139975440529247</v>
      </c>
    </row>
    <row r="1196" spans="1:17">
      <c r="A1196" s="83">
        <v>1242</v>
      </c>
      <c r="B1196" s="83" t="s">
        <v>440</v>
      </c>
      <c r="C1196" s="83" t="s">
        <v>22</v>
      </c>
      <c r="D1196" s="84">
        <v>42468</v>
      </c>
      <c r="E1196" s="85">
        <f t="shared" si="108"/>
        <v>2016</v>
      </c>
      <c r="F1196" s="86">
        <v>8441971000</v>
      </c>
      <c r="G1196" s="86">
        <v>857841000</v>
      </c>
      <c r="H1196" s="86">
        <v>4302998000</v>
      </c>
      <c r="I1196" s="86">
        <v>0</v>
      </c>
      <c r="J1196" s="86">
        <v>207820000</v>
      </c>
      <c r="K1196" s="83" t="s">
        <v>25</v>
      </c>
      <c r="L1196" s="83" t="s">
        <v>83</v>
      </c>
      <c r="M1196" s="91">
        <f t="shared" si="111"/>
        <v>7584130000</v>
      </c>
      <c r="N1196" s="86">
        <f t="shared" si="112"/>
        <v>4510818000</v>
      </c>
      <c r="O1196" s="86">
        <f t="shared" si="113"/>
        <v>3073312000</v>
      </c>
      <c r="P1196" s="83">
        <f t="shared" si="109"/>
        <v>0.36405147565657359</v>
      </c>
      <c r="Q1196" s="83">
        <f t="shared" si="110"/>
        <v>0.89838380160273001</v>
      </c>
    </row>
    <row r="1197" spans="1:17">
      <c r="A1197" s="87">
        <v>1243</v>
      </c>
      <c r="B1197" s="87" t="s">
        <v>440</v>
      </c>
      <c r="C1197" s="87" t="s">
        <v>23</v>
      </c>
      <c r="D1197" s="84">
        <v>42469</v>
      </c>
      <c r="E1197" s="88">
        <f t="shared" si="108"/>
        <v>2016</v>
      </c>
      <c r="F1197" s="89">
        <v>9223987000</v>
      </c>
      <c r="G1197" s="89">
        <v>632180000</v>
      </c>
      <c r="H1197" s="89">
        <v>5060406000</v>
      </c>
      <c r="I1197" s="89">
        <v>0</v>
      </c>
      <c r="J1197" s="89">
        <v>272494000</v>
      </c>
      <c r="K1197" s="87" t="s">
        <v>25</v>
      </c>
      <c r="L1197" s="87" t="s">
        <v>83</v>
      </c>
      <c r="M1197" s="90">
        <f t="shared" si="111"/>
        <v>8591807000</v>
      </c>
      <c r="N1197" s="89">
        <f t="shared" si="112"/>
        <v>5332900000</v>
      </c>
      <c r="O1197" s="89">
        <f t="shared" si="113"/>
        <v>3258907000</v>
      </c>
      <c r="P1197" s="87">
        <f t="shared" si="109"/>
        <v>0.3533078483306622</v>
      </c>
      <c r="Q1197" s="87">
        <f t="shared" si="110"/>
        <v>0.93146347669397189</v>
      </c>
    </row>
    <row r="1198" spans="1:17">
      <c r="A1198" s="83">
        <v>1244</v>
      </c>
      <c r="B1198" s="83" t="s">
        <v>441</v>
      </c>
      <c r="C1198" s="83" t="s">
        <v>18</v>
      </c>
      <c r="D1198" s="84">
        <v>42470</v>
      </c>
      <c r="E1198" s="85">
        <f t="shared" si="108"/>
        <v>2016</v>
      </c>
      <c r="F1198" s="86">
        <v>3637212000</v>
      </c>
      <c r="G1198" s="86">
        <v>2446443000</v>
      </c>
      <c r="H1198" s="86">
        <v>0</v>
      </c>
      <c r="I1198" s="86">
        <v>0</v>
      </c>
      <c r="J1198" s="86">
        <v>0</v>
      </c>
      <c r="K1198" s="83" t="s">
        <v>31</v>
      </c>
      <c r="L1198" s="83" t="s">
        <v>172</v>
      </c>
      <c r="M1198" s="91">
        <f t="shared" si="111"/>
        <v>1190769000</v>
      </c>
      <c r="N1198" s="86">
        <f t="shared" si="112"/>
        <v>0</v>
      </c>
      <c r="O1198" s="86">
        <f t="shared" si="113"/>
        <v>1190769000</v>
      </c>
      <c r="P1198" s="83">
        <f t="shared" si="109"/>
        <v>0.32738509605708987</v>
      </c>
      <c r="Q1198" s="83">
        <f t="shared" si="110"/>
        <v>0.32738509605708987</v>
      </c>
    </row>
    <row r="1199" spans="1:17">
      <c r="A1199" s="87">
        <v>1245</v>
      </c>
      <c r="B1199" s="87" t="s">
        <v>441</v>
      </c>
      <c r="C1199" s="87" t="s">
        <v>21</v>
      </c>
      <c r="D1199" s="84">
        <v>42471</v>
      </c>
      <c r="E1199" s="88">
        <f t="shared" si="108"/>
        <v>2016</v>
      </c>
      <c r="F1199" s="89">
        <v>3585141000</v>
      </c>
      <c r="G1199" s="89">
        <v>2566444000</v>
      </c>
      <c r="H1199" s="89">
        <v>0</v>
      </c>
      <c r="I1199" s="89">
        <v>0</v>
      </c>
      <c r="J1199" s="89">
        <v>0</v>
      </c>
      <c r="K1199" s="87" t="s">
        <v>31</v>
      </c>
      <c r="L1199" s="87" t="s">
        <v>172</v>
      </c>
      <c r="M1199" s="90">
        <f t="shared" si="111"/>
        <v>1018697000</v>
      </c>
      <c r="N1199" s="89">
        <f t="shared" si="112"/>
        <v>0</v>
      </c>
      <c r="O1199" s="89">
        <f t="shared" si="113"/>
        <v>1018697000</v>
      </c>
      <c r="P1199" s="87">
        <f t="shared" si="109"/>
        <v>0.28414419404982955</v>
      </c>
      <c r="Q1199" s="87">
        <f t="shared" si="110"/>
        <v>0.2841441940498296</v>
      </c>
    </row>
    <row r="1200" spans="1:17">
      <c r="A1200" s="83">
        <v>1246</v>
      </c>
      <c r="B1200" s="83" t="s">
        <v>441</v>
      </c>
      <c r="C1200" s="83" t="s">
        <v>22</v>
      </c>
      <c r="D1200" s="84">
        <v>42472</v>
      </c>
      <c r="E1200" s="85">
        <f t="shared" si="108"/>
        <v>2016</v>
      </c>
      <c r="F1200" s="86">
        <v>3910865000</v>
      </c>
      <c r="G1200" s="86">
        <v>2850316000</v>
      </c>
      <c r="H1200" s="86">
        <v>0</v>
      </c>
      <c r="I1200" s="86">
        <v>0</v>
      </c>
      <c r="J1200" s="86">
        <v>0</v>
      </c>
      <c r="K1200" s="83" t="s">
        <v>31</v>
      </c>
      <c r="L1200" s="83" t="s">
        <v>172</v>
      </c>
      <c r="M1200" s="91">
        <f t="shared" si="111"/>
        <v>1060549000</v>
      </c>
      <c r="N1200" s="86">
        <f t="shared" si="112"/>
        <v>0</v>
      </c>
      <c r="O1200" s="86">
        <f t="shared" si="113"/>
        <v>1060549000</v>
      </c>
      <c r="P1200" s="83">
        <f t="shared" si="109"/>
        <v>0.27118016091069369</v>
      </c>
      <c r="Q1200" s="83">
        <f t="shared" si="110"/>
        <v>0.27118016091069364</v>
      </c>
    </row>
    <row r="1201" spans="1:17">
      <c r="A1201" s="87">
        <v>1247</v>
      </c>
      <c r="B1201" s="87" t="s">
        <v>441</v>
      </c>
      <c r="C1201" s="87" t="s">
        <v>23</v>
      </c>
      <c r="D1201" s="84">
        <v>42473</v>
      </c>
      <c r="E1201" s="88">
        <f t="shared" si="108"/>
        <v>2016</v>
      </c>
      <c r="F1201" s="89">
        <v>5386703000</v>
      </c>
      <c r="G1201" s="89">
        <v>4063955000</v>
      </c>
      <c r="H1201" s="89">
        <v>0</v>
      </c>
      <c r="I1201" s="89">
        <v>0</v>
      </c>
      <c r="J1201" s="89">
        <v>0</v>
      </c>
      <c r="K1201" s="87" t="s">
        <v>31</v>
      </c>
      <c r="L1201" s="87" t="s">
        <v>172</v>
      </c>
      <c r="M1201" s="90">
        <f t="shared" si="111"/>
        <v>1322748000</v>
      </c>
      <c r="N1201" s="89">
        <f t="shared" si="112"/>
        <v>0</v>
      </c>
      <c r="O1201" s="89">
        <f t="shared" si="113"/>
        <v>1322748000</v>
      </c>
      <c r="P1201" s="87">
        <f t="shared" si="109"/>
        <v>0.24555799716449933</v>
      </c>
      <c r="Q1201" s="87">
        <f t="shared" si="110"/>
        <v>0.24555799716449933</v>
      </c>
    </row>
    <row r="1202" spans="1:17">
      <c r="A1202" s="83">
        <v>1248</v>
      </c>
      <c r="B1202" s="83" t="s">
        <v>442</v>
      </c>
      <c r="C1202" s="83" t="s">
        <v>18</v>
      </c>
      <c r="D1202" s="84">
        <v>42474</v>
      </c>
      <c r="E1202" s="85">
        <f t="shared" si="108"/>
        <v>2016</v>
      </c>
      <c r="F1202" s="86">
        <v>9781000000</v>
      </c>
      <c r="G1202" s="86">
        <v>6351000000</v>
      </c>
      <c r="H1202" s="86">
        <v>98000000</v>
      </c>
      <c r="I1202" s="86">
        <v>0</v>
      </c>
      <c r="J1202" s="86">
        <v>1054000000</v>
      </c>
      <c r="K1202" s="83" t="s">
        <v>48</v>
      </c>
      <c r="L1202" s="83" t="s">
        <v>51</v>
      </c>
      <c r="M1202" s="91">
        <f t="shared" si="111"/>
        <v>3430000000</v>
      </c>
      <c r="N1202" s="86">
        <f t="shared" si="112"/>
        <v>1152000000</v>
      </c>
      <c r="O1202" s="86">
        <f t="shared" si="113"/>
        <v>2278000000</v>
      </c>
      <c r="P1202" s="83">
        <f t="shared" si="109"/>
        <v>0.2329005214190778</v>
      </c>
      <c r="Q1202" s="83">
        <f t="shared" si="110"/>
        <v>0.35067988958184237</v>
      </c>
    </row>
    <row r="1203" spans="1:17">
      <c r="A1203" s="87">
        <v>1249</v>
      </c>
      <c r="B1203" s="87" t="s">
        <v>442</v>
      </c>
      <c r="C1203" s="87" t="s">
        <v>21</v>
      </c>
      <c r="D1203" s="84">
        <v>42475</v>
      </c>
      <c r="E1203" s="88">
        <f t="shared" si="108"/>
        <v>2016</v>
      </c>
      <c r="F1203" s="89">
        <v>9968000000</v>
      </c>
      <c r="G1203" s="89">
        <v>6423000000</v>
      </c>
      <c r="H1203" s="89">
        <v>68000000</v>
      </c>
      <c r="I1203" s="89">
        <v>0</v>
      </c>
      <c r="J1203" s="89">
        <v>1178000000</v>
      </c>
      <c r="K1203" s="87" t="s">
        <v>48</v>
      </c>
      <c r="L1203" s="87" t="s">
        <v>51</v>
      </c>
      <c r="M1203" s="90">
        <f t="shared" si="111"/>
        <v>3545000000</v>
      </c>
      <c r="N1203" s="89">
        <f t="shared" si="112"/>
        <v>1246000000</v>
      </c>
      <c r="O1203" s="89">
        <f t="shared" si="113"/>
        <v>2299000000</v>
      </c>
      <c r="P1203" s="87">
        <f t="shared" si="109"/>
        <v>0.23063804173354735</v>
      </c>
      <c r="Q1203" s="87">
        <f t="shared" si="110"/>
        <v>0.35563804173354741</v>
      </c>
    </row>
    <row r="1204" spans="1:17">
      <c r="A1204" s="83">
        <v>1250</v>
      </c>
      <c r="B1204" s="83" t="s">
        <v>442</v>
      </c>
      <c r="C1204" s="83" t="s">
        <v>22</v>
      </c>
      <c r="D1204" s="84">
        <v>42476</v>
      </c>
      <c r="E1204" s="85">
        <f t="shared" si="108"/>
        <v>2016</v>
      </c>
      <c r="F1204" s="86">
        <v>10886000000</v>
      </c>
      <c r="G1204" s="86">
        <v>7036000000</v>
      </c>
      <c r="H1204" s="86">
        <v>0</v>
      </c>
      <c r="I1204" s="86">
        <v>0</v>
      </c>
      <c r="J1204" s="86">
        <v>1227000000</v>
      </c>
      <c r="K1204" s="83" t="s">
        <v>48</v>
      </c>
      <c r="L1204" s="83" t="s">
        <v>51</v>
      </c>
      <c r="M1204" s="91">
        <f t="shared" si="111"/>
        <v>3850000000</v>
      </c>
      <c r="N1204" s="86">
        <f t="shared" si="112"/>
        <v>1227000000</v>
      </c>
      <c r="O1204" s="86">
        <f t="shared" si="113"/>
        <v>2623000000</v>
      </c>
      <c r="P1204" s="83">
        <f t="shared" si="109"/>
        <v>0.24095168105823994</v>
      </c>
      <c r="Q1204" s="83">
        <f t="shared" si="110"/>
        <v>0.35366525812970784</v>
      </c>
    </row>
    <row r="1205" spans="1:17">
      <c r="A1205" s="87">
        <v>1251</v>
      </c>
      <c r="B1205" s="87" t="s">
        <v>442</v>
      </c>
      <c r="C1205" s="87" t="s">
        <v>23</v>
      </c>
      <c r="D1205" s="84">
        <v>42477</v>
      </c>
      <c r="E1205" s="88">
        <f t="shared" si="108"/>
        <v>2016</v>
      </c>
      <c r="F1205" s="89">
        <v>10415000000</v>
      </c>
      <c r="G1205" s="89">
        <v>6239000000</v>
      </c>
      <c r="H1205" s="89">
        <v>0</v>
      </c>
      <c r="I1205" s="89">
        <v>0</v>
      </c>
      <c r="J1205" s="89">
        <v>1214000000</v>
      </c>
      <c r="K1205" s="87" t="s">
        <v>48</v>
      </c>
      <c r="L1205" s="87" t="s">
        <v>51</v>
      </c>
      <c r="M1205" s="90">
        <f t="shared" si="111"/>
        <v>4176000000</v>
      </c>
      <c r="N1205" s="89">
        <f t="shared" si="112"/>
        <v>1214000000</v>
      </c>
      <c r="O1205" s="89">
        <f t="shared" si="113"/>
        <v>2962000000</v>
      </c>
      <c r="P1205" s="87">
        <f t="shared" si="109"/>
        <v>0.28439750360057608</v>
      </c>
      <c r="Q1205" s="87">
        <f t="shared" si="110"/>
        <v>0.40096015362457993</v>
      </c>
    </row>
    <row r="1206" spans="1:17">
      <c r="A1206" s="83">
        <v>1252</v>
      </c>
      <c r="B1206" s="83" t="s">
        <v>443</v>
      </c>
      <c r="C1206" s="83" t="s">
        <v>18</v>
      </c>
      <c r="D1206" s="84">
        <v>42478</v>
      </c>
      <c r="E1206" s="85">
        <f t="shared" si="108"/>
        <v>2016</v>
      </c>
      <c r="F1206" s="86">
        <v>66415000000</v>
      </c>
      <c r="G1206" s="86">
        <v>31243000000</v>
      </c>
      <c r="H1206" s="86">
        <v>25357000000</v>
      </c>
      <c r="I1206" s="86">
        <v>0</v>
      </c>
      <c r="J1206" s="86">
        <v>110000000</v>
      </c>
      <c r="K1206" s="83" t="s">
        <v>42</v>
      </c>
      <c r="L1206" s="83" t="s">
        <v>220</v>
      </c>
      <c r="M1206" s="91">
        <f t="shared" si="111"/>
        <v>35172000000</v>
      </c>
      <c r="N1206" s="86">
        <f t="shared" si="112"/>
        <v>25467000000</v>
      </c>
      <c r="O1206" s="86">
        <f t="shared" si="113"/>
        <v>9705000000</v>
      </c>
      <c r="P1206" s="83">
        <f t="shared" si="109"/>
        <v>0.14612662802077844</v>
      </c>
      <c r="Q1206" s="83">
        <f t="shared" si="110"/>
        <v>0.52957916133403593</v>
      </c>
    </row>
    <row r="1207" spans="1:17">
      <c r="A1207" s="87">
        <v>1253</v>
      </c>
      <c r="B1207" s="87" t="s">
        <v>443</v>
      </c>
      <c r="C1207" s="87" t="s">
        <v>21</v>
      </c>
      <c r="D1207" s="84">
        <v>42479</v>
      </c>
      <c r="E1207" s="88">
        <f t="shared" si="108"/>
        <v>2016</v>
      </c>
      <c r="F1207" s="89">
        <v>66683000000</v>
      </c>
      <c r="G1207" s="89">
        <v>31238000000</v>
      </c>
      <c r="H1207" s="89">
        <v>25772000000</v>
      </c>
      <c r="I1207" s="89">
        <v>0</v>
      </c>
      <c r="J1207" s="89">
        <v>92000000</v>
      </c>
      <c r="K1207" s="87" t="s">
        <v>42</v>
      </c>
      <c r="L1207" s="87" t="s">
        <v>220</v>
      </c>
      <c r="M1207" s="90">
        <f t="shared" si="111"/>
        <v>35445000000</v>
      </c>
      <c r="N1207" s="89">
        <f t="shared" si="112"/>
        <v>25864000000</v>
      </c>
      <c r="O1207" s="89">
        <f t="shared" si="113"/>
        <v>9581000000</v>
      </c>
      <c r="P1207" s="87">
        <f t="shared" si="109"/>
        <v>0.14367979844937989</v>
      </c>
      <c r="Q1207" s="87">
        <f t="shared" si="110"/>
        <v>0.5315447715309749</v>
      </c>
    </row>
    <row r="1208" spans="1:17">
      <c r="A1208" s="83">
        <v>1254</v>
      </c>
      <c r="B1208" s="83" t="s">
        <v>443</v>
      </c>
      <c r="C1208" s="83" t="s">
        <v>22</v>
      </c>
      <c r="D1208" s="84">
        <v>42480</v>
      </c>
      <c r="E1208" s="85">
        <f t="shared" si="108"/>
        <v>2016</v>
      </c>
      <c r="F1208" s="86">
        <v>63056000000</v>
      </c>
      <c r="G1208" s="86">
        <v>28731000000</v>
      </c>
      <c r="H1208" s="86">
        <v>24538000000</v>
      </c>
      <c r="I1208" s="86">
        <v>0</v>
      </c>
      <c r="J1208" s="86">
        <v>75000000</v>
      </c>
      <c r="K1208" s="83" t="s">
        <v>42</v>
      </c>
      <c r="L1208" s="83" t="s">
        <v>220</v>
      </c>
      <c r="M1208" s="91">
        <f t="shared" si="111"/>
        <v>34325000000</v>
      </c>
      <c r="N1208" s="86">
        <f t="shared" si="112"/>
        <v>24613000000</v>
      </c>
      <c r="O1208" s="86">
        <f t="shared" si="113"/>
        <v>9712000000</v>
      </c>
      <c r="P1208" s="83">
        <f t="shared" si="109"/>
        <v>0.15402182187262117</v>
      </c>
      <c r="Q1208" s="83">
        <f t="shared" si="110"/>
        <v>0.54435739659984783</v>
      </c>
    </row>
    <row r="1209" spans="1:17">
      <c r="A1209" s="87">
        <v>1255</v>
      </c>
      <c r="B1209" s="87" t="s">
        <v>443</v>
      </c>
      <c r="C1209" s="87" t="s">
        <v>23</v>
      </c>
      <c r="D1209" s="84">
        <v>42481</v>
      </c>
      <c r="E1209" s="88">
        <f t="shared" si="108"/>
        <v>2016</v>
      </c>
      <c r="F1209" s="89">
        <v>62799000000</v>
      </c>
      <c r="G1209" s="89">
        <v>28209000000</v>
      </c>
      <c r="H1209" s="89">
        <v>24735000000</v>
      </c>
      <c r="I1209" s="89">
        <v>0</v>
      </c>
      <c r="J1209" s="89">
        <v>70000000</v>
      </c>
      <c r="K1209" s="87" t="s">
        <v>42</v>
      </c>
      <c r="L1209" s="87" t="s">
        <v>220</v>
      </c>
      <c r="M1209" s="90">
        <f t="shared" si="111"/>
        <v>34590000000</v>
      </c>
      <c r="N1209" s="89">
        <f t="shared" si="112"/>
        <v>24805000000</v>
      </c>
      <c r="O1209" s="89">
        <f t="shared" si="113"/>
        <v>9785000000</v>
      </c>
      <c r="P1209" s="87">
        <f t="shared" si="109"/>
        <v>0.1558145830347617</v>
      </c>
      <c r="Q1209" s="87">
        <f t="shared" si="110"/>
        <v>0.55080494912339373</v>
      </c>
    </row>
    <row r="1210" spans="1:17">
      <c r="A1210" s="83">
        <v>1256</v>
      </c>
      <c r="B1210" s="83" t="s">
        <v>444</v>
      </c>
      <c r="C1210" s="83" t="s">
        <v>18</v>
      </c>
      <c r="D1210" s="84">
        <v>42482</v>
      </c>
      <c r="E1210" s="85">
        <f t="shared" si="108"/>
        <v>2016</v>
      </c>
      <c r="F1210" s="86">
        <v>54657000000</v>
      </c>
      <c r="G1210" s="86">
        <v>9821000000</v>
      </c>
      <c r="H1210" s="86">
        <v>15171000000</v>
      </c>
      <c r="I1210" s="86">
        <v>7482000000</v>
      </c>
      <c r="J1210" s="86">
        <v>5109000000</v>
      </c>
      <c r="K1210" s="83" t="s">
        <v>31</v>
      </c>
      <c r="L1210" s="83" t="s">
        <v>32</v>
      </c>
      <c r="M1210" s="91">
        <f t="shared" si="111"/>
        <v>44836000000</v>
      </c>
      <c r="N1210" s="86">
        <f t="shared" si="112"/>
        <v>27762000000</v>
      </c>
      <c r="O1210" s="86">
        <f t="shared" si="113"/>
        <v>17074000000</v>
      </c>
      <c r="P1210" s="83">
        <f t="shared" si="109"/>
        <v>0.31238450701648462</v>
      </c>
      <c r="Q1210" s="83">
        <f t="shared" si="110"/>
        <v>0.8203157875477981</v>
      </c>
    </row>
    <row r="1211" spans="1:17">
      <c r="A1211" s="87">
        <v>1257</v>
      </c>
      <c r="B1211" s="87" t="s">
        <v>444</v>
      </c>
      <c r="C1211" s="87" t="s">
        <v>21</v>
      </c>
      <c r="D1211" s="84">
        <v>42483</v>
      </c>
      <c r="E1211" s="88">
        <f t="shared" si="108"/>
        <v>2016</v>
      </c>
      <c r="F1211" s="89">
        <v>51584000000</v>
      </c>
      <c r="G1211" s="89">
        <v>9586000000</v>
      </c>
      <c r="H1211" s="89">
        <v>14355000000</v>
      </c>
      <c r="I1211" s="89">
        <v>6678000000</v>
      </c>
      <c r="J1211" s="89">
        <v>4599000000</v>
      </c>
      <c r="K1211" s="87" t="s">
        <v>31</v>
      </c>
      <c r="L1211" s="87" t="s">
        <v>32</v>
      </c>
      <c r="M1211" s="90">
        <f t="shared" si="111"/>
        <v>41998000000</v>
      </c>
      <c r="N1211" s="89">
        <f t="shared" si="112"/>
        <v>25632000000</v>
      </c>
      <c r="O1211" s="89">
        <f t="shared" si="113"/>
        <v>16366000000</v>
      </c>
      <c r="P1211" s="87">
        <f t="shared" si="109"/>
        <v>0.31726892059553352</v>
      </c>
      <c r="Q1211" s="87">
        <f t="shared" si="110"/>
        <v>0.81416718362282881</v>
      </c>
    </row>
    <row r="1212" spans="1:17">
      <c r="A1212" s="83">
        <v>1258</v>
      </c>
      <c r="B1212" s="83" t="s">
        <v>444</v>
      </c>
      <c r="C1212" s="83" t="s">
        <v>22</v>
      </c>
      <c r="D1212" s="84">
        <v>42484</v>
      </c>
      <c r="E1212" s="85">
        <f t="shared" si="108"/>
        <v>2016</v>
      </c>
      <c r="F1212" s="86">
        <v>49605000000</v>
      </c>
      <c r="G1212" s="86">
        <v>9577000000</v>
      </c>
      <c r="H1212" s="86">
        <v>14097000000</v>
      </c>
      <c r="I1212" s="86">
        <v>8393000000</v>
      </c>
      <c r="J1212" s="86">
        <v>4039000000</v>
      </c>
      <c r="K1212" s="83" t="s">
        <v>31</v>
      </c>
      <c r="L1212" s="83" t="s">
        <v>32</v>
      </c>
      <c r="M1212" s="91">
        <f t="shared" si="111"/>
        <v>40028000000</v>
      </c>
      <c r="N1212" s="86">
        <f t="shared" si="112"/>
        <v>26529000000</v>
      </c>
      <c r="O1212" s="86">
        <f t="shared" si="113"/>
        <v>13499000000</v>
      </c>
      <c r="P1212" s="83">
        <f t="shared" si="109"/>
        <v>0.27212982562241711</v>
      </c>
      <c r="Q1212" s="83">
        <f t="shared" si="110"/>
        <v>0.80693478479991931</v>
      </c>
    </row>
    <row r="1213" spans="1:17">
      <c r="A1213" s="87">
        <v>1259</v>
      </c>
      <c r="B1213" s="87" t="s">
        <v>444</v>
      </c>
      <c r="C1213" s="87" t="s">
        <v>23</v>
      </c>
      <c r="D1213" s="84">
        <v>42485</v>
      </c>
      <c r="E1213" s="88">
        <f t="shared" si="108"/>
        <v>2016</v>
      </c>
      <c r="F1213" s="89">
        <v>48851000000</v>
      </c>
      <c r="G1213" s="89">
        <v>9648000000</v>
      </c>
      <c r="H1213" s="89">
        <v>14809000000</v>
      </c>
      <c r="I1213" s="89">
        <v>7690000000</v>
      </c>
      <c r="J1213" s="89">
        <v>3728000000</v>
      </c>
      <c r="K1213" s="87" t="s">
        <v>31</v>
      </c>
      <c r="L1213" s="87" t="s">
        <v>32</v>
      </c>
      <c r="M1213" s="90">
        <f t="shared" si="111"/>
        <v>39203000000</v>
      </c>
      <c r="N1213" s="89">
        <f t="shared" si="112"/>
        <v>26227000000</v>
      </c>
      <c r="O1213" s="89">
        <f t="shared" si="113"/>
        <v>12976000000</v>
      </c>
      <c r="P1213" s="87">
        <f t="shared" si="109"/>
        <v>0.2656240404495302</v>
      </c>
      <c r="Q1213" s="87">
        <f t="shared" si="110"/>
        <v>0.80250148410472666</v>
      </c>
    </row>
    <row r="1214" spans="1:17">
      <c r="A1214" s="83">
        <v>1260</v>
      </c>
      <c r="B1214" s="83" t="s">
        <v>445</v>
      </c>
      <c r="C1214" s="83" t="s">
        <v>18</v>
      </c>
      <c r="D1214" s="84">
        <v>42486</v>
      </c>
      <c r="E1214" s="85">
        <f t="shared" si="108"/>
        <v>2016</v>
      </c>
      <c r="F1214" s="86">
        <v>9289500000</v>
      </c>
      <c r="G1214" s="86">
        <v>4683600000</v>
      </c>
      <c r="H1214" s="86">
        <v>189000000</v>
      </c>
      <c r="I1214" s="86">
        <v>0</v>
      </c>
      <c r="J1214" s="86">
        <v>3292900000</v>
      </c>
      <c r="K1214" s="83" t="s">
        <v>53</v>
      </c>
      <c r="L1214" s="83" t="s">
        <v>385</v>
      </c>
      <c r="M1214" s="91">
        <f t="shared" si="111"/>
        <v>4605900000</v>
      </c>
      <c r="N1214" s="86">
        <f t="shared" si="112"/>
        <v>3481900000</v>
      </c>
      <c r="O1214" s="86">
        <f t="shared" si="113"/>
        <v>1124000000</v>
      </c>
      <c r="P1214" s="83">
        <f t="shared" si="109"/>
        <v>0.12099682437160235</v>
      </c>
      <c r="Q1214" s="83">
        <f t="shared" si="110"/>
        <v>0.49581785887292107</v>
      </c>
    </row>
    <row r="1215" spans="1:17">
      <c r="A1215" s="87">
        <v>1261</v>
      </c>
      <c r="B1215" s="87" t="s">
        <v>445</v>
      </c>
      <c r="C1215" s="87" t="s">
        <v>21</v>
      </c>
      <c r="D1215" s="84">
        <v>42487</v>
      </c>
      <c r="E1215" s="88">
        <f t="shared" ref="E1215:E1278" si="114">YEAR(D1215)</f>
        <v>2016</v>
      </c>
      <c r="F1215" s="89">
        <v>10477600000</v>
      </c>
      <c r="G1215" s="89">
        <v>5231000000</v>
      </c>
      <c r="H1215" s="89">
        <v>177400000</v>
      </c>
      <c r="I1215" s="89">
        <v>0</v>
      </c>
      <c r="J1215" s="89">
        <v>3574300000</v>
      </c>
      <c r="K1215" s="87" t="s">
        <v>53</v>
      </c>
      <c r="L1215" s="87" t="s">
        <v>385</v>
      </c>
      <c r="M1215" s="90">
        <f t="shared" si="111"/>
        <v>5246600000</v>
      </c>
      <c r="N1215" s="89">
        <f t="shared" si="112"/>
        <v>3751700000</v>
      </c>
      <c r="O1215" s="89">
        <f t="shared" si="113"/>
        <v>1494900000</v>
      </c>
      <c r="P1215" s="87">
        <f t="shared" si="109"/>
        <v>0.14267580361914942</v>
      </c>
      <c r="Q1215" s="87">
        <f t="shared" si="110"/>
        <v>0.50074444529281514</v>
      </c>
    </row>
    <row r="1216" spans="1:17">
      <c r="A1216" s="83">
        <v>1262</v>
      </c>
      <c r="B1216" s="83" t="s">
        <v>445</v>
      </c>
      <c r="C1216" s="83" t="s">
        <v>22</v>
      </c>
      <c r="D1216" s="84">
        <v>42488</v>
      </c>
      <c r="E1216" s="85">
        <f t="shared" si="114"/>
        <v>2016</v>
      </c>
      <c r="F1216" s="86">
        <v>11964400000</v>
      </c>
      <c r="G1216" s="86">
        <v>6697700000</v>
      </c>
      <c r="H1216" s="86">
        <v>163500000</v>
      </c>
      <c r="I1216" s="86">
        <v>0</v>
      </c>
      <c r="J1216" s="86">
        <v>3672400000</v>
      </c>
      <c r="K1216" s="83" t="s">
        <v>53</v>
      </c>
      <c r="L1216" s="83" t="s">
        <v>385</v>
      </c>
      <c r="M1216" s="91">
        <f t="shared" si="111"/>
        <v>5266700000</v>
      </c>
      <c r="N1216" s="86">
        <f t="shared" si="112"/>
        <v>3835900000</v>
      </c>
      <c r="O1216" s="86">
        <f t="shared" si="113"/>
        <v>1430800000</v>
      </c>
      <c r="P1216" s="83">
        <f t="shared" si="109"/>
        <v>0.11958811139714487</v>
      </c>
      <c r="Q1216" s="83">
        <f t="shared" si="110"/>
        <v>0.44019758617231119</v>
      </c>
    </row>
    <row r="1217" spans="1:17">
      <c r="A1217" s="87">
        <v>1263</v>
      </c>
      <c r="B1217" s="87" t="s">
        <v>445</v>
      </c>
      <c r="C1217" s="87" t="s">
        <v>23</v>
      </c>
      <c r="D1217" s="84">
        <v>42489</v>
      </c>
      <c r="E1217" s="88">
        <f t="shared" si="114"/>
        <v>2016</v>
      </c>
      <c r="F1217" s="89">
        <v>12394100000</v>
      </c>
      <c r="G1217" s="89">
        <v>6913200000</v>
      </c>
      <c r="H1217" s="89">
        <v>156600000</v>
      </c>
      <c r="I1217" s="89">
        <v>0</v>
      </c>
      <c r="J1217" s="89">
        <v>3732600000</v>
      </c>
      <c r="K1217" s="87" t="s">
        <v>53</v>
      </c>
      <c r="L1217" s="87" t="s">
        <v>385</v>
      </c>
      <c r="M1217" s="90">
        <f t="shared" si="111"/>
        <v>5480900000</v>
      </c>
      <c r="N1217" s="89">
        <f t="shared" si="112"/>
        <v>3889200000</v>
      </c>
      <c r="O1217" s="89">
        <f t="shared" si="113"/>
        <v>1591700000</v>
      </c>
      <c r="P1217" s="87">
        <f t="shared" si="109"/>
        <v>0.12842400819744879</v>
      </c>
      <c r="Q1217" s="87">
        <f t="shared" si="110"/>
        <v>0.44221847491951816</v>
      </c>
    </row>
    <row r="1218" spans="1:17">
      <c r="A1218" s="83">
        <v>1264</v>
      </c>
      <c r="B1218" s="83" t="s">
        <v>446</v>
      </c>
      <c r="C1218" s="83" t="s">
        <v>18</v>
      </c>
      <c r="D1218" s="84">
        <v>42490</v>
      </c>
      <c r="E1218" s="85">
        <f t="shared" si="114"/>
        <v>2016</v>
      </c>
      <c r="F1218" s="86">
        <v>2104745000</v>
      </c>
      <c r="G1218" s="86">
        <v>155355000</v>
      </c>
      <c r="H1218" s="86">
        <v>346393000</v>
      </c>
      <c r="I1218" s="86">
        <v>859947000</v>
      </c>
      <c r="J1218" s="86">
        <v>0</v>
      </c>
      <c r="K1218" s="83" t="s">
        <v>42</v>
      </c>
      <c r="L1218" s="83" t="s">
        <v>176</v>
      </c>
      <c r="M1218" s="91">
        <f t="shared" si="111"/>
        <v>1949390000</v>
      </c>
      <c r="N1218" s="86">
        <f t="shared" si="112"/>
        <v>1206340000</v>
      </c>
      <c r="O1218" s="86">
        <f t="shared" si="113"/>
        <v>743050000</v>
      </c>
      <c r="P1218" s="83">
        <f t="shared" ref="P1218:P1281" si="115">O1218/F1218</f>
        <v>0.35303564089711581</v>
      </c>
      <c r="Q1218" s="83">
        <f t="shared" ref="Q1218:Q1281" si="116">1-G1218/F1218</f>
        <v>0.92618820807271185</v>
      </c>
    </row>
    <row r="1219" spans="1:17">
      <c r="A1219" s="87">
        <v>1265</v>
      </c>
      <c r="B1219" s="87" t="s">
        <v>446</v>
      </c>
      <c r="C1219" s="87" t="s">
        <v>21</v>
      </c>
      <c r="D1219" s="84">
        <v>42491</v>
      </c>
      <c r="E1219" s="88">
        <f t="shared" si="114"/>
        <v>2016</v>
      </c>
      <c r="F1219" s="89">
        <v>2819557000</v>
      </c>
      <c r="G1219" s="89">
        <v>205018000</v>
      </c>
      <c r="H1219" s="89">
        <v>519267000</v>
      </c>
      <c r="I1219" s="89">
        <v>1271353000</v>
      </c>
      <c r="J1219" s="89">
        <v>0</v>
      </c>
      <c r="K1219" s="87" t="s">
        <v>42</v>
      </c>
      <c r="L1219" s="87" t="s">
        <v>176</v>
      </c>
      <c r="M1219" s="90">
        <f t="shared" ref="M1219:M1282" si="117">F1219-G1219</f>
        <v>2614539000</v>
      </c>
      <c r="N1219" s="89">
        <f t="shared" ref="N1219:N1282" si="118">H1219+I1219+J1219</f>
        <v>1790620000</v>
      </c>
      <c r="O1219" s="89">
        <f t="shared" ref="O1219:O1282" si="119">M1219-N1219</f>
        <v>823919000</v>
      </c>
      <c r="P1219" s="87">
        <f t="shared" si="115"/>
        <v>0.29221576297269392</v>
      </c>
      <c r="Q1219" s="87">
        <f t="shared" si="116"/>
        <v>0.92728715894021652</v>
      </c>
    </row>
    <row r="1220" spans="1:17">
      <c r="A1220" s="83">
        <v>1266</v>
      </c>
      <c r="B1220" s="83" t="s">
        <v>446</v>
      </c>
      <c r="C1220" s="83" t="s">
        <v>22</v>
      </c>
      <c r="D1220" s="84">
        <v>42492</v>
      </c>
      <c r="E1220" s="85">
        <f t="shared" si="114"/>
        <v>2016</v>
      </c>
      <c r="F1220" s="86">
        <v>4103728000</v>
      </c>
      <c r="G1220" s="86">
        <v>392709000</v>
      </c>
      <c r="H1220" s="86">
        <v>838526000</v>
      </c>
      <c r="I1220" s="86">
        <v>1620577000</v>
      </c>
      <c r="J1220" s="86">
        <v>0</v>
      </c>
      <c r="K1220" s="83" t="s">
        <v>42</v>
      </c>
      <c r="L1220" s="83" t="s">
        <v>176</v>
      </c>
      <c r="M1220" s="91">
        <f t="shared" si="117"/>
        <v>3711019000</v>
      </c>
      <c r="N1220" s="86">
        <f t="shared" si="118"/>
        <v>2459103000</v>
      </c>
      <c r="O1220" s="86">
        <f t="shared" si="119"/>
        <v>1251916000</v>
      </c>
      <c r="P1220" s="83">
        <f t="shared" si="115"/>
        <v>0.30506797721486412</v>
      </c>
      <c r="Q1220" s="83">
        <f t="shared" si="116"/>
        <v>0.90430433011154732</v>
      </c>
    </row>
    <row r="1221" spans="1:17">
      <c r="A1221" s="87">
        <v>1267</v>
      </c>
      <c r="B1221" s="87" t="s">
        <v>446</v>
      </c>
      <c r="C1221" s="87" t="s">
        <v>23</v>
      </c>
      <c r="D1221" s="84">
        <v>42493</v>
      </c>
      <c r="E1221" s="88">
        <f t="shared" si="114"/>
        <v>2016</v>
      </c>
      <c r="F1221" s="89">
        <v>4860427000</v>
      </c>
      <c r="G1221" s="89">
        <v>299694000</v>
      </c>
      <c r="H1221" s="89">
        <v>1177697000</v>
      </c>
      <c r="I1221" s="89">
        <v>2052295000</v>
      </c>
      <c r="J1221" s="89">
        <v>0</v>
      </c>
      <c r="K1221" s="87" t="s">
        <v>42</v>
      </c>
      <c r="L1221" s="87" t="s">
        <v>176</v>
      </c>
      <c r="M1221" s="90">
        <f t="shared" si="117"/>
        <v>4560733000</v>
      </c>
      <c r="N1221" s="89">
        <f t="shared" si="118"/>
        <v>3229992000</v>
      </c>
      <c r="O1221" s="89">
        <f t="shared" si="119"/>
        <v>1330741000</v>
      </c>
      <c r="P1221" s="87">
        <f t="shared" si="115"/>
        <v>0.27379096527938801</v>
      </c>
      <c r="Q1221" s="87">
        <f t="shared" si="116"/>
        <v>0.93833998535519614</v>
      </c>
    </row>
    <row r="1222" spans="1:17">
      <c r="A1222" s="83">
        <v>1268</v>
      </c>
      <c r="B1222" s="83" t="s">
        <v>447</v>
      </c>
      <c r="C1222" s="83" t="s">
        <v>18</v>
      </c>
      <c r="D1222" s="84">
        <v>42494</v>
      </c>
      <c r="E1222" s="85">
        <f t="shared" si="114"/>
        <v>2016</v>
      </c>
      <c r="F1222" s="86">
        <v>17083900000</v>
      </c>
      <c r="G1222" s="86">
        <v>15590900000</v>
      </c>
      <c r="H1222" s="86">
        <v>15400000</v>
      </c>
      <c r="I1222" s="86">
        <v>0</v>
      </c>
      <c r="J1222" s="86">
        <v>36100000</v>
      </c>
      <c r="K1222" s="83" t="s">
        <v>53</v>
      </c>
      <c r="L1222" s="83" t="s">
        <v>56</v>
      </c>
      <c r="M1222" s="91">
        <f t="shared" si="117"/>
        <v>1493000000</v>
      </c>
      <c r="N1222" s="86">
        <f t="shared" si="118"/>
        <v>51500000</v>
      </c>
      <c r="O1222" s="86">
        <f t="shared" si="119"/>
        <v>1441500000</v>
      </c>
      <c r="P1222" s="83">
        <f t="shared" si="115"/>
        <v>8.4377688935196302E-2</v>
      </c>
      <c r="Q1222" s="83">
        <f t="shared" si="116"/>
        <v>8.7392223087234155E-2</v>
      </c>
    </row>
    <row r="1223" spans="1:17">
      <c r="A1223" s="87">
        <v>1269</v>
      </c>
      <c r="B1223" s="87" t="s">
        <v>447</v>
      </c>
      <c r="C1223" s="87" t="s">
        <v>21</v>
      </c>
      <c r="D1223" s="84">
        <v>42495</v>
      </c>
      <c r="E1223" s="88">
        <f t="shared" si="114"/>
        <v>2016</v>
      </c>
      <c r="F1223" s="89">
        <v>18170900000</v>
      </c>
      <c r="G1223" s="89">
        <v>16275100000</v>
      </c>
      <c r="H1223" s="89">
        <v>18800000</v>
      </c>
      <c r="I1223" s="89">
        <v>0</v>
      </c>
      <c r="J1223" s="89">
        <v>38800000</v>
      </c>
      <c r="K1223" s="87" t="s">
        <v>53</v>
      </c>
      <c r="L1223" s="87" t="s">
        <v>56</v>
      </c>
      <c r="M1223" s="90">
        <f t="shared" si="117"/>
        <v>1895800000</v>
      </c>
      <c r="N1223" s="89">
        <f t="shared" si="118"/>
        <v>57600000</v>
      </c>
      <c r="O1223" s="89">
        <f t="shared" si="119"/>
        <v>1838200000</v>
      </c>
      <c r="P1223" s="87">
        <f t="shared" si="115"/>
        <v>0.10116174762945149</v>
      </c>
      <c r="Q1223" s="87">
        <f t="shared" si="116"/>
        <v>0.10433165115651954</v>
      </c>
    </row>
    <row r="1224" spans="1:17">
      <c r="A1224" s="83">
        <v>1270</v>
      </c>
      <c r="B1224" s="83" t="s">
        <v>447</v>
      </c>
      <c r="C1224" s="83" t="s">
        <v>22</v>
      </c>
      <c r="D1224" s="84">
        <v>42496</v>
      </c>
      <c r="E1224" s="85">
        <f t="shared" si="114"/>
        <v>2016</v>
      </c>
      <c r="F1224" s="86">
        <v>19391400000</v>
      </c>
      <c r="G1224" s="86">
        <v>17297300000</v>
      </c>
      <c r="H1224" s="86">
        <v>18900000</v>
      </c>
      <c r="I1224" s="86">
        <v>0</v>
      </c>
      <c r="J1224" s="86">
        <v>50900000</v>
      </c>
      <c r="K1224" s="83" t="s">
        <v>53</v>
      </c>
      <c r="L1224" s="83" t="s">
        <v>56</v>
      </c>
      <c r="M1224" s="91">
        <f t="shared" si="117"/>
        <v>2094100000</v>
      </c>
      <c r="N1224" s="86">
        <f t="shared" si="118"/>
        <v>69800000</v>
      </c>
      <c r="O1224" s="86">
        <f t="shared" si="119"/>
        <v>2024300000</v>
      </c>
      <c r="P1224" s="83">
        <f t="shared" si="115"/>
        <v>0.10439163753003909</v>
      </c>
      <c r="Q1224" s="83">
        <f t="shared" si="116"/>
        <v>0.10799117134399783</v>
      </c>
    </row>
    <row r="1225" spans="1:17">
      <c r="A1225" s="87">
        <v>1271</v>
      </c>
      <c r="B1225" s="87" t="s">
        <v>447</v>
      </c>
      <c r="C1225" s="87" t="s">
        <v>23</v>
      </c>
      <c r="D1225" s="84">
        <v>42497</v>
      </c>
      <c r="E1225" s="88">
        <f t="shared" si="114"/>
        <v>2016</v>
      </c>
      <c r="F1225" s="89">
        <v>20853800000</v>
      </c>
      <c r="G1225" s="89">
        <v>18705900000</v>
      </c>
      <c r="H1225" s="89">
        <v>22800000</v>
      </c>
      <c r="I1225" s="89">
        <v>0</v>
      </c>
      <c r="J1225" s="89">
        <v>77500000</v>
      </c>
      <c r="K1225" s="87" t="s">
        <v>53</v>
      </c>
      <c r="L1225" s="87" t="s">
        <v>56</v>
      </c>
      <c r="M1225" s="90">
        <f t="shared" si="117"/>
        <v>2147900000</v>
      </c>
      <c r="N1225" s="89">
        <f t="shared" si="118"/>
        <v>100300000</v>
      </c>
      <c r="O1225" s="89">
        <f t="shared" si="119"/>
        <v>2047600000</v>
      </c>
      <c r="P1225" s="87">
        <f t="shared" si="115"/>
        <v>9.8188339775005032E-2</v>
      </c>
      <c r="Q1225" s="87">
        <f t="shared" si="116"/>
        <v>0.10299801475030934</v>
      </c>
    </row>
    <row r="1226" spans="1:17">
      <c r="A1226" s="83">
        <v>1272</v>
      </c>
      <c r="B1226" s="83" t="s">
        <v>448</v>
      </c>
      <c r="C1226" s="83" t="s">
        <v>18</v>
      </c>
      <c r="D1226" s="84">
        <v>42498</v>
      </c>
      <c r="E1226" s="85">
        <f t="shared" si="114"/>
        <v>2016</v>
      </c>
      <c r="F1226" s="86">
        <v>13015704000</v>
      </c>
      <c r="G1226" s="86">
        <v>10086675000</v>
      </c>
      <c r="H1226" s="86">
        <v>1554973000</v>
      </c>
      <c r="I1226" s="86">
        <v>0</v>
      </c>
      <c r="J1226" s="86">
        <v>0</v>
      </c>
      <c r="K1226" s="83" t="s">
        <v>19</v>
      </c>
      <c r="L1226" s="83" t="s">
        <v>170</v>
      </c>
      <c r="M1226" s="91">
        <f t="shared" si="117"/>
        <v>2929029000</v>
      </c>
      <c r="N1226" s="86">
        <f t="shared" si="118"/>
        <v>1554973000</v>
      </c>
      <c r="O1226" s="86">
        <f t="shared" si="119"/>
        <v>1374056000</v>
      </c>
      <c r="P1226" s="83">
        <f t="shared" si="115"/>
        <v>0.1055690879264003</v>
      </c>
      <c r="Q1226" s="83">
        <f t="shared" si="116"/>
        <v>0.22503807707981072</v>
      </c>
    </row>
    <row r="1227" spans="1:17">
      <c r="A1227" s="87">
        <v>1273</v>
      </c>
      <c r="B1227" s="87" t="s">
        <v>448</v>
      </c>
      <c r="C1227" s="87" t="s">
        <v>21</v>
      </c>
      <c r="D1227" s="84">
        <v>42499</v>
      </c>
      <c r="E1227" s="88">
        <f t="shared" si="114"/>
        <v>2016</v>
      </c>
      <c r="F1227" s="89">
        <v>13215971000</v>
      </c>
      <c r="G1227" s="89">
        <v>10188227000</v>
      </c>
      <c r="H1227" s="89">
        <v>1633992000</v>
      </c>
      <c r="I1227" s="89">
        <v>0</v>
      </c>
      <c r="J1227" s="89">
        <v>0</v>
      </c>
      <c r="K1227" s="87" t="s">
        <v>19</v>
      </c>
      <c r="L1227" s="87" t="s">
        <v>170</v>
      </c>
      <c r="M1227" s="90">
        <f t="shared" si="117"/>
        <v>3027744000</v>
      </c>
      <c r="N1227" s="89">
        <f t="shared" si="118"/>
        <v>1633992000</v>
      </c>
      <c r="O1227" s="89">
        <f t="shared" si="119"/>
        <v>1393752000</v>
      </c>
      <c r="P1227" s="87">
        <f t="shared" si="115"/>
        <v>0.10545967451048432</v>
      </c>
      <c r="Q1227" s="87">
        <f t="shared" si="116"/>
        <v>0.22909735501084261</v>
      </c>
    </row>
    <row r="1228" spans="1:17">
      <c r="A1228" s="83">
        <v>1274</v>
      </c>
      <c r="B1228" s="83" t="s">
        <v>448</v>
      </c>
      <c r="C1228" s="83" t="s">
        <v>22</v>
      </c>
      <c r="D1228" s="84">
        <v>42500</v>
      </c>
      <c r="E1228" s="85">
        <f t="shared" si="114"/>
        <v>2016</v>
      </c>
      <c r="F1228" s="86">
        <v>12711744000</v>
      </c>
      <c r="G1228" s="86">
        <v>9655245000</v>
      </c>
      <c r="H1228" s="86">
        <v>1544746000</v>
      </c>
      <c r="I1228" s="86">
        <v>0</v>
      </c>
      <c r="J1228" s="86">
        <v>0</v>
      </c>
      <c r="K1228" s="83" t="s">
        <v>19</v>
      </c>
      <c r="L1228" s="83" t="s">
        <v>170</v>
      </c>
      <c r="M1228" s="91">
        <f t="shared" si="117"/>
        <v>3056499000</v>
      </c>
      <c r="N1228" s="86">
        <f t="shared" si="118"/>
        <v>1544746000</v>
      </c>
      <c r="O1228" s="86">
        <f t="shared" si="119"/>
        <v>1511753000</v>
      </c>
      <c r="P1228" s="83">
        <f t="shared" si="115"/>
        <v>0.11892569579752393</v>
      </c>
      <c r="Q1228" s="83">
        <f t="shared" si="116"/>
        <v>0.24044686551271011</v>
      </c>
    </row>
    <row r="1229" spans="1:17">
      <c r="A1229" s="87">
        <v>1275</v>
      </c>
      <c r="B1229" s="87" t="s">
        <v>448</v>
      </c>
      <c r="C1229" s="87" t="s">
        <v>23</v>
      </c>
      <c r="D1229" s="84">
        <v>42501</v>
      </c>
      <c r="E1229" s="88">
        <f t="shared" si="114"/>
        <v>2016</v>
      </c>
      <c r="F1229" s="89">
        <v>11360753000</v>
      </c>
      <c r="G1229" s="89">
        <v>8823384000</v>
      </c>
      <c r="H1229" s="89">
        <v>1359360000</v>
      </c>
      <c r="I1229" s="89">
        <v>0</v>
      </c>
      <c r="J1229" s="89">
        <v>0</v>
      </c>
      <c r="K1229" s="87" t="s">
        <v>19</v>
      </c>
      <c r="L1229" s="87" t="s">
        <v>170</v>
      </c>
      <c r="M1229" s="90">
        <f t="shared" si="117"/>
        <v>2537369000</v>
      </c>
      <c r="N1229" s="89">
        <f t="shared" si="118"/>
        <v>1359360000</v>
      </c>
      <c r="O1229" s="89">
        <f t="shared" si="119"/>
        <v>1178009000</v>
      </c>
      <c r="P1229" s="87">
        <f t="shared" si="115"/>
        <v>0.10369110216549907</v>
      </c>
      <c r="Q1229" s="87">
        <f t="shared" si="116"/>
        <v>0.22334514270312888</v>
      </c>
    </row>
    <row r="1230" spans="1:17">
      <c r="A1230" s="83">
        <v>1276</v>
      </c>
      <c r="B1230" s="83" t="s">
        <v>449</v>
      </c>
      <c r="C1230" s="83" t="s">
        <v>18</v>
      </c>
      <c r="D1230" s="84">
        <v>42502</v>
      </c>
      <c r="E1230" s="85">
        <f t="shared" si="114"/>
        <v>2016</v>
      </c>
      <c r="F1230" s="86">
        <v>5679595000</v>
      </c>
      <c r="G1230" s="86">
        <v>4507196000</v>
      </c>
      <c r="H1230" s="86">
        <v>568500000</v>
      </c>
      <c r="I1230" s="86">
        <v>0</v>
      </c>
      <c r="J1230" s="86">
        <v>0</v>
      </c>
      <c r="K1230" s="83" t="s">
        <v>25</v>
      </c>
      <c r="L1230" s="83" t="s">
        <v>207</v>
      </c>
      <c r="M1230" s="91">
        <f t="shared" si="117"/>
        <v>1172399000</v>
      </c>
      <c r="N1230" s="86">
        <f t="shared" si="118"/>
        <v>568500000</v>
      </c>
      <c r="O1230" s="86">
        <f t="shared" si="119"/>
        <v>603899000</v>
      </c>
      <c r="P1230" s="83">
        <f t="shared" si="115"/>
        <v>0.10632782795252126</v>
      </c>
      <c r="Q1230" s="83">
        <f t="shared" si="116"/>
        <v>0.20642299318877488</v>
      </c>
    </row>
    <row r="1231" spans="1:17">
      <c r="A1231" s="87">
        <v>1277</v>
      </c>
      <c r="B1231" s="87" t="s">
        <v>449</v>
      </c>
      <c r="C1231" s="87" t="s">
        <v>21</v>
      </c>
      <c r="D1231" s="84">
        <v>42503</v>
      </c>
      <c r="E1231" s="88">
        <f t="shared" si="114"/>
        <v>2016</v>
      </c>
      <c r="F1231" s="89">
        <v>5822363000</v>
      </c>
      <c r="G1231" s="89">
        <v>4244479000</v>
      </c>
      <c r="H1231" s="89">
        <v>861390000</v>
      </c>
      <c r="I1231" s="89">
        <v>0</v>
      </c>
      <c r="J1231" s="89">
        <v>0</v>
      </c>
      <c r="K1231" s="87" t="s">
        <v>25</v>
      </c>
      <c r="L1231" s="87" t="s">
        <v>207</v>
      </c>
      <c r="M1231" s="90">
        <f t="shared" si="117"/>
        <v>1577884000</v>
      </c>
      <c r="N1231" s="89">
        <f t="shared" si="118"/>
        <v>861390000</v>
      </c>
      <c r="O1231" s="89">
        <f t="shared" si="119"/>
        <v>716494000</v>
      </c>
      <c r="P1231" s="87">
        <f t="shared" si="115"/>
        <v>0.12305897107411544</v>
      </c>
      <c r="Q1231" s="87">
        <f t="shared" si="116"/>
        <v>0.27100405797439975</v>
      </c>
    </row>
    <row r="1232" spans="1:17">
      <c r="A1232" s="83">
        <v>1278</v>
      </c>
      <c r="B1232" s="83" t="s">
        <v>449</v>
      </c>
      <c r="C1232" s="83" t="s">
        <v>22</v>
      </c>
      <c r="D1232" s="84">
        <v>42504</v>
      </c>
      <c r="E1232" s="85">
        <f t="shared" si="114"/>
        <v>2016</v>
      </c>
      <c r="F1232" s="86">
        <v>5981964000</v>
      </c>
      <c r="G1232" s="86">
        <v>4353850000</v>
      </c>
      <c r="H1232" s="86">
        <v>794728000</v>
      </c>
      <c r="I1232" s="86">
        <v>0</v>
      </c>
      <c r="J1232" s="86">
        <v>0</v>
      </c>
      <c r="K1232" s="83" t="s">
        <v>25</v>
      </c>
      <c r="L1232" s="83" t="s">
        <v>207</v>
      </c>
      <c r="M1232" s="91">
        <f t="shared" si="117"/>
        <v>1628114000</v>
      </c>
      <c r="N1232" s="86">
        <f t="shared" si="118"/>
        <v>794728000</v>
      </c>
      <c r="O1232" s="86">
        <f t="shared" si="119"/>
        <v>833386000</v>
      </c>
      <c r="P1232" s="83">
        <f t="shared" si="115"/>
        <v>0.13931645192114162</v>
      </c>
      <c r="Q1232" s="83">
        <f t="shared" si="116"/>
        <v>0.27217047778956882</v>
      </c>
    </row>
    <row r="1233" spans="1:17">
      <c r="A1233" s="87">
        <v>1279</v>
      </c>
      <c r="B1233" s="87" t="s">
        <v>449</v>
      </c>
      <c r="C1233" s="87" t="s">
        <v>23</v>
      </c>
      <c r="D1233" s="84">
        <v>42505</v>
      </c>
      <c r="E1233" s="88">
        <f t="shared" si="114"/>
        <v>2016</v>
      </c>
      <c r="F1233" s="89">
        <v>7668476000</v>
      </c>
      <c r="G1233" s="89">
        <v>5728662000</v>
      </c>
      <c r="H1233" s="89">
        <v>957150000</v>
      </c>
      <c r="I1233" s="89">
        <v>0</v>
      </c>
      <c r="J1233" s="89">
        <v>0</v>
      </c>
      <c r="K1233" s="87" t="s">
        <v>25</v>
      </c>
      <c r="L1233" s="87" t="s">
        <v>207</v>
      </c>
      <c r="M1233" s="90">
        <f t="shared" si="117"/>
        <v>1939814000</v>
      </c>
      <c r="N1233" s="89">
        <f t="shared" si="118"/>
        <v>957150000</v>
      </c>
      <c r="O1233" s="89">
        <f t="shared" si="119"/>
        <v>982664000</v>
      </c>
      <c r="P1233" s="87">
        <f t="shared" si="115"/>
        <v>0.12814332339307055</v>
      </c>
      <c r="Q1233" s="87">
        <f t="shared" si="116"/>
        <v>0.25295951894483337</v>
      </c>
    </row>
    <row r="1234" spans="1:17">
      <c r="A1234" s="83">
        <v>1280</v>
      </c>
      <c r="B1234" s="83" t="s">
        <v>450</v>
      </c>
      <c r="C1234" s="83" t="s">
        <v>18</v>
      </c>
      <c r="D1234" s="84">
        <v>42506</v>
      </c>
      <c r="E1234" s="85">
        <f t="shared" si="114"/>
        <v>2016</v>
      </c>
      <c r="F1234" s="86">
        <v>2105188000</v>
      </c>
      <c r="G1234" s="86">
        <v>1143659000</v>
      </c>
      <c r="H1234" s="86">
        <v>627370000</v>
      </c>
      <c r="I1234" s="86">
        <v>131835000</v>
      </c>
      <c r="J1234" s="86">
        <v>0</v>
      </c>
      <c r="K1234" s="83" t="s">
        <v>31</v>
      </c>
      <c r="L1234" s="83" t="s">
        <v>36</v>
      </c>
      <c r="M1234" s="91">
        <f t="shared" si="117"/>
        <v>961529000</v>
      </c>
      <c r="N1234" s="86">
        <f t="shared" si="118"/>
        <v>759205000</v>
      </c>
      <c r="O1234" s="86">
        <f t="shared" si="119"/>
        <v>202324000</v>
      </c>
      <c r="P1234" s="83">
        <f t="shared" si="115"/>
        <v>9.6107331031717827E-2</v>
      </c>
      <c r="Q1234" s="83">
        <f t="shared" si="116"/>
        <v>0.4567425807101313</v>
      </c>
    </row>
    <row r="1235" spans="1:17">
      <c r="A1235" s="87">
        <v>1281</v>
      </c>
      <c r="B1235" s="87" t="s">
        <v>450</v>
      </c>
      <c r="C1235" s="87" t="s">
        <v>21</v>
      </c>
      <c r="D1235" s="84">
        <v>42507</v>
      </c>
      <c r="E1235" s="88">
        <f t="shared" si="114"/>
        <v>2016</v>
      </c>
      <c r="F1235" s="89">
        <v>2157586000</v>
      </c>
      <c r="G1235" s="89">
        <v>1181444000</v>
      </c>
      <c r="H1235" s="89">
        <v>581898000</v>
      </c>
      <c r="I1235" s="89">
        <v>132400000</v>
      </c>
      <c r="J1235" s="89">
        <v>0</v>
      </c>
      <c r="K1235" s="87" t="s">
        <v>31</v>
      </c>
      <c r="L1235" s="87" t="s">
        <v>36</v>
      </c>
      <c r="M1235" s="90">
        <f t="shared" si="117"/>
        <v>976142000</v>
      </c>
      <c r="N1235" s="89">
        <f t="shared" si="118"/>
        <v>714298000</v>
      </c>
      <c r="O1235" s="89">
        <f t="shared" si="119"/>
        <v>261844000</v>
      </c>
      <c r="P1235" s="87">
        <f t="shared" si="115"/>
        <v>0.12135970478117675</v>
      </c>
      <c r="Q1235" s="87">
        <f t="shared" si="116"/>
        <v>0.45242321742910829</v>
      </c>
    </row>
    <row r="1236" spans="1:17">
      <c r="A1236" s="83">
        <v>1282</v>
      </c>
      <c r="B1236" s="83" t="s">
        <v>450</v>
      </c>
      <c r="C1236" s="83" t="s">
        <v>22</v>
      </c>
      <c r="D1236" s="84">
        <v>42508</v>
      </c>
      <c r="E1236" s="85">
        <f t="shared" si="114"/>
        <v>2016</v>
      </c>
      <c r="F1236" s="86">
        <v>2237219000</v>
      </c>
      <c r="G1236" s="86">
        <v>1232611000</v>
      </c>
      <c r="H1236" s="86">
        <v>659335000</v>
      </c>
      <c r="I1236" s="86">
        <v>121141000</v>
      </c>
      <c r="J1236" s="86">
        <v>0</v>
      </c>
      <c r="K1236" s="83" t="s">
        <v>31</v>
      </c>
      <c r="L1236" s="83" t="s">
        <v>36</v>
      </c>
      <c r="M1236" s="91">
        <f t="shared" si="117"/>
        <v>1004608000</v>
      </c>
      <c r="N1236" s="86">
        <f t="shared" si="118"/>
        <v>780476000</v>
      </c>
      <c r="O1236" s="86">
        <f t="shared" si="119"/>
        <v>224132000</v>
      </c>
      <c r="P1236" s="83">
        <f t="shared" si="115"/>
        <v>0.10018330793722027</v>
      </c>
      <c r="Q1236" s="83">
        <f t="shared" si="116"/>
        <v>0.44904320944887377</v>
      </c>
    </row>
    <row r="1237" spans="1:17">
      <c r="A1237" s="87">
        <v>1283</v>
      </c>
      <c r="B1237" s="87" t="s">
        <v>450</v>
      </c>
      <c r="C1237" s="87" t="s">
        <v>23</v>
      </c>
      <c r="D1237" s="84">
        <v>42509</v>
      </c>
      <c r="E1237" s="88">
        <f t="shared" si="114"/>
        <v>2016</v>
      </c>
      <c r="F1237" s="89">
        <v>2262359000</v>
      </c>
      <c r="G1237" s="89">
        <v>1237859000</v>
      </c>
      <c r="H1237" s="89">
        <v>598848000</v>
      </c>
      <c r="I1237" s="89">
        <v>125928000</v>
      </c>
      <c r="J1237" s="89">
        <v>0</v>
      </c>
      <c r="K1237" s="87" t="s">
        <v>31</v>
      </c>
      <c r="L1237" s="87" t="s">
        <v>36</v>
      </c>
      <c r="M1237" s="90">
        <f t="shared" si="117"/>
        <v>1024500000</v>
      </c>
      <c r="N1237" s="89">
        <f t="shared" si="118"/>
        <v>724776000</v>
      </c>
      <c r="O1237" s="89">
        <f t="shared" si="119"/>
        <v>299724000</v>
      </c>
      <c r="P1237" s="87">
        <f t="shared" si="115"/>
        <v>0.13248295252875428</v>
      </c>
      <c r="Q1237" s="87">
        <f t="shared" si="116"/>
        <v>0.45284590111472145</v>
      </c>
    </row>
    <row r="1238" spans="1:17">
      <c r="A1238" s="83">
        <v>1284</v>
      </c>
      <c r="B1238" s="83" t="s">
        <v>451</v>
      </c>
      <c r="C1238" s="83" t="s">
        <v>18</v>
      </c>
      <c r="D1238" s="84">
        <v>42510</v>
      </c>
      <c r="E1238" s="85">
        <f t="shared" si="114"/>
        <v>2016</v>
      </c>
      <c r="F1238" s="86">
        <v>80029000000</v>
      </c>
      <c r="G1238" s="86">
        <v>59222000000</v>
      </c>
      <c r="H1238" s="86">
        <v>6890000000</v>
      </c>
      <c r="I1238" s="86">
        <v>0</v>
      </c>
      <c r="J1238" s="86">
        <v>93000000</v>
      </c>
      <c r="K1238" s="83" t="s">
        <v>42</v>
      </c>
      <c r="L1238" s="83" t="s">
        <v>399</v>
      </c>
      <c r="M1238" s="91">
        <f t="shared" si="117"/>
        <v>20807000000</v>
      </c>
      <c r="N1238" s="86">
        <f t="shared" si="118"/>
        <v>6983000000</v>
      </c>
      <c r="O1238" s="86">
        <f t="shared" si="119"/>
        <v>13824000000</v>
      </c>
      <c r="P1238" s="83">
        <f t="shared" si="115"/>
        <v>0.1727373826987717</v>
      </c>
      <c r="Q1238" s="83">
        <f t="shared" si="116"/>
        <v>0.25999325244598837</v>
      </c>
    </row>
    <row r="1239" spans="1:17">
      <c r="A1239" s="87">
        <v>1285</v>
      </c>
      <c r="B1239" s="87" t="s">
        <v>451</v>
      </c>
      <c r="C1239" s="87" t="s">
        <v>21</v>
      </c>
      <c r="D1239" s="84">
        <v>42511</v>
      </c>
      <c r="E1239" s="88">
        <f t="shared" si="114"/>
        <v>2016</v>
      </c>
      <c r="F1239" s="89">
        <v>80106000000</v>
      </c>
      <c r="G1239" s="89">
        <v>60775000000</v>
      </c>
      <c r="H1239" s="89">
        <v>7001000000</v>
      </c>
      <c r="I1239" s="89">
        <v>0</v>
      </c>
      <c r="J1239" s="89">
        <v>93000000</v>
      </c>
      <c r="K1239" s="87" t="s">
        <v>42</v>
      </c>
      <c r="L1239" s="87" t="s">
        <v>399</v>
      </c>
      <c r="M1239" s="90">
        <f t="shared" si="117"/>
        <v>19331000000</v>
      </c>
      <c r="N1239" s="89">
        <f t="shared" si="118"/>
        <v>7094000000</v>
      </c>
      <c r="O1239" s="89">
        <f t="shared" si="119"/>
        <v>12237000000</v>
      </c>
      <c r="P1239" s="87">
        <f t="shared" si="115"/>
        <v>0.15276009287693806</v>
      </c>
      <c r="Q1239" s="87">
        <f t="shared" si="116"/>
        <v>0.24131775397598187</v>
      </c>
    </row>
    <row r="1240" spans="1:17">
      <c r="A1240" s="83">
        <v>1286</v>
      </c>
      <c r="B1240" s="83" t="s">
        <v>451</v>
      </c>
      <c r="C1240" s="83" t="s">
        <v>22</v>
      </c>
      <c r="D1240" s="84">
        <v>42512</v>
      </c>
      <c r="E1240" s="85">
        <f t="shared" si="114"/>
        <v>2016</v>
      </c>
      <c r="F1240" s="86">
        <v>73908000000</v>
      </c>
      <c r="G1240" s="86">
        <v>56479000000</v>
      </c>
      <c r="H1240" s="86">
        <v>6656000000</v>
      </c>
      <c r="I1240" s="86">
        <v>0</v>
      </c>
      <c r="J1240" s="86">
        <v>82000000</v>
      </c>
      <c r="K1240" s="83" t="s">
        <v>42</v>
      </c>
      <c r="L1240" s="83" t="s">
        <v>399</v>
      </c>
      <c r="M1240" s="91">
        <f t="shared" si="117"/>
        <v>17429000000</v>
      </c>
      <c r="N1240" s="86">
        <f t="shared" si="118"/>
        <v>6738000000</v>
      </c>
      <c r="O1240" s="86">
        <f t="shared" si="119"/>
        <v>10691000000</v>
      </c>
      <c r="P1240" s="83">
        <f t="shared" si="115"/>
        <v>0.14465281160361532</v>
      </c>
      <c r="Q1240" s="83">
        <f t="shared" si="116"/>
        <v>0.23582020890837252</v>
      </c>
    </row>
    <row r="1241" spans="1:17">
      <c r="A1241" s="87">
        <v>1287</v>
      </c>
      <c r="B1241" s="87" t="s">
        <v>451</v>
      </c>
      <c r="C1241" s="87" t="s">
        <v>23</v>
      </c>
      <c r="D1241" s="84">
        <v>42513</v>
      </c>
      <c r="E1241" s="88">
        <f t="shared" si="114"/>
        <v>2016</v>
      </c>
      <c r="F1241" s="89">
        <v>74953000000</v>
      </c>
      <c r="G1241" s="89">
        <v>57659000000</v>
      </c>
      <c r="H1241" s="89">
        <v>6405000000</v>
      </c>
      <c r="I1241" s="89">
        <v>0</v>
      </c>
      <c r="J1241" s="89">
        <v>74000000</v>
      </c>
      <c r="K1241" s="87" t="s">
        <v>42</v>
      </c>
      <c r="L1241" s="87" t="s">
        <v>399</v>
      </c>
      <c r="M1241" s="90">
        <f t="shared" si="117"/>
        <v>17294000000</v>
      </c>
      <c r="N1241" s="89">
        <f t="shared" si="118"/>
        <v>6479000000</v>
      </c>
      <c r="O1241" s="89">
        <f t="shared" si="119"/>
        <v>10815000000</v>
      </c>
      <c r="P1241" s="87">
        <f t="shared" si="115"/>
        <v>0.14429042199778527</v>
      </c>
      <c r="Q1241" s="87">
        <f t="shared" si="116"/>
        <v>0.23073125825517327</v>
      </c>
    </row>
    <row r="1242" spans="1:17">
      <c r="A1242" s="83">
        <v>1288</v>
      </c>
      <c r="B1242" s="83" t="s">
        <v>452</v>
      </c>
      <c r="C1242" s="83" t="s">
        <v>18</v>
      </c>
      <c r="D1242" s="84">
        <v>42514</v>
      </c>
      <c r="E1242" s="85">
        <f t="shared" si="114"/>
        <v>2016</v>
      </c>
      <c r="F1242" s="86">
        <v>16606000000</v>
      </c>
      <c r="G1242" s="86">
        <v>386000000</v>
      </c>
      <c r="H1242" s="86">
        <v>10486000000</v>
      </c>
      <c r="I1242" s="86">
        <v>0</v>
      </c>
      <c r="J1242" s="86">
        <v>987000000</v>
      </c>
      <c r="K1242" s="83" t="s">
        <v>53</v>
      </c>
      <c r="L1242" s="83" t="s">
        <v>111</v>
      </c>
      <c r="M1242" s="91">
        <f t="shared" si="117"/>
        <v>16220000000</v>
      </c>
      <c r="N1242" s="86">
        <f t="shared" si="118"/>
        <v>11473000000</v>
      </c>
      <c r="O1242" s="86">
        <f t="shared" si="119"/>
        <v>4747000000</v>
      </c>
      <c r="P1242" s="83">
        <f t="shared" si="115"/>
        <v>0.28586053233770925</v>
      </c>
      <c r="Q1242" s="83">
        <f t="shared" si="116"/>
        <v>0.97675538961821029</v>
      </c>
    </row>
    <row r="1243" spans="1:17">
      <c r="A1243" s="87">
        <v>1289</v>
      </c>
      <c r="B1243" s="87" t="s">
        <v>452</v>
      </c>
      <c r="C1243" s="87" t="s">
        <v>21</v>
      </c>
      <c r="D1243" s="84">
        <v>42515</v>
      </c>
      <c r="E1243" s="88">
        <f t="shared" si="114"/>
        <v>2016</v>
      </c>
      <c r="F1243" s="89">
        <v>16872000000</v>
      </c>
      <c r="G1243" s="89">
        <v>344000000</v>
      </c>
      <c r="H1243" s="89">
        <v>9681000000</v>
      </c>
      <c r="I1243" s="89">
        <v>0</v>
      </c>
      <c r="J1243" s="89">
        <v>643000000</v>
      </c>
      <c r="K1243" s="87" t="s">
        <v>53</v>
      </c>
      <c r="L1243" s="87" t="s">
        <v>111</v>
      </c>
      <c r="M1243" s="90">
        <f t="shared" si="117"/>
        <v>16528000000</v>
      </c>
      <c r="N1243" s="89">
        <f t="shared" si="118"/>
        <v>10324000000</v>
      </c>
      <c r="O1243" s="89">
        <f t="shared" si="119"/>
        <v>6204000000</v>
      </c>
      <c r="P1243" s="87">
        <f t="shared" si="115"/>
        <v>0.36770981507823614</v>
      </c>
      <c r="Q1243" s="87">
        <f t="shared" si="116"/>
        <v>0.97961119013750597</v>
      </c>
    </row>
    <row r="1244" spans="1:17">
      <c r="A1244" s="83">
        <v>1290</v>
      </c>
      <c r="B1244" s="83" t="s">
        <v>452</v>
      </c>
      <c r="C1244" s="83" t="s">
        <v>22</v>
      </c>
      <c r="D1244" s="84">
        <v>42516</v>
      </c>
      <c r="E1244" s="85">
        <f t="shared" si="114"/>
        <v>2016</v>
      </c>
      <c r="F1244" s="86">
        <v>16281000000</v>
      </c>
      <c r="G1244" s="86">
        <v>325000000</v>
      </c>
      <c r="H1244" s="86">
        <v>9488000000</v>
      </c>
      <c r="I1244" s="86">
        <v>0</v>
      </c>
      <c r="J1244" s="86">
        <v>273000000</v>
      </c>
      <c r="K1244" s="83" t="s">
        <v>53</v>
      </c>
      <c r="L1244" s="83" t="s">
        <v>111</v>
      </c>
      <c r="M1244" s="91">
        <f t="shared" si="117"/>
        <v>15956000000</v>
      </c>
      <c r="N1244" s="86">
        <f t="shared" si="118"/>
        <v>9761000000</v>
      </c>
      <c r="O1244" s="86">
        <f t="shared" si="119"/>
        <v>6195000000</v>
      </c>
      <c r="P1244" s="83">
        <f t="shared" si="115"/>
        <v>0.38050488299244517</v>
      </c>
      <c r="Q1244" s="83">
        <f t="shared" si="116"/>
        <v>0.98003808119894353</v>
      </c>
    </row>
    <row r="1245" spans="1:17">
      <c r="A1245" s="87">
        <v>1291</v>
      </c>
      <c r="B1245" s="87" t="s">
        <v>452</v>
      </c>
      <c r="C1245" s="87" t="s">
        <v>23</v>
      </c>
      <c r="D1245" s="84">
        <v>42517</v>
      </c>
      <c r="E1245" s="88">
        <f t="shared" si="114"/>
        <v>2016</v>
      </c>
      <c r="F1245" s="89">
        <v>16270000000</v>
      </c>
      <c r="G1245" s="89">
        <v>403000000</v>
      </c>
      <c r="H1245" s="89">
        <v>9463000000</v>
      </c>
      <c r="I1245" s="89">
        <v>0</v>
      </c>
      <c r="J1245" s="89">
        <v>255000000</v>
      </c>
      <c r="K1245" s="87" t="s">
        <v>53</v>
      </c>
      <c r="L1245" s="87" t="s">
        <v>111</v>
      </c>
      <c r="M1245" s="90">
        <f t="shared" si="117"/>
        <v>15867000000</v>
      </c>
      <c r="N1245" s="89">
        <f t="shared" si="118"/>
        <v>9718000000</v>
      </c>
      <c r="O1245" s="89">
        <f t="shared" si="119"/>
        <v>6149000000</v>
      </c>
      <c r="P1245" s="87">
        <f t="shared" si="115"/>
        <v>0.37793484941610328</v>
      </c>
      <c r="Q1245" s="87">
        <f t="shared" si="116"/>
        <v>0.97523048555623848</v>
      </c>
    </row>
    <row r="1246" spans="1:17">
      <c r="A1246" s="83">
        <v>1292</v>
      </c>
      <c r="B1246" s="83" t="s">
        <v>453</v>
      </c>
      <c r="C1246" s="83" t="s">
        <v>18</v>
      </c>
      <c r="D1246" s="84">
        <v>42518</v>
      </c>
      <c r="E1246" s="85">
        <f t="shared" si="114"/>
        <v>2016</v>
      </c>
      <c r="F1246" s="86">
        <v>4306800000</v>
      </c>
      <c r="G1246" s="86">
        <v>3040900000</v>
      </c>
      <c r="H1246" s="86">
        <v>1117700000</v>
      </c>
      <c r="I1246" s="86">
        <v>92300000</v>
      </c>
      <c r="J1246" s="86">
        <v>0</v>
      </c>
      <c r="K1246" s="83" t="s">
        <v>19</v>
      </c>
      <c r="L1246" s="83" t="s">
        <v>163</v>
      </c>
      <c r="M1246" s="91">
        <f t="shared" si="117"/>
        <v>1265900000</v>
      </c>
      <c r="N1246" s="86">
        <f t="shared" si="118"/>
        <v>1210000000</v>
      </c>
      <c r="O1246" s="86">
        <f t="shared" si="119"/>
        <v>55900000</v>
      </c>
      <c r="P1246" s="83">
        <f t="shared" si="115"/>
        <v>1.2979474319680506E-2</v>
      </c>
      <c r="Q1246" s="83">
        <f t="shared" si="116"/>
        <v>0.29393052846661094</v>
      </c>
    </row>
    <row r="1247" spans="1:17">
      <c r="A1247" s="87">
        <v>1293</v>
      </c>
      <c r="B1247" s="87" t="s">
        <v>453</v>
      </c>
      <c r="C1247" s="87" t="s">
        <v>21</v>
      </c>
      <c r="D1247" s="84">
        <v>42519</v>
      </c>
      <c r="E1247" s="88">
        <f t="shared" si="114"/>
        <v>2016</v>
      </c>
      <c r="F1247" s="89">
        <v>6999700000</v>
      </c>
      <c r="G1247" s="89">
        <v>4629600000</v>
      </c>
      <c r="H1247" s="89">
        <v>1493700000</v>
      </c>
      <c r="I1247" s="89">
        <v>122800000</v>
      </c>
      <c r="J1247" s="89">
        <v>0</v>
      </c>
      <c r="K1247" s="87" t="s">
        <v>19</v>
      </c>
      <c r="L1247" s="87" t="s">
        <v>163</v>
      </c>
      <c r="M1247" s="90">
        <f t="shared" si="117"/>
        <v>2370100000</v>
      </c>
      <c r="N1247" s="89">
        <f t="shared" si="118"/>
        <v>1616500000</v>
      </c>
      <c r="O1247" s="89">
        <f t="shared" si="119"/>
        <v>753600000</v>
      </c>
      <c r="P1247" s="87">
        <f t="shared" si="115"/>
        <v>0.10766175693243996</v>
      </c>
      <c r="Q1247" s="87">
        <f t="shared" si="116"/>
        <v>0.33860022572395965</v>
      </c>
    </row>
    <row r="1248" spans="1:17">
      <c r="A1248" s="83">
        <v>1294</v>
      </c>
      <c r="B1248" s="83" t="s">
        <v>453</v>
      </c>
      <c r="C1248" s="83" t="s">
        <v>22</v>
      </c>
      <c r="D1248" s="84">
        <v>42520</v>
      </c>
      <c r="E1248" s="85">
        <f t="shared" si="114"/>
        <v>2016</v>
      </c>
      <c r="F1248" s="86">
        <v>7039000000</v>
      </c>
      <c r="G1248" s="86">
        <v>4576000000</v>
      </c>
      <c r="H1248" s="86">
        <v>1493800000</v>
      </c>
      <c r="I1248" s="86">
        <v>117300000</v>
      </c>
      <c r="J1248" s="86">
        <v>0</v>
      </c>
      <c r="K1248" s="83" t="s">
        <v>19</v>
      </c>
      <c r="L1248" s="83" t="s">
        <v>163</v>
      </c>
      <c r="M1248" s="91">
        <f t="shared" si="117"/>
        <v>2463000000</v>
      </c>
      <c r="N1248" s="86">
        <f t="shared" si="118"/>
        <v>1611100000</v>
      </c>
      <c r="O1248" s="86">
        <f t="shared" si="119"/>
        <v>851900000</v>
      </c>
      <c r="P1248" s="83">
        <f t="shared" si="115"/>
        <v>0.12102571387981248</v>
      </c>
      <c r="Q1248" s="83">
        <f t="shared" si="116"/>
        <v>0.34990765733769003</v>
      </c>
    </row>
    <row r="1249" spans="1:17">
      <c r="A1249" s="87">
        <v>1295</v>
      </c>
      <c r="B1249" s="87" t="s">
        <v>453</v>
      </c>
      <c r="C1249" s="87" t="s">
        <v>23</v>
      </c>
      <c r="D1249" s="84">
        <v>42521</v>
      </c>
      <c r="E1249" s="88">
        <f t="shared" si="114"/>
        <v>2016</v>
      </c>
      <c r="F1249" s="89">
        <v>6449000000</v>
      </c>
      <c r="G1249" s="89">
        <v>4263200000</v>
      </c>
      <c r="H1249" s="89">
        <v>1334300000</v>
      </c>
      <c r="I1249" s="89">
        <v>119600000</v>
      </c>
      <c r="J1249" s="89">
        <v>0</v>
      </c>
      <c r="K1249" s="87" t="s">
        <v>19</v>
      </c>
      <c r="L1249" s="87" t="s">
        <v>163</v>
      </c>
      <c r="M1249" s="90">
        <f t="shared" si="117"/>
        <v>2185800000</v>
      </c>
      <c r="N1249" s="89">
        <f t="shared" si="118"/>
        <v>1453900000</v>
      </c>
      <c r="O1249" s="89">
        <f t="shared" si="119"/>
        <v>731900000</v>
      </c>
      <c r="P1249" s="87">
        <f t="shared" si="115"/>
        <v>0.11349046363777329</v>
      </c>
      <c r="Q1249" s="87">
        <f t="shared" si="116"/>
        <v>0.33893626918902153</v>
      </c>
    </row>
    <row r="1250" spans="1:17">
      <c r="A1250" s="83">
        <v>1296</v>
      </c>
      <c r="B1250" s="83" t="s">
        <v>454</v>
      </c>
      <c r="C1250" s="83" t="s">
        <v>18</v>
      </c>
      <c r="D1250" s="84">
        <v>42522</v>
      </c>
      <c r="E1250" s="85">
        <f t="shared" si="114"/>
        <v>2016</v>
      </c>
      <c r="F1250" s="86">
        <v>3301804000</v>
      </c>
      <c r="G1250" s="86">
        <v>1879559000</v>
      </c>
      <c r="H1250" s="86">
        <v>166154000</v>
      </c>
      <c r="I1250" s="86">
        <v>0</v>
      </c>
      <c r="J1250" s="86">
        <v>404336000</v>
      </c>
      <c r="K1250" s="83" t="s">
        <v>48</v>
      </c>
      <c r="L1250" s="83" t="s">
        <v>49</v>
      </c>
      <c r="M1250" s="91">
        <f t="shared" si="117"/>
        <v>1422245000</v>
      </c>
      <c r="N1250" s="86">
        <f t="shared" si="118"/>
        <v>570490000</v>
      </c>
      <c r="O1250" s="86">
        <f t="shared" si="119"/>
        <v>851755000</v>
      </c>
      <c r="P1250" s="83">
        <f t="shared" si="115"/>
        <v>0.25796655404136648</v>
      </c>
      <c r="Q1250" s="83">
        <f t="shared" si="116"/>
        <v>0.43074785783771541</v>
      </c>
    </row>
    <row r="1251" spans="1:17">
      <c r="A1251" s="87">
        <v>1297</v>
      </c>
      <c r="B1251" s="87" t="s">
        <v>454</v>
      </c>
      <c r="C1251" s="87" t="s">
        <v>21</v>
      </c>
      <c r="D1251" s="84">
        <v>42523</v>
      </c>
      <c r="E1251" s="88">
        <f t="shared" si="114"/>
        <v>2016</v>
      </c>
      <c r="F1251" s="89">
        <v>3454628000</v>
      </c>
      <c r="G1251" s="89">
        <v>2020436000</v>
      </c>
      <c r="H1251" s="89">
        <v>172161000</v>
      </c>
      <c r="I1251" s="89">
        <v>0</v>
      </c>
      <c r="J1251" s="89">
        <v>415708000</v>
      </c>
      <c r="K1251" s="87" t="s">
        <v>48</v>
      </c>
      <c r="L1251" s="87" t="s">
        <v>49</v>
      </c>
      <c r="M1251" s="90">
        <f t="shared" si="117"/>
        <v>1434192000</v>
      </c>
      <c r="N1251" s="89">
        <f t="shared" si="118"/>
        <v>587869000</v>
      </c>
      <c r="O1251" s="89">
        <f t="shared" si="119"/>
        <v>846323000</v>
      </c>
      <c r="P1251" s="87">
        <f t="shared" si="115"/>
        <v>0.24498238305253128</v>
      </c>
      <c r="Q1251" s="87">
        <f t="shared" si="116"/>
        <v>0.4151509221832278</v>
      </c>
    </row>
    <row r="1252" spans="1:17">
      <c r="A1252" s="83">
        <v>1298</v>
      </c>
      <c r="B1252" s="83" t="s">
        <v>454</v>
      </c>
      <c r="C1252" s="83" t="s">
        <v>22</v>
      </c>
      <c r="D1252" s="84">
        <v>42524</v>
      </c>
      <c r="E1252" s="85">
        <f t="shared" si="114"/>
        <v>2016</v>
      </c>
      <c r="F1252" s="86">
        <v>3491632000</v>
      </c>
      <c r="G1252" s="86">
        <v>2087854000</v>
      </c>
      <c r="H1252" s="86">
        <v>175178000</v>
      </c>
      <c r="I1252" s="86">
        <v>0</v>
      </c>
      <c r="J1252" s="86">
        <v>417358000</v>
      </c>
      <c r="K1252" s="83" t="s">
        <v>48</v>
      </c>
      <c r="L1252" s="83" t="s">
        <v>49</v>
      </c>
      <c r="M1252" s="91">
        <f t="shared" si="117"/>
        <v>1403778000</v>
      </c>
      <c r="N1252" s="86">
        <f t="shared" si="118"/>
        <v>592536000</v>
      </c>
      <c r="O1252" s="86">
        <f t="shared" si="119"/>
        <v>811242000</v>
      </c>
      <c r="P1252" s="83">
        <f t="shared" si="115"/>
        <v>0.23233891773245291</v>
      </c>
      <c r="Q1252" s="83">
        <f t="shared" si="116"/>
        <v>0.40204065033199377</v>
      </c>
    </row>
    <row r="1253" spans="1:17">
      <c r="A1253" s="87">
        <v>1299</v>
      </c>
      <c r="B1253" s="87" t="s">
        <v>454</v>
      </c>
      <c r="C1253" s="87" t="s">
        <v>23</v>
      </c>
      <c r="D1253" s="84">
        <v>42525</v>
      </c>
      <c r="E1253" s="88">
        <f t="shared" si="114"/>
        <v>2016</v>
      </c>
      <c r="F1253" s="89">
        <v>3495443000</v>
      </c>
      <c r="G1253" s="89">
        <v>1969675000</v>
      </c>
      <c r="H1253" s="89">
        <v>176744000</v>
      </c>
      <c r="I1253" s="89">
        <v>0</v>
      </c>
      <c r="J1253" s="89">
        <v>494422000</v>
      </c>
      <c r="K1253" s="87" t="s">
        <v>48</v>
      </c>
      <c r="L1253" s="87" t="s">
        <v>49</v>
      </c>
      <c r="M1253" s="90">
        <f t="shared" si="117"/>
        <v>1525768000</v>
      </c>
      <c r="N1253" s="89">
        <f t="shared" si="118"/>
        <v>671166000</v>
      </c>
      <c r="O1253" s="89">
        <f t="shared" si="119"/>
        <v>854602000</v>
      </c>
      <c r="P1253" s="87">
        <f t="shared" si="115"/>
        <v>0.24449032640497928</v>
      </c>
      <c r="Q1253" s="87">
        <f t="shared" si="116"/>
        <v>0.43650203994171843</v>
      </c>
    </row>
    <row r="1254" spans="1:17">
      <c r="A1254" s="83">
        <v>1300</v>
      </c>
      <c r="B1254" s="83" t="s">
        <v>455</v>
      </c>
      <c r="C1254" s="83" t="s">
        <v>18</v>
      </c>
      <c r="D1254" s="84">
        <v>42526</v>
      </c>
      <c r="E1254" s="85">
        <f t="shared" si="114"/>
        <v>2016</v>
      </c>
      <c r="F1254" s="86">
        <v>14265000000</v>
      </c>
      <c r="G1254" s="86">
        <v>8314000000</v>
      </c>
      <c r="H1254" s="86">
        <v>3486000000</v>
      </c>
      <c r="I1254" s="86">
        <v>463000000</v>
      </c>
      <c r="J1254" s="86">
        <v>452000000</v>
      </c>
      <c r="K1254" s="83" t="s">
        <v>65</v>
      </c>
      <c r="L1254" s="83" t="s">
        <v>199</v>
      </c>
      <c r="M1254" s="91">
        <f t="shared" si="117"/>
        <v>5951000000</v>
      </c>
      <c r="N1254" s="86">
        <f t="shared" si="118"/>
        <v>4401000000</v>
      </c>
      <c r="O1254" s="86">
        <f t="shared" si="119"/>
        <v>1550000000</v>
      </c>
      <c r="P1254" s="83">
        <f t="shared" si="115"/>
        <v>0.10865755345250613</v>
      </c>
      <c r="Q1254" s="83">
        <f t="shared" si="116"/>
        <v>0.41717490361023479</v>
      </c>
    </row>
    <row r="1255" spans="1:17">
      <c r="A1255" s="87">
        <v>1301</v>
      </c>
      <c r="B1255" s="87" t="s">
        <v>455</v>
      </c>
      <c r="C1255" s="87" t="s">
        <v>21</v>
      </c>
      <c r="D1255" s="84">
        <v>42527</v>
      </c>
      <c r="E1255" s="88">
        <f t="shared" si="114"/>
        <v>2016</v>
      </c>
      <c r="F1255" s="89">
        <v>14791000000</v>
      </c>
      <c r="G1255" s="89">
        <v>8348000000</v>
      </c>
      <c r="H1255" s="89">
        <v>4013000000</v>
      </c>
      <c r="I1255" s="89">
        <v>483000000</v>
      </c>
      <c r="J1255" s="89">
        <v>450000000</v>
      </c>
      <c r="K1255" s="87" t="s">
        <v>65</v>
      </c>
      <c r="L1255" s="87" t="s">
        <v>199</v>
      </c>
      <c r="M1255" s="90">
        <f t="shared" si="117"/>
        <v>6443000000</v>
      </c>
      <c r="N1255" s="89">
        <f t="shared" si="118"/>
        <v>4946000000</v>
      </c>
      <c r="O1255" s="89">
        <f t="shared" si="119"/>
        <v>1497000000</v>
      </c>
      <c r="P1255" s="87">
        <f t="shared" si="115"/>
        <v>0.10121019538908796</v>
      </c>
      <c r="Q1255" s="87">
        <f t="shared" si="116"/>
        <v>0.4356027313907106</v>
      </c>
    </row>
    <row r="1256" spans="1:17">
      <c r="A1256" s="83">
        <v>1302</v>
      </c>
      <c r="B1256" s="83" t="s">
        <v>455</v>
      </c>
      <c r="C1256" s="83" t="s">
        <v>22</v>
      </c>
      <c r="D1256" s="84">
        <v>42528</v>
      </c>
      <c r="E1256" s="85">
        <f t="shared" si="114"/>
        <v>2016</v>
      </c>
      <c r="F1256" s="86">
        <v>14766000000</v>
      </c>
      <c r="G1256" s="86">
        <v>8206000000</v>
      </c>
      <c r="H1256" s="86">
        <v>3624000000</v>
      </c>
      <c r="I1256" s="86">
        <v>476000000</v>
      </c>
      <c r="J1256" s="86">
        <v>471000000</v>
      </c>
      <c r="K1256" s="83" t="s">
        <v>65</v>
      </c>
      <c r="L1256" s="83" t="s">
        <v>199</v>
      </c>
      <c r="M1256" s="91">
        <f t="shared" si="117"/>
        <v>6560000000</v>
      </c>
      <c r="N1256" s="86">
        <f t="shared" si="118"/>
        <v>4571000000</v>
      </c>
      <c r="O1256" s="86">
        <f t="shared" si="119"/>
        <v>1989000000</v>
      </c>
      <c r="P1256" s="83">
        <f t="shared" si="115"/>
        <v>0.13470134091832589</v>
      </c>
      <c r="Q1256" s="83">
        <f t="shared" si="116"/>
        <v>0.44426384938371932</v>
      </c>
    </row>
    <row r="1257" spans="1:17">
      <c r="A1257" s="87">
        <v>1303</v>
      </c>
      <c r="B1257" s="87" t="s">
        <v>455</v>
      </c>
      <c r="C1257" s="87" t="s">
        <v>23</v>
      </c>
      <c r="D1257" s="84">
        <v>42529</v>
      </c>
      <c r="E1257" s="88">
        <f t="shared" si="114"/>
        <v>2016</v>
      </c>
      <c r="F1257" s="89">
        <v>14751000000</v>
      </c>
      <c r="G1257" s="89">
        <v>8063000000</v>
      </c>
      <c r="H1257" s="89">
        <v>4630000000</v>
      </c>
      <c r="I1257" s="89">
        <v>466000000</v>
      </c>
      <c r="J1257" s="89">
        <v>462000000</v>
      </c>
      <c r="K1257" s="87" t="s">
        <v>65</v>
      </c>
      <c r="L1257" s="87" t="s">
        <v>199</v>
      </c>
      <c r="M1257" s="90">
        <f t="shared" si="117"/>
        <v>6688000000</v>
      </c>
      <c r="N1257" s="89">
        <f t="shared" si="118"/>
        <v>5558000000</v>
      </c>
      <c r="O1257" s="89">
        <f t="shared" si="119"/>
        <v>1130000000</v>
      </c>
      <c r="P1257" s="87">
        <f t="shared" si="115"/>
        <v>7.6604975933835001E-2</v>
      </c>
      <c r="Q1257" s="87">
        <f t="shared" si="116"/>
        <v>0.45339299030574198</v>
      </c>
    </row>
    <row r="1258" spans="1:17">
      <c r="A1258" s="83">
        <v>1304</v>
      </c>
      <c r="B1258" s="83" t="s">
        <v>456</v>
      </c>
      <c r="C1258" s="83" t="s">
        <v>18</v>
      </c>
      <c r="D1258" s="84">
        <v>42530</v>
      </c>
      <c r="E1258" s="85">
        <f t="shared" si="114"/>
        <v>2016</v>
      </c>
      <c r="F1258" s="86">
        <v>12132000000</v>
      </c>
      <c r="G1258" s="86">
        <v>4876000000</v>
      </c>
      <c r="H1258" s="86">
        <v>3143000000</v>
      </c>
      <c r="I1258" s="86">
        <v>0</v>
      </c>
      <c r="J1258" s="86">
        <v>1087000000</v>
      </c>
      <c r="K1258" s="83" t="s">
        <v>48</v>
      </c>
      <c r="L1258" s="83" t="s">
        <v>51</v>
      </c>
      <c r="M1258" s="91">
        <f t="shared" si="117"/>
        <v>7256000000</v>
      </c>
      <c r="N1258" s="86">
        <f t="shared" si="118"/>
        <v>4230000000</v>
      </c>
      <c r="O1258" s="86">
        <f t="shared" si="119"/>
        <v>3026000000</v>
      </c>
      <c r="P1258" s="83">
        <f t="shared" si="115"/>
        <v>0.249423013517969</v>
      </c>
      <c r="Q1258" s="83">
        <f t="shared" si="116"/>
        <v>0.59808770194526872</v>
      </c>
    </row>
    <row r="1259" spans="1:17">
      <c r="A1259" s="87">
        <v>1305</v>
      </c>
      <c r="B1259" s="87" t="s">
        <v>456</v>
      </c>
      <c r="C1259" s="87" t="s">
        <v>21</v>
      </c>
      <c r="D1259" s="84">
        <v>42531</v>
      </c>
      <c r="E1259" s="88">
        <f t="shared" si="114"/>
        <v>2016</v>
      </c>
      <c r="F1259" s="89">
        <v>7263000000</v>
      </c>
      <c r="G1259" s="89">
        <v>1751000000</v>
      </c>
      <c r="H1259" s="89">
        <v>2108000000</v>
      </c>
      <c r="I1259" s="89">
        <v>0</v>
      </c>
      <c r="J1259" s="89">
        <v>843000000</v>
      </c>
      <c r="K1259" s="87" t="s">
        <v>48</v>
      </c>
      <c r="L1259" s="87" t="s">
        <v>51</v>
      </c>
      <c r="M1259" s="90">
        <f t="shared" si="117"/>
        <v>5512000000</v>
      </c>
      <c r="N1259" s="89">
        <f t="shared" si="118"/>
        <v>2951000000</v>
      </c>
      <c r="O1259" s="89">
        <f t="shared" si="119"/>
        <v>2561000000</v>
      </c>
      <c r="P1259" s="87">
        <f t="shared" si="115"/>
        <v>0.35260911469089906</v>
      </c>
      <c r="Q1259" s="87">
        <f t="shared" si="116"/>
        <v>0.7589150488778742</v>
      </c>
    </row>
    <row r="1260" spans="1:17">
      <c r="A1260" s="83">
        <v>1306</v>
      </c>
      <c r="B1260" s="83" t="s">
        <v>456</v>
      </c>
      <c r="C1260" s="83" t="s">
        <v>22</v>
      </c>
      <c r="D1260" s="84">
        <v>42532</v>
      </c>
      <c r="E1260" s="85">
        <f t="shared" si="114"/>
        <v>2016</v>
      </c>
      <c r="F1260" s="86">
        <v>7852000000</v>
      </c>
      <c r="G1260" s="86">
        <v>1889000000</v>
      </c>
      <c r="H1260" s="86">
        <v>2173000000</v>
      </c>
      <c r="I1260" s="86">
        <v>0</v>
      </c>
      <c r="J1260" s="86">
        <v>923000000</v>
      </c>
      <c r="K1260" s="83" t="s">
        <v>48</v>
      </c>
      <c r="L1260" s="83" t="s">
        <v>51</v>
      </c>
      <c r="M1260" s="91">
        <f t="shared" si="117"/>
        <v>5963000000</v>
      </c>
      <c r="N1260" s="86">
        <f t="shared" si="118"/>
        <v>3096000000</v>
      </c>
      <c r="O1260" s="86">
        <f t="shared" si="119"/>
        <v>2867000000</v>
      </c>
      <c r="P1260" s="83">
        <f t="shared" si="115"/>
        <v>0.36512990320937339</v>
      </c>
      <c r="Q1260" s="83">
        <f t="shared" si="116"/>
        <v>0.75942435048395307</v>
      </c>
    </row>
    <row r="1261" spans="1:17">
      <c r="A1261" s="87">
        <v>1307</v>
      </c>
      <c r="B1261" s="87" t="s">
        <v>456</v>
      </c>
      <c r="C1261" s="87" t="s">
        <v>23</v>
      </c>
      <c r="D1261" s="84">
        <v>42533</v>
      </c>
      <c r="E1261" s="88">
        <f t="shared" si="114"/>
        <v>2016</v>
      </c>
      <c r="F1261" s="89">
        <v>7669000000</v>
      </c>
      <c r="G1261" s="89">
        <v>1718000000</v>
      </c>
      <c r="H1261" s="89">
        <v>2237000000</v>
      </c>
      <c r="I1261" s="89">
        <v>0</v>
      </c>
      <c r="J1261" s="89">
        <v>883000000</v>
      </c>
      <c r="K1261" s="87" t="s">
        <v>48</v>
      </c>
      <c r="L1261" s="87" t="s">
        <v>51</v>
      </c>
      <c r="M1261" s="90">
        <f t="shared" si="117"/>
        <v>5951000000</v>
      </c>
      <c r="N1261" s="89">
        <f t="shared" si="118"/>
        <v>3120000000</v>
      </c>
      <c r="O1261" s="89">
        <f t="shared" si="119"/>
        <v>2831000000</v>
      </c>
      <c r="P1261" s="87">
        <f t="shared" si="115"/>
        <v>0.36914852001564741</v>
      </c>
      <c r="Q1261" s="87">
        <f t="shared" si="116"/>
        <v>0.77598122310601125</v>
      </c>
    </row>
    <row r="1262" spans="1:17">
      <c r="A1262" s="83">
        <v>1308</v>
      </c>
      <c r="B1262" s="83" t="s">
        <v>457</v>
      </c>
      <c r="C1262" s="83" t="s">
        <v>18</v>
      </c>
      <c r="D1262" s="84">
        <v>42534</v>
      </c>
      <c r="E1262" s="85">
        <f t="shared" si="114"/>
        <v>2016</v>
      </c>
      <c r="F1262" s="86">
        <v>84847000000</v>
      </c>
      <c r="G1262" s="86">
        <v>66635000000</v>
      </c>
      <c r="H1262" s="86">
        <v>17504000000</v>
      </c>
      <c r="I1262" s="86">
        <v>0</v>
      </c>
      <c r="J1262" s="86">
        <v>0</v>
      </c>
      <c r="K1262" s="83" t="s">
        <v>53</v>
      </c>
      <c r="L1262" s="83" t="s">
        <v>385</v>
      </c>
      <c r="M1262" s="91">
        <f t="shared" si="117"/>
        <v>18212000000</v>
      </c>
      <c r="N1262" s="86">
        <f t="shared" si="118"/>
        <v>17504000000</v>
      </c>
      <c r="O1262" s="86">
        <f t="shared" si="119"/>
        <v>708000000</v>
      </c>
      <c r="P1262" s="83">
        <f t="shared" si="115"/>
        <v>8.3444317418411972E-3</v>
      </c>
      <c r="Q1262" s="83">
        <f t="shared" si="116"/>
        <v>0.21464518486216366</v>
      </c>
    </row>
    <row r="1263" spans="1:17">
      <c r="A1263" s="87">
        <v>1309</v>
      </c>
      <c r="B1263" s="87" t="s">
        <v>457</v>
      </c>
      <c r="C1263" s="87" t="s">
        <v>21</v>
      </c>
      <c r="D1263" s="84">
        <v>42535</v>
      </c>
      <c r="E1263" s="88">
        <f t="shared" si="114"/>
        <v>2016</v>
      </c>
      <c r="F1263" s="89">
        <v>41461000000</v>
      </c>
      <c r="G1263" s="89">
        <v>26973000000</v>
      </c>
      <c r="H1263" s="89">
        <v>16172000000</v>
      </c>
      <c r="I1263" s="89">
        <v>0</v>
      </c>
      <c r="J1263" s="89">
        <v>0</v>
      </c>
      <c r="K1263" s="87" t="s">
        <v>53</v>
      </c>
      <c r="L1263" s="87" t="s">
        <v>385</v>
      </c>
      <c r="M1263" s="90">
        <f t="shared" si="117"/>
        <v>14488000000</v>
      </c>
      <c r="N1263" s="89">
        <f t="shared" si="118"/>
        <v>16172000000</v>
      </c>
      <c r="O1263" s="89">
        <f t="shared" si="119"/>
        <v>-1684000000</v>
      </c>
      <c r="P1263" s="87">
        <f t="shared" si="115"/>
        <v>-4.0616482959890017E-2</v>
      </c>
      <c r="Q1263" s="87">
        <f t="shared" si="116"/>
        <v>0.34943682014423194</v>
      </c>
    </row>
    <row r="1264" spans="1:17">
      <c r="A1264" s="83">
        <v>1310</v>
      </c>
      <c r="B1264" s="83" t="s">
        <v>457</v>
      </c>
      <c r="C1264" s="83" t="s">
        <v>22</v>
      </c>
      <c r="D1264" s="84">
        <v>42536</v>
      </c>
      <c r="E1264" s="85">
        <f t="shared" si="114"/>
        <v>2016</v>
      </c>
      <c r="F1264" s="86">
        <v>54105000000</v>
      </c>
      <c r="G1264" s="86">
        <v>33560000000</v>
      </c>
      <c r="H1264" s="86">
        <v>18786000000</v>
      </c>
      <c r="I1264" s="86">
        <v>0</v>
      </c>
      <c r="J1264" s="86">
        <v>0</v>
      </c>
      <c r="K1264" s="83" t="s">
        <v>53</v>
      </c>
      <c r="L1264" s="83" t="s">
        <v>385</v>
      </c>
      <c r="M1264" s="91">
        <f t="shared" si="117"/>
        <v>20545000000</v>
      </c>
      <c r="N1264" s="86">
        <f t="shared" si="118"/>
        <v>18786000000</v>
      </c>
      <c r="O1264" s="86">
        <f t="shared" si="119"/>
        <v>1759000000</v>
      </c>
      <c r="P1264" s="83">
        <f t="shared" si="115"/>
        <v>3.2510858515848812E-2</v>
      </c>
      <c r="Q1264" s="83">
        <f t="shared" si="116"/>
        <v>0.37972460955549392</v>
      </c>
    </row>
    <row r="1265" spans="1:17">
      <c r="A1265" s="87">
        <v>1311</v>
      </c>
      <c r="B1265" s="87" t="s">
        <v>457</v>
      </c>
      <c r="C1265" s="87" t="s">
        <v>23</v>
      </c>
      <c r="D1265" s="84">
        <v>42537</v>
      </c>
      <c r="E1265" s="88">
        <f t="shared" si="114"/>
        <v>2016</v>
      </c>
      <c r="F1265" s="89">
        <v>57119000000</v>
      </c>
      <c r="G1265" s="89">
        <v>32747000000</v>
      </c>
      <c r="H1265" s="89">
        <v>16603000000</v>
      </c>
      <c r="I1265" s="89">
        <v>0</v>
      </c>
      <c r="J1265" s="89">
        <v>0</v>
      </c>
      <c r="K1265" s="87" t="s">
        <v>53</v>
      </c>
      <c r="L1265" s="87" t="s">
        <v>385</v>
      </c>
      <c r="M1265" s="90">
        <f t="shared" si="117"/>
        <v>24372000000</v>
      </c>
      <c r="N1265" s="89">
        <f t="shared" si="118"/>
        <v>16603000000</v>
      </c>
      <c r="O1265" s="89">
        <f t="shared" si="119"/>
        <v>7769000000</v>
      </c>
      <c r="P1265" s="87">
        <f t="shared" si="115"/>
        <v>0.13601428596439014</v>
      </c>
      <c r="Q1265" s="87">
        <f t="shared" si="116"/>
        <v>0.42668814229940999</v>
      </c>
    </row>
    <row r="1266" spans="1:17">
      <c r="A1266" s="83">
        <v>1312</v>
      </c>
      <c r="B1266" s="83" t="s">
        <v>458</v>
      </c>
      <c r="C1266" s="83" t="s">
        <v>18</v>
      </c>
      <c r="D1266" s="84">
        <v>42538</v>
      </c>
      <c r="E1266" s="85">
        <f t="shared" si="114"/>
        <v>2016</v>
      </c>
      <c r="F1266" s="86">
        <v>179290000000</v>
      </c>
      <c r="G1266" s="86">
        <v>158446000000</v>
      </c>
      <c r="H1266" s="86">
        <v>15443000000</v>
      </c>
      <c r="I1266" s="86">
        <v>0</v>
      </c>
      <c r="J1266" s="86">
        <v>931000000</v>
      </c>
      <c r="K1266" s="83" t="s">
        <v>89</v>
      </c>
      <c r="L1266" s="83" t="s">
        <v>347</v>
      </c>
      <c r="M1266" s="91">
        <f t="shared" si="117"/>
        <v>20844000000</v>
      </c>
      <c r="N1266" s="86">
        <f t="shared" si="118"/>
        <v>16374000000</v>
      </c>
      <c r="O1266" s="86">
        <f t="shared" si="119"/>
        <v>4470000000</v>
      </c>
      <c r="P1266" s="83">
        <f t="shared" si="115"/>
        <v>2.4931674940041275E-2</v>
      </c>
      <c r="Q1266" s="83">
        <f t="shared" si="116"/>
        <v>0.1162585754922193</v>
      </c>
    </row>
    <row r="1267" spans="1:17">
      <c r="A1267" s="87">
        <v>1313</v>
      </c>
      <c r="B1267" s="87" t="s">
        <v>458</v>
      </c>
      <c r="C1267" s="87" t="s">
        <v>21</v>
      </c>
      <c r="D1267" s="84">
        <v>42539</v>
      </c>
      <c r="E1267" s="88">
        <f t="shared" si="114"/>
        <v>2016</v>
      </c>
      <c r="F1267" s="89">
        <v>171596000000</v>
      </c>
      <c r="G1267" s="89">
        <v>152451000000</v>
      </c>
      <c r="H1267" s="89">
        <v>15597000000</v>
      </c>
      <c r="I1267" s="89">
        <v>0</v>
      </c>
      <c r="J1267" s="89">
        <v>971000000</v>
      </c>
      <c r="K1267" s="87" t="s">
        <v>89</v>
      </c>
      <c r="L1267" s="87" t="s">
        <v>347</v>
      </c>
      <c r="M1267" s="90">
        <f t="shared" si="117"/>
        <v>19145000000</v>
      </c>
      <c r="N1267" s="89">
        <f t="shared" si="118"/>
        <v>16568000000</v>
      </c>
      <c r="O1267" s="89">
        <f t="shared" si="119"/>
        <v>2577000000</v>
      </c>
      <c r="P1267" s="87">
        <f t="shared" si="115"/>
        <v>1.5017832583510105E-2</v>
      </c>
      <c r="Q1267" s="87">
        <f t="shared" si="116"/>
        <v>0.11157019977155647</v>
      </c>
    </row>
    <row r="1268" spans="1:17">
      <c r="A1268" s="83">
        <v>1314</v>
      </c>
      <c r="B1268" s="83" t="s">
        <v>458</v>
      </c>
      <c r="C1268" s="83" t="s">
        <v>22</v>
      </c>
      <c r="D1268" s="84">
        <v>42540</v>
      </c>
      <c r="E1268" s="85">
        <f t="shared" si="114"/>
        <v>2016</v>
      </c>
      <c r="F1268" s="86">
        <v>161212000000</v>
      </c>
      <c r="G1268" s="86">
        <v>140183000000</v>
      </c>
      <c r="H1268" s="86">
        <v>16703000000</v>
      </c>
      <c r="I1268" s="86">
        <v>0</v>
      </c>
      <c r="J1268" s="86">
        <v>1019000000</v>
      </c>
      <c r="K1268" s="83" t="s">
        <v>89</v>
      </c>
      <c r="L1268" s="83" t="s">
        <v>347</v>
      </c>
      <c r="M1268" s="91">
        <f t="shared" si="117"/>
        <v>21029000000</v>
      </c>
      <c r="N1268" s="86">
        <f t="shared" si="118"/>
        <v>17722000000</v>
      </c>
      <c r="O1268" s="86">
        <f t="shared" si="119"/>
        <v>3307000000</v>
      </c>
      <c r="P1268" s="83">
        <f t="shared" si="115"/>
        <v>2.051336128824157E-2</v>
      </c>
      <c r="Q1268" s="83">
        <f t="shared" si="116"/>
        <v>0.13044314319033323</v>
      </c>
    </row>
    <row r="1269" spans="1:17">
      <c r="A1269" s="87">
        <v>1315</v>
      </c>
      <c r="B1269" s="87" t="s">
        <v>458</v>
      </c>
      <c r="C1269" s="87" t="s">
        <v>23</v>
      </c>
      <c r="D1269" s="84">
        <v>42541</v>
      </c>
      <c r="E1269" s="88">
        <f t="shared" si="114"/>
        <v>2016</v>
      </c>
      <c r="F1269" s="89">
        <v>98975000000</v>
      </c>
      <c r="G1269" s="89">
        <v>77693000000</v>
      </c>
      <c r="H1269" s="89">
        <v>15747000000</v>
      </c>
      <c r="I1269" s="89">
        <v>0</v>
      </c>
      <c r="J1269" s="89">
        <v>1099000000</v>
      </c>
      <c r="K1269" s="87" t="s">
        <v>89</v>
      </c>
      <c r="L1269" s="87" t="s">
        <v>347</v>
      </c>
      <c r="M1269" s="90">
        <f t="shared" si="117"/>
        <v>21282000000</v>
      </c>
      <c r="N1269" s="89">
        <f t="shared" si="118"/>
        <v>16846000000</v>
      </c>
      <c r="O1269" s="89">
        <f t="shared" si="119"/>
        <v>4436000000</v>
      </c>
      <c r="P1269" s="87">
        <f t="shared" si="115"/>
        <v>4.4819398838090427E-2</v>
      </c>
      <c r="Q1269" s="87">
        <f t="shared" si="116"/>
        <v>0.21502399595857535</v>
      </c>
    </row>
    <row r="1270" spans="1:17">
      <c r="A1270" s="83">
        <v>1316</v>
      </c>
      <c r="B1270" s="83" t="s">
        <v>459</v>
      </c>
      <c r="C1270" s="83" t="s">
        <v>18</v>
      </c>
      <c r="D1270" s="84">
        <v>42542</v>
      </c>
      <c r="E1270" s="85">
        <f t="shared" si="114"/>
        <v>2016</v>
      </c>
      <c r="F1270" s="86">
        <v>6043000000</v>
      </c>
      <c r="G1270" s="86">
        <v>2793800000</v>
      </c>
      <c r="H1270" s="86">
        <v>2594300000</v>
      </c>
      <c r="I1270" s="86">
        <v>0</v>
      </c>
      <c r="J1270" s="86">
        <v>0</v>
      </c>
      <c r="K1270" s="83" t="s">
        <v>25</v>
      </c>
      <c r="L1270" s="83" t="s">
        <v>295</v>
      </c>
      <c r="M1270" s="91">
        <f t="shared" si="117"/>
        <v>3249200000</v>
      </c>
      <c r="N1270" s="86">
        <f t="shared" si="118"/>
        <v>2594300000</v>
      </c>
      <c r="O1270" s="86">
        <f t="shared" si="119"/>
        <v>654900000</v>
      </c>
      <c r="P1270" s="83">
        <f t="shared" si="115"/>
        <v>0.10837332450769485</v>
      </c>
      <c r="Q1270" s="83">
        <f t="shared" si="116"/>
        <v>0.53767996028462683</v>
      </c>
    </row>
    <row r="1271" spans="1:17">
      <c r="A1271" s="87">
        <v>1317</v>
      </c>
      <c r="B1271" s="87" t="s">
        <v>459</v>
      </c>
      <c r="C1271" s="87" t="s">
        <v>21</v>
      </c>
      <c r="D1271" s="84">
        <v>42543</v>
      </c>
      <c r="E1271" s="88">
        <f t="shared" si="114"/>
        <v>2016</v>
      </c>
      <c r="F1271" s="89">
        <v>8186400000</v>
      </c>
      <c r="G1271" s="89">
        <v>3967100000</v>
      </c>
      <c r="H1271" s="89">
        <v>3673500000</v>
      </c>
      <c r="I1271" s="89">
        <v>0</v>
      </c>
      <c r="J1271" s="89">
        <v>0</v>
      </c>
      <c r="K1271" s="87" t="s">
        <v>25</v>
      </c>
      <c r="L1271" s="87" t="s">
        <v>295</v>
      </c>
      <c r="M1271" s="90">
        <f t="shared" si="117"/>
        <v>4219300000</v>
      </c>
      <c r="N1271" s="89">
        <f t="shared" si="118"/>
        <v>3673500000</v>
      </c>
      <c r="O1271" s="89">
        <f t="shared" si="119"/>
        <v>545800000</v>
      </c>
      <c r="P1271" s="87">
        <f t="shared" si="115"/>
        <v>6.6671552819310073E-2</v>
      </c>
      <c r="Q1271" s="87">
        <f t="shared" si="116"/>
        <v>0.51540359620834553</v>
      </c>
    </row>
    <row r="1272" spans="1:17">
      <c r="A1272" s="83">
        <v>1318</v>
      </c>
      <c r="B1272" s="83" t="s">
        <v>459</v>
      </c>
      <c r="C1272" s="83" t="s">
        <v>22</v>
      </c>
      <c r="D1272" s="84">
        <v>42544</v>
      </c>
      <c r="E1272" s="85">
        <f t="shared" si="114"/>
        <v>2016</v>
      </c>
      <c r="F1272" s="86">
        <v>8241200000</v>
      </c>
      <c r="G1272" s="86">
        <v>3914500000</v>
      </c>
      <c r="H1272" s="86">
        <v>3713600000</v>
      </c>
      <c r="I1272" s="86">
        <v>0</v>
      </c>
      <c r="J1272" s="86">
        <v>0</v>
      </c>
      <c r="K1272" s="83" t="s">
        <v>25</v>
      </c>
      <c r="L1272" s="83" t="s">
        <v>295</v>
      </c>
      <c r="M1272" s="91">
        <f t="shared" si="117"/>
        <v>4326700000</v>
      </c>
      <c r="N1272" s="86">
        <f t="shared" si="118"/>
        <v>3713600000</v>
      </c>
      <c r="O1272" s="86">
        <f t="shared" si="119"/>
        <v>613100000</v>
      </c>
      <c r="P1272" s="83">
        <f t="shared" si="115"/>
        <v>7.439450565451633E-2</v>
      </c>
      <c r="Q1272" s="83">
        <f t="shared" si="116"/>
        <v>0.52500849390865412</v>
      </c>
    </row>
    <row r="1273" spans="1:17">
      <c r="A1273" s="87">
        <v>1319</v>
      </c>
      <c r="B1273" s="87" t="s">
        <v>459</v>
      </c>
      <c r="C1273" s="87" t="s">
        <v>23</v>
      </c>
      <c r="D1273" s="84">
        <v>42545</v>
      </c>
      <c r="E1273" s="88">
        <f t="shared" si="114"/>
        <v>2016</v>
      </c>
      <c r="F1273" s="89">
        <v>8020300000</v>
      </c>
      <c r="G1273" s="89">
        <v>3858700000</v>
      </c>
      <c r="H1273" s="89">
        <v>3417700000</v>
      </c>
      <c r="I1273" s="89">
        <v>0</v>
      </c>
      <c r="J1273" s="89">
        <v>0</v>
      </c>
      <c r="K1273" s="87" t="s">
        <v>25</v>
      </c>
      <c r="L1273" s="87" t="s">
        <v>295</v>
      </c>
      <c r="M1273" s="90">
        <f t="shared" si="117"/>
        <v>4161600000</v>
      </c>
      <c r="N1273" s="89">
        <f t="shared" si="118"/>
        <v>3417700000</v>
      </c>
      <c r="O1273" s="89">
        <f t="shared" si="119"/>
        <v>743900000</v>
      </c>
      <c r="P1273" s="87">
        <f t="shared" si="115"/>
        <v>9.2752141441093228E-2</v>
      </c>
      <c r="Q1273" s="87">
        <f t="shared" si="116"/>
        <v>0.51888333354113936</v>
      </c>
    </row>
    <row r="1274" spans="1:17">
      <c r="A1274" s="83">
        <v>1320</v>
      </c>
      <c r="B1274" s="83" t="s">
        <v>460</v>
      </c>
      <c r="C1274" s="83" t="s">
        <v>18</v>
      </c>
      <c r="D1274" s="84">
        <v>42546</v>
      </c>
      <c r="E1274" s="85">
        <f t="shared" si="114"/>
        <v>2016</v>
      </c>
      <c r="F1274" s="86">
        <v>5920269000</v>
      </c>
      <c r="G1274" s="86">
        <v>4982562000</v>
      </c>
      <c r="H1274" s="86">
        <v>434894000</v>
      </c>
      <c r="I1274" s="86">
        <v>0</v>
      </c>
      <c r="J1274" s="86">
        <v>37691000</v>
      </c>
      <c r="K1274" s="83" t="s">
        <v>19</v>
      </c>
      <c r="L1274" s="83" t="s">
        <v>170</v>
      </c>
      <c r="M1274" s="91">
        <f t="shared" si="117"/>
        <v>937707000</v>
      </c>
      <c r="N1274" s="86">
        <f t="shared" si="118"/>
        <v>472585000</v>
      </c>
      <c r="O1274" s="86">
        <f t="shared" si="119"/>
        <v>465122000</v>
      </c>
      <c r="P1274" s="83">
        <f t="shared" si="115"/>
        <v>7.8564335505700841E-2</v>
      </c>
      <c r="Q1274" s="83">
        <f t="shared" si="116"/>
        <v>0.15838925562335093</v>
      </c>
    </row>
    <row r="1275" spans="1:17">
      <c r="A1275" s="87">
        <v>1321</v>
      </c>
      <c r="B1275" s="87" t="s">
        <v>460</v>
      </c>
      <c r="C1275" s="87" t="s">
        <v>21</v>
      </c>
      <c r="D1275" s="84">
        <v>42547</v>
      </c>
      <c r="E1275" s="88">
        <f t="shared" si="114"/>
        <v>2016</v>
      </c>
      <c r="F1275" s="89">
        <v>6411577000</v>
      </c>
      <c r="G1275" s="89">
        <v>5424644000</v>
      </c>
      <c r="H1275" s="89">
        <v>485069000</v>
      </c>
      <c r="I1275" s="89">
        <v>0</v>
      </c>
      <c r="J1275" s="89">
        <v>25865000</v>
      </c>
      <c r="K1275" s="87" t="s">
        <v>19</v>
      </c>
      <c r="L1275" s="87" t="s">
        <v>170</v>
      </c>
      <c r="M1275" s="90">
        <f t="shared" si="117"/>
        <v>986933000</v>
      </c>
      <c r="N1275" s="89">
        <f t="shared" si="118"/>
        <v>510934000</v>
      </c>
      <c r="O1275" s="89">
        <f t="shared" si="119"/>
        <v>475999000</v>
      </c>
      <c r="P1275" s="87">
        <f t="shared" si="115"/>
        <v>7.4240549555904894E-2</v>
      </c>
      <c r="Q1275" s="87">
        <f t="shared" si="116"/>
        <v>0.15392983660650106</v>
      </c>
    </row>
    <row r="1276" spans="1:17">
      <c r="A1276" s="83">
        <v>1322</v>
      </c>
      <c r="B1276" s="83" t="s">
        <v>460</v>
      </c>
      <c r="C1276" s="83" t="s">
        <v>22</v>
      </c>
      <c r="D1276" s="84">
        <v>42548</v>
      </c>
      <c r="E1276" s="85">
        <f t="shared" si="114"/>
        <v>2016</v>
      </c>
      <c r="F1276" s="86">
        <v>7747229000</v>
      </c>
      <c r="G1276" s="86">
        <v>6578435000</v>
      </c>
      <c r="H1276" s="86">
        <v>705477000</v>
      </c>
      <c r="I1276" s="86">
        <v>0</v>
      </c>
      <c r="J1276" s="86">
        <v>34257000</v>
      </c>
      <c r="K1276" s="83" t="s">
        <v>19</v>
      </c>
      <c r="L1276" s="83" t="s">
        <v>170</v>
      </c>
      <c r="M1276" s="91">
        <f t="shared" si="117"/>
        <v>1168794000</v>
      </c>
      <c r="N1276" s="86">
        <f t="shared" si="118"/>
        <v>739734000</v>
      </c>
      <c r="O1276" s="86">
        <f t="shared" si="119"/>
        <v>429060000</v>
      </c>
      <c r="P1276" s="83">
        <f t="shared" si="115"/>
        <v>5.538238252670729E-2</v>
      </c>
      <c r="Q1276" s="83">
        <f t="shared" si="116"/>
        <v>0.15086607095259474</v>
      </c>
    </row>
    <row r="1277" spans="1:17">
      <c r="A1277" s="87">
        <v>1323</v>
      </c>
      <c r="B1277" s="87" t="s">
        <v>460</v>
      </c>
      <c r="C1277" s="87" t="s">
        <v>23</v>
      </c>
      <c r="D1277" s="84">
        <v>42549</v>
      </c>
      <c r="E1277" s="88">
        <f t="shared" si="114"/>
        <v>2016</v>
      </c>
      <c r="F1277" s="89">
        <v>7572436000</v>
      </c>
      <c r="G1277" s="89">
        <v>6648771000</v>
      </c>
      <c r="H1277" s="89">
        <v>592863000</v>
      </c>
      <c r="I1277" s="89">
        <v>0</v>
      </c>
      <c r="J1277" s="89">
        <v>34848000</v>
      </c>
      <c r="K1277" s="87" t="s">
        <v>19</v>
      </c>
      <c r="L1277" s="87" t="s">
        <v>170</v>
      </c>
      <c r="M1277" s="90">
        <f t="shared" si="117"/>
        <v>923665000</v>
      </c>
      <c r="N1277" s="89">
        <f t="shared" si="118"/>
        <v>627711000</v>
      </c>
      <c r="O1277" s="89">
        <f t="shared" si="119"/>
        <v>295954000</v>
      </c>
      <c r="P1277" s="87">
        <f t="shared" si="115"/>
        <v>3.9083063891196965E-2</v>
      </c>
      <c r="Q1277" s="87">
        <f t="shared" si="116"/>
        <v>0.12197726068599324</v>
      </c>
    </row>
    <row r="1278" spans="1:17">
      <c r="A1278" s="83">
        <v>1324</v>
      </c>
      <c r="B1278" s="83" t="s">
        <v>461</v>
      </c>
      <c r="C1278" s="83" t="s">
        <v>18</v>
      </c>
      <c r="D1278" s="84">
        <v>42550</v>
      </c>
      <c r="E1278" s="85">
        <f t="shared" si="114"/>
        <v>2016</v>
      </c>
      <c r="F1278" s="86">
        <v>11224000000</v>
      </c>
      <c r="G1278" s="86">
        <v>6396000000</v>
      </c>
      <c r="H1278" s="86">
        <v>1227000000</v>
      </c>
      <c r="I1278" s="86">
        <v>98000000</v>
      </c>
      <c r="J1278" s="86">
        <v>1001000000</v>
      </c>
      <c r="K1278" s="83" t="s">
        <v>65</v>
      </c>
      <c r="L1278" s="83" t="s">
        <v>93</v>
      </c>
      <c r="M1278" s="91">
        <f t="shared" si="117"/>
        <v>4828000000</v>
      </c>
      <c r="N1278" s="86">
        <f t="shared" si="118"/>
        <v>2326000000</v>
      </c>
      <c r="O1278" s="86">
        <f t="shared" si="119"/>
        <v>2502000000</v>
      </c>
      <c r="P1278" s="83">
        <f t="shared" si="115"/>
        <v>0.22291518175338559</v>
      </c>
      <c r="Q1278" s="83">
        <f t="shared" si="116"/>
        <v>0.43014967925873127</v>
      </c>
    </row>
    <row r="1279" spans="1:17">
      <c r="A1279" s="87">
        <v>1325</v>
      </c>
      <c r="B1279" s="87" t="s">
        <v>461</v>
      </c>
      <c r="C1279" s="87" t="s">
        <v>21</v>
      </c>
      <c r="D1279" s="84">
        <v>42551</v>
      </c>
      <c r="E1279" s="88">
        <f t="shared" ref="E1279:E1342" si="120">YEAR(D1279)</f>
        <v>2016</v>
      </c>
      <c r="F1279" s="89">
        <v>11925000000</v>
      </c>
      <c r="G1279" s="89">
        <v>6744000000</v>
      </c>
      <c r="H1279" s="89">
        <v>1349000000</v>
      </c>
      <c r="I1279" s="89">
        <v>98000000</v>
      </c>
      <c r="J1279" s="89">
        <v>1109000000</v>
      </c>
      <c r="K1279" s="87" t="s">
        <v>65</v>
      </c>
      <c r="L1279" s="87" t="s">
        <v>93</v>
      </c>
      <c r="M1279" s="90">
        <f t="shared" si="117"/>
        <v>5181000000</v>
      </c>
      <c r="N1279" s="89">
        <f t="shared" si="118"/>
        <v>2556000000</v>
      </c>
      <c r="O1279" s="89">
        <f t="shared" si="119"/>
        <v>2625000000</v>
      </c>
      <c r="P1279" s="87">
        <f t="shared" si="115"/>
        <v>0.22012578616352202</v>
      </c>
      <c r="Q1279" s="87">
        <f t="shared" si="116"/>
        <v>0.43446540880503148</v>
      </c>
    </row>
    <row r="1280" spans="1:17">
      <c r="A1280" s="83">
        <v>1326</v>
      </c>
      <c r="B1280" s="83" t="s">
        <v>461</v>
      </c>
      <c r="C1280" s="83" t="s">
        <v>22</v>
      </c>
      <c r="D1280" s="84">
        <v>42552</v>
      </c>
      <c r="E1280" s="85">
        <f t="shared" si="120"/>
        <v>2016</v>
      </c>
      <c r="F1280" s="86">
        <v>12273000000</v>
      </c>
      <c r="G1280" s="86">
        <v>6962000000</v>
      </c>
      <c r="H1280" s="86">
        <v>1437000000</v>
      </c>
      <c r="I1280" s="86">
        <v>96000000</v>
      </c>
      <c r="J1280" s="86">
        <v>1170000000</v>
      </c>
      <c r="K1280" s="83" t="s">
        <v>65</v>
      </c>
      <c r="L1280" s="83" t="s">
        <v>93</v>
      </c>
      <c r="M1280" s="91">
        <f t="shared" si="117"/>
        <v>5311000000</v>
      </c>
      <c r="N1280" s="86">
        <f t="shared" si="118"/>
        <v>2703000000</v>
      </c>
      <c r="O1280" s="86">
        <f t="shared" si="119"/>
        <v>2608000000</v>
      </c>
      <c r="P1280" s="83">
        <f t="shared" si="115"/>
        <v>0.21249898150411473</v>
      </c>
      <c r="Q1280" s="83">
        <f t="shared" si="116"/>
        <v>0.43273853173633181</v>
      </c>
    </row>
    <row r="1281" spans="1:17">
      <c r="A1281" s="87">
        <v>1327</v>
      </c>
      <c r="B1281" s="87" t="s">
        <v>461</v>
      </c>
      <c r="C1281" s="87" t="s">
        <v>23</v>
      </c>
      <c r="D1281" s="84">
        <v>42553</v>
      </c>
      <c r="E1281" s="88">
        <f t="shared" si="120"/>
        <v>2016</v>
      </c>
      <c r="F1281" s="89">
        <v>10776000000</v>
      </c>
      <c r="G1281" s="89">
        <v>5960000000</v>
      </c>
      <c r="H1281" s="89">
        <v>1296000000</v>
      </c>
      <c r="I1281" s="89">
        <v>93000000</v>
      </c>
      <c r="J1281" s="89">
        <v>1106000000</v>
      </c>
      <c r="K1281" s="87" t="s">
        <v>65</v>
      </c>
      <c r="L1281" s="87" t="s">
        <v>93</v>
      </c>
      <c r="M1281" s="90">
        <f t="shared" si="117"/>
        <v>4816000000</v>
      </c>
      <c r="N1281" s="89">
        <f t="shared" si="118"/>
        <v>2495000000</v>
      </c>
      <c r="O1281" s="89">
        <f t="shared" si="119"/>
        <v>2321000000</v>
      </c>
      <c r="P1281" s="87">
        <f t="shared" si="115"/>
        <v>0.21538604305864886</v>
      </c>
      <c r="Q1281" s="87">
        <f t="shared" si="116"/>
        <v>0.44691907943578324</v>
      </c>
    </row>
    <row r="1282" spans="1:17">
      <c r="A1282" s="83">
        <v>1331</v>
      </c>
      <c r="B1282" s="83" t="s">
        <v>462</v>
      </c>
      <c r="C1282" s="83" t="s">
        <v>18</v>
      </c>
      <c r="D1282" s="84">
        <v>42554</v>
      </c>
      <c r="E1282" s="85">
        <f t="shared" si="120"/>
        <v>2016</v>
      </c>
      <c r="F1282" s="86">
        <v>24866000000</v>
      </c>
      <c r="G1282" s="86">
        <v>9820000000</v>
      </c>
      <c r="H1282" s="86">
        <v>2849000000</v>
      </c>
      <c r="I1282" s="86">
        <v>4967000000</v>
      </c>
      <c r="J1282" s="86">
        <v>0</v>
      </c>
      <c r="K1282" s="83" t="s">
        <v>28</v>
      </c>
      <c r="L1282" s="83" t="s">
        <v>40</v>
      </c>
      <c r="M1282" s="91">
        <f t="shared" si="117"/>
        <v>15046000000</v>
      </c>
      <c r="N1282" s="86">
        <f t="shared" si="118"/>
        <v>7816000000</v>
      </c>
      <c r="O1282" s="86">
        <f t="shared" si="119"/>
        <v>7230000000</v>
      </c>
      <c r="P1282" s="83">
        <f t="shared" ref="P1282:P1345" si="121">O1282/F1282</f>
        <v>0.2907584653744068</v>
      </c>
      <c r="Q1282" s="83">
        <f t="shared" ref="Q1282:Q1345" si="122">1-G1282/F1282</f>
        <v>0.60508324619963005</v>
      </c>
    </row>
    <row r="1283" spans="1:17">
      <c r="A1283" s="87">
        <v>1332</v>
      </c>
      <c r="B1283" s="87" t="s">
        <v>462</v>
      </c>
      <c r="C1283" s="87" t="s">
        <v>21</v>
      </c>
      <c r="D1283" s="84">
        <v>42555</v>
      </c>
      <c r="E1283" s="88">
        <f t="shared" si="120"/>
        <v>2016</v>
      </c>
      <c r="F1283" s="89">
        <v>26487000000</v>
      </c>
      <c r="G1283" s="89">
        <v>10686000000</v>
      </c>
      <c r="H1283" s="89">
        <v>2774000000</v>
      </c>
      <c r="I1283" s="89">
        <v>5477000000</v>
      </c>
      <c r="J1283" s="89">
        <v>0</v>
      </c>
      <c r="K1283" s="87" t="s">
        <v>28</v>
      </c>
      <c r="L1283" s="87" t="s">
        <v>40</v>
      </c>
      <c r="M1283" s="90">
        <f t="shared" ref="M1283:M1346" si="123">F1283-G1283</f>
        <v>15801000000</v>
      </c>
      <c r="N1283" s="89">
        <f t="shared" ref="N1283:N1346" si="124">H1283+I1283+J1283</f>
        <v>8251000000</v>
      </c>
      <c r="O1283" s="89">
        <f t="shared" ref="O1283:O1346" si="125">M1283-N1283</f>
        <v>7550000000</v>
      </c>
      <c r="P1283" s="87">
        <f t="shared" si="121"/>
        <v>0.28504549401593232</v>
      </c>
      <c r="Q1283" s="87">
        <f t="shared" si="122"/>
        <v>0.59655680144976775</v>
      </c>
    </row>
    <row r="1284" spans="1:17">
      <c r="A1284" s="83">
        <v>1333</v>
      </c>
      <c r="B1284" s="83" t="s">
        <v>462</v>
      </c>
      <c r="C1284" s="83" t="s">
        <v>22</v>
      </c>
      <c r="D1284" s="84">
        <v>42556</v>
      </c>
      <c r="E1284" s="85">
        <f t="shared" si="120"/>
        <v>2016</v>
      </c>
      <c r="F1284" s="86">
        <v>25281000000</v>
      </c>
      <c r="G1284" s="86">
        <v>10378000000</v>
      </c>
      <c r="H1284" s="86">
        <v>3637000000</v>
      </c>
      <c r="I1284" s="86">
        <v>5490000000</v>
      </c>
      <c r="J1284" s="86">
        <v>0</v>
      </c>
      <c r="K1284" s="83" t="s">
        <v>28</v>
      </c>
      <c r="L1284" s="83" t="s">
        <v>40</v>
      </c>
      <c r="M1284" s="91">
        <f t="shared" si="123"/>
        <v>14903000000</v>
      </c>
      <c r="N1284" s="86">
        <f t="shared" si="124"/>
        <v>9127000000</v>
      </c>
      <c r="O1284" s="86">
        <f t="shared" si="125"/>
        <v>5776000000</v>
      </c>
      <c r="P1284" s="83">
        <f t="shared" si="121"/>
        <v>0.2284719750009889</v>
      </c>
      <c r="Q1284" s="83">
        <f t="shared" si="122"/>
        <v>0.58949408646809864</v>
      </c>
    </row>
    <row r="1285" spans="1:17">
      <c r="A1285" s="87">
        <v>1334</v>
      </c>
      <c r="B1285" s="87" t="s">
        <v>462</v>
      </c>
      <c r="C1285" s="87" t="s">
        <v>23</v>
      </c>
      <c r="D1285" s="84">
        <v>42557</v>
      </c>
      <c r="E1285" s="88">
        <f t="shared" si="120"/>
        <v>2016</v>
      </c>
      <c r="F1285" s="89">
        <v>23554000000</v>
      </c>
      <c r="G1285" s="89">
        <v>9749000000</v>
      </c>
      <c r="H1285" s="89">
        <v>2159000000</v>
      </c>
      <c r="I1285" s="89">
        <v>5151000000</v>
      </c>
      <c r="J1285" s="89">
        <v>0</v>
      </c>
      <c r="K1285" s="87" t="s">
        <v>28</v>
      </c>
      <c r="L1285" s="87" t="s">
        <v>40</v>
      </c>
      <c r="M1285" s="90">
        <f t="shared" si="123"/>
        <v>13805000000</v>
      </c>
      <c r="N1285" s="89">
        <f t="shared" si="124"/>
        <v>7310000000</v>
      </c>
      <c r="O1285" s="89">
        <f t="shared" si="125"/>
        <v>6495000000</v>
      </c>
      <c r="P1285" s="87">
        <f t="shared" si="121"/>
        <v>0.27574934193767514</v>
      </c>
      <c r="Q1285" s="87">
        <f t="shared" si="122"/>
        <v>0.58610002547338036</v>
      </c>
    </row>
    <row r="1286" spans="1:17">
      <c r="A1286" s="83">
        <v>1335</v>
      </c>
      <c r="B1286" s="83" t="s">
        <v>463</v>
      </c>
      <c r="C1286" s="83" t="s">
        <v>18</v>
      </c>
      <c r="D1286" s="84">
        <v>42558</v>
      </c>
      <c r="E1286" s="85">
        <f t="shared" si="120"/>
        <v>2016</v>
      </c>
      <c r="F1286" s="86">
        <v>1148231000</v>
      </c>
      <c r="G1286" s="86">
        <v>743304000</v>
      </c>
      <c r="H1286" s="86">
        <v>180317000</v>
      </c>
      <c r="I1286" s="86">
        <v>197269000</v>
      </c>
      <c r="J1286" s="86">
        <v>0</v>
      </c>
      <c r="K1286" s="83" t="s">
        <v>28</v>
      </c>
      <c r="L1286" s="83" t="s">
        <v>40</v>
      </c>
      <c r="M1286" s="91">
        <f t="shared" si="123"/>
        <v>404927000</v>
      </c>
      <c r="N1286" s="86">
        <f t="shared" si="124"/>
        <v>377586000</v>
      </c>
      <c r="O1286" s="86">
        <f t="shared" si="125"/>
        <v>27341000</v>
      </c>
      <c r="P1286" s="83">
        <f t="shared" si="121"/>
        <v>2.3811410770132491E-2</v>
      </c>
      <c r="Q1286" s="83">
        <f t="shared" si="122"/>
        <v>0.35265290694990814</v>
      </c>
    </row>
    <row r="1287" spans="1:17">
      <c r="A1287" s="87">
        <v>1336</v>
      </c>
      <c r="B1287" s="87" t="s">
        <v>463</v>
      </c>
      <c r="C1287" s="87" t="s">
        <v>21</v>
      </c>
      <c r="D1287" s="84">
        <v>42559</v>
      </c>
      <c r="E1287" s="88">
        <f t="shared" si="120"/>
        <v>2016</v>
      </c>
      <c r="F1287" s="89">
        <v>1710966000</v>
      </c>
      <c r="G1287" s="89">
        <v>1021658000</v>
      </c>
      <c r="H1287" s="89">
        <v>309348000</v>
      </c>
      <c r="I1287" s="89">
        <v>257494000</v>
      </c>
      <c r="J1287" s="89">
        <v>0</v>
      </c>
      <c r="K1287" s="87" t="s">
        <v>28</v>
      </c>
      <c r="L1287" s="87" t="s">
        <v>40</v>
      </c>
      <c r="M1287" s="90">
        <f t="shared" si="123"/>
        <v>689308000</v>
      </c>
      <c r="N1287" s="89">
        <f t="shared" si="124"/>
        <v>566842000</v>
      </c>
      <c r="O1287" s="89">
        <f t="shared" si="125"/>
        <v>122466000</v>
      </c>
      <c r="P1287" s="87">
        <f t="shared" si="121"/>
        <v>7.1577109071717382E-2</v>
      </c>
      <c r="Q1287" s="87">
        <f t="shared" si="122"/>
        <v>0.40287650368271488</v>
      </c>
    </row>
    <row r="1288" spans="1:17">
      <c r="A1288" s="83">
        <v>1337</v>
      </c>
      <c r="B1288" s="83" t="s">
        <v>463</v>
      </c>
      <c r="C1288" s="83" t="s">
        <v>22</v>
      </c>
      <c r="D1288" s="84">
        <v>42560</v>
      </c>
      <c r="E1288" s="85">
        <f t="shared" si="120"/>
        <v>2016</v>
      </c>
      <c r="F1288" s="86">
        <v>2610726000</v>
      </c>
      <c r="G1288" s="86">
        <v>1561173000</v>
      </c>
      <c r="H1288" s="86">
        <v>588822000</v>
      </c>
      <c r="I1288" s="86">
        <v>448763000</v>
      </c>
      <c r="J1288" s="86">
        <v>0</v>
      </c>
      <c r="K1288" s="83" t="s">
        <v>28</v>
      </c>
      <c r="L1288" s="83" t="s">
        <v>40</v>
      </c>
      <c r="M1288" s="91">
        <f t="shared" si="123"/>
        <v>1049553000</v>
      </c>
      <c r="N1288" s="86">
        <f t="shared" si="124"/>
        <v>1037585000</v>
      </c>
      <c r="O1288" s="86">
        <f t="shared" si="125"/>
        <v>11968000</v>
      </c>
      <c r="P1288" s="83">
        <f t="shared" si="121"/>
        <v>4.5841654773423179E-3</v>
      </c>
      <c r="Q1288" s="83">
        <f t="shared" si="122"/>
        <v>0.40201576113311011</v>
      </c>
    </row>
    <row r="1289" spans="1:17">
      <c r="A1289" s="87">
        <v>1338</v>
      </c>
      <c r="B1289" s="87" t="s">
        <v>464</v>
      </c>
      <c r="C1289" s="87" t="s">
        <v>18</v>
      </c>
      <c r="D1289" s="84">
        <v>42561</v>
      </c>
      <c r="E1289" s="88">
        <f t="shared" si="120"/>
        <v>2016</v>
      </c>
      <c r="F1289" s="89">
        <v>6419285000</v>
      </c>
      <c r="G1289" s="89">
        <v>5099484000</v>
      </c>
      <c r="H1289" s="89">
        <v>922340000</v>
      </c>
      <c r="I1289" s="89">
        <v>0</v>
      </c>
      <c r="J1289" s="89">
        <v>0</v>
      </c>
      <c r="K1289" s="87" t="s">
        <v>19</v>
      </c>
      <c r="L1289" s="87" t="s">
        <v>170</v>
      </c>
      <c r="M1289" s="90">
        <f t="shared" si="123"/>
        <v>1319801000</v>
      </c>
      <c r="N1289" s="89">
        <f t="shared" si="124"/>
        <v>922340000</v>
      </c>
      <c r="O1289" s="89">
        <f t="shared" si="125"/>
        <v>397461000</v>
      </c>
      <c r="P1289" s="87">
        <f t="shared" si="121"/>
        <v>6.1916708792334352E-2</v>
      </c>
      <c r="Q1289" s="87">
        <f t="shared" si="122"/>
        <v>0.20559937750076529</v>
      </c>
    </row>
    <row r="1290" spans="1:17">
      <c r="A1290" s="83">
        <v>1339</v>
      </c>
      <c r="B1290" s="83" t="s">
        <v>464</v>
      </c>
      <c r="C1290" s="83" t="s">
        <v>21</v>
      </c>
      <c r="D1290" s="84">
        <v>42562</v>
      </c>
      <c r="E1290" s="85">
        <f t="shared" si="120"/>
        <v>2016</v>
      </c>
      <c r="F1290" s="86">
        <v>6638774000</v>
      </c>
      <c r="G1290" s="86">
        <v>5253040000</v>
      </c>
      <c r="H1290" s="86">
        <v>1030014000</v>
      </c>
      <c r="I1290" s="86">
        <v>0</v>
      </c>
      <c r="J1290" s="86">
        <v>0</v>
      </c>
      <c r="K1290" s="83" t="s">
        <v>19</v>
      </c>
      <c r="L1290" s="83" t="s">
        <v>170</v>
      </c>
      <c r="M1290" s="91">
        <f t="shared" si="123"/>
        <v>1385734000</v>
      </c>
      <c r="N1290" s="86">
        <f t="shared" si="124"/>
        <v>1030014000</v>
      </c>
      <c r="O1290" s="86">
        <f t="shared" si="125"/>
        <v>355720000</v>
      </c>
      <c r="P1290" s="83">
        <f t="shared" si="121"/>
        <v>5.3582182493333859E-2</v>
      </c>
      <c r="Q1290" s="83">
        <f t="shared" si="122"/>
        <v>0.20873341975491255</v>
      </c>
    </row>
    <row r="1291" spans="1:17">
      <c r="A1291" s="87">
        <v>1340</v>
      </c>
      <c r="B1291" s="87" t="s">
        <v>464</v>
      </c>
      <c r="C1291" s="87" t="s">
        <v>22</v>
      </c>
      <c r="D1291" s="84">
        <v>42563</v>
      </c>
      <c r="E1291" s="88">
        <f t="shared" si="120"/>
        <v>2016</v>
      </c>
      <c r="F1291" s="89">
        <v>6571893000</v>
      </c>
      <c r="G1291" s="89">
        <v>5086449000</v>
      </c>
      <c r="H1291" s="89">
        <v>961579000</v>
      </c>
      <c r="I1291" s="89">
        <v>0</v>
      </c>
      <c r="J1291" s="89">
        <v>0</v>
      </c>
      <c r="K1291" s="87" t="s">
        <v>19</v>
      </c>
      <c r="L1291" s="87" t="s">
        <v>170</v>
      </c>
      <c r="M1291" s="90">
        <f t="shared" si="123"/>
        <v>1485444000</v>
      </c>
      <c r="N1291" s="89">
        <f t="shared" si="124"/>
        <v>961579000</v>
      </c>
      <c r="O1291" s="89">
        <f t="shared" si="125"/>
        <v>523865000</v>
      </c>
      <c r="P1291" s="87">
        <f t="shared" si="121"/>
        <v>7.9712953330189643E-2</v>
      </c>
      <c r="Q1291" s="87">
        <f t="shared" si="122"/>
        <v>0.22602985167287415</v>
      </c>
    </row>
    <row r="1292" spans="1:17">
      <c r="A1292" s="83">
        <v>1341</v>
      </c>
      <c r="B1292" s="83" t="s">
        <v>464</v>
      </c>
      <c r="C1292" s="83" t="s">
        <v>23</v>
      </c>
      <c r="D1292" s="84">
        <v>42564</v>
      </c>
      <c r="E1292" s="85">
        <f t="shared" si="120"/>
        <v>2016</v>
      </c>
      <c r="F1292" s="86">
        <v>6786984000</v>
      </c>
      <c r="G1292" s="86">
        <v>5285568000</v>
      </c>
      <c r="H1292" s="86">
        <v>956158000</v>
      </c>
      <c r="I1292" s="86">
        <v>0</v>
      </c>
      <c r="J1292" s="86">
        <v>0</v>
      </c>
      <c r="K1292" s="83" t="s">
        <v>19</v>
      </c>
      <c r="L1292" s="83" t="s">
        <v>170</v>
      </c>
      <c r="M1292" s="91">
        <f t="shared" si="123"/>
        <v>1501416000</v>
      </c>
      <c r="N1292" s="86">
        <f t="shared" si="124"/>
        <v>956158000</v>
      </c>
      <c r="O1292" s="86">
        <f t="shared" si="125"/>
        <v>545258000</v>
      </c>
      <c r="P1292" s="83">
        <f t="shared" si="121"/>
        <v>8.0338777872468833E-2</v>
      </c>
      <c r="Q1292" s="83">
        <f t="shared" si="122"/>
        <v>0.22121991152476561</v>
      </c>
    </row>
    <row r="1293" spans="1:17">
      <c r="A1293" s="87">
        <v>1342</v>
      </c>
      <c r="B1293" s="87" t="s">
        <v>465</v>
      </c>
      <c r="C1293" s="87" t="s">
        <v>18</v>
      </c>
      <c r="D1293" s="84">
        <v>42565</v>
      </c>
      <c r="E1293" s="88">
        <f t="shared" si="120"/>
        <v>2016</v>
      </c>
      <c r="F1293" s="89">
        <v>7688024000</v>
      </c>
      <c r="G1293" s="89">
        <v>5157434000</v>
      </c>
      <c r="H1293" s="89">
        <v>1011543000</v>
      </c>
      <c r="I1293" s="89">
        <v>0</v>
      </c>
      <c r="J1293" s="89">
        <v>730493000</v>
      </c>
      <c r="K1293" s="87" t="s">
        <v>25</v>
      </c>
      <c r="L1293" s="87" t="s">
        <v>139</v>
      </c>
      <c r="M1293" s="90">
        <f t="shared" si="123"/>
        <v>2530590000</v>
      </c>
      <c r="N1293" s="89">
        <f t="shared" si="124"/>
        <v>1742036000</v>
      </c>
      <c r="O1293" s="89">
        <f t="shared" si="125"/>
        <v>788554000</v>
      </c>
      <c r="P1293" s="87">
        <f t="shared" si="121"/>
        <v>0.10256913870196034</v>
      </c>
      <c r="Q1293" s="87">
        <f t="shared" si="122"/>
        <v>0.32916000262226031</v>
      </c>
    </row>
    <row r="1294" spans="1:17">
      <c r="A1294" s="83">
        <v>1343</v>
      </c>
      <c r="B1294" s="83" t="s">
        <v>465</v>
      </c>
      <c r="C1294" s="83" t="s">
        <v>21</v>
      </c>
      <c r="D1294" s="84">
        <v>42566</v>
      </c>
      <c r="E1294" s="85">
        <f t="shared" si="120"/>
        <v>2016</v>
      </c>
      <c r="F1294" s="86">
        <v>7959894000</v>
      </c>
      <c r="G1294" s="86">
        <v>5305270000</v>
      </c>
      <c r="H1294" s="86">
        <v>1044819000</v>
      </c>
      <c r="I1294" s="86">
        <v>0</v>
      </c>
      <c r="J1294" s="86">
        <v>754711000</v>
      </c>
      <c r="K1294" s="83" t="s">
        <v>25</v>
      </c>
      <c r="L1294" s="83" t="s">
        <v>139</v>
      </c>
      <c r="M1294" s="91">
        <f t="shared" si="123"/>
        <v>2654624000</v>
      </c>
      <c r="N1294" s="86">
        <f t="shared" si="124"/>
        <v>1799530000</v>
      </c>
      <c r="O1294" s="86">
        <f t="shared" si="125"/>
        <v>855094000</v>
      </c>
      <c r="P1294" s="83">
        <f t="shared" si="121"/>
        <v>0.1074252998846467</v>
      </c>
      <c r="Q1294" s="83">
        <f t="shared" si="122"/>
        <v>0.33349991846625093</v>
      </c>
    </row>
    <row r="1295" spans="1:17">
      <c r="A1295" s="87">
        <v>1344</v>
      </c>
      <c r="B1295" s="87" t="s">
        <v>465</v>
      </c>
      <c r="C1295" s="87" t="s">
        <v>22</v>
      </c>
      <c r="D1295" s="84">
        <v>42567</v>
      </c>
      <c r="E1295" s="88">
        <f t="shared" si="120"/>
        <v>2016</v>
      </c>
      <c r="F1295" s="89">
        <v>8073855000</v>
      </c>
      <c r="G1295" s="89">
        <v>5306281000</v>
      </c>
      <c r="H1295" s="89">
        <v>1048952000</v>
      </c>
      <c r="I1295" s="89">
        <v>0</v>
      </c>
      <c r="J1295" s="89">
        <v>772445000</v>
      </c>
      <c r="K1295" s="87" t="s">
        <v>25</v>
      </c>
      <c r="L1295" s="87" t="s">
        <v>139</v>
      </c>
      <c r="M1295" s="90">
        <f t="shared" si="123"/>
        <v>2767574000</v>
      </c>
      <c r="N1295" s="89">
        <f t="shared" si="124"/>
        <v>1821397000</v>
      </c>
      <c r="O1295" s="89">
        <f t="shared" si="125"/>
        <v>946177000</v>
      </c>
      <c r="P1295" s="87">
        <f t="shared" si="121"/>
        <v>0.11719023935901747</v>
      </c>
      <c r="Q1295" s="87">
        <f t="shared" si="122"/>
        <v>0.34278222732511299</v>
      </c>
    </row>
    <row r="1296" spans="1:17">
      <c r="A1296" s="83">
        <v>1345</v>
      </c>
      <c r="B1296" s="83" t="s">
        <v>465</v>
      </c>
      <c r="C1296" s="83" t="s">
        <v>23</v>
      </c>
      <c r="D1296" s="84">
        <v>42568</v>
      </c>
      <c r="E1296" s="85">
        <f t="shared" si="120"/>
        <v>2016</v>
      </c>
      <c r="F1296" s="86">
        <v>8299074000</v>
      </c>
      <c r="G1296" s="86">
        <v>5099393000</v>
      </c>
      <c r="H1296" s="86">
        <v>1086504000</v>
      </c>
      <c r="I1296" s="86">
        <v>0</v>
      </c>
      <c r="J1296" s="86">
        <v>827008000</v>
      </c>
      <c r="K1296" s="83" t="s">
        <v>25</v>
      </c>
      <c r="L1296" s="83" t="s">
        <v>139</v>
      </c>
      <c r="M1296" s="91">
        <f t="shared" si="123"/>
        <v>3199681000</v>
      </c>
      <c r="N1296" s="86">
        <f t="shared" si="124"/>
        <v>1913512000</v>
      </c>
      <c r="O1296" s="86">
        <f t="shared" si="125"/>
        <v>1286169000</v>
      </c>
      <c r="P1296" s="83">
        <f t="shared" si="121"/>
        <v>0.15497741073281188</v>
      </c>
      <c r="Q1296" s="83">
        <f t="shared" si="122"/>
        <v>0.38554674895054553</v>
      </c>
    </row>
    <row r="1297" spans="1:17">
      <c r="A1297" s="87">
        <v>1346</v>
      </c>
      <c r="B1297" s="87" t="s">
        <v>466</v>
      </c>
      <c r="C1297" s="87" t="s">
        <v>18</v>
      </c>
      <c r="D1297" s="84">
        <v>42569</v>
      </c>
      <c r="E1297" s="88">
        <f t="shared" si="120"/>
        <v>2016</v>
      </c>
      <c r="F1297" s="89">
        <v>2104745000</v>
      </c>
      <c r="G1297" s="89">
        <v>155355000</v>
      </c>
      <c r="H1297" s="89">
        <v>346393000</v>
      </c>
      <c r="I1297" s="89">
        <v>859947000</v>
      </c>
      <c r="J1297" s="89">
        <v>0</v>
      </c>
      <c r="K1297" s="87" t="s">
        <v>31</v>
      </c>
      <c r="L1297" s="87" t="s">
        <v>72</v>
      </c>
      <c r="M1297" s="90">
        <f t="shared" si="123"/>
        <v>1949390000</v>
      </c>
      <c r="N1297" s="89">
        <f t="shared" si="124"/>
        <v>1206340000</v>
      </c>
      <c r="O1297" s="89">
        <f t="shared" si="125"/>
        <v>743050000</v>
      </c>
      <c r="P1297" s="87">
        <f t="shared" si="121"/>
        <v>0.35303564089711581</v>
      </c>
      <c r="Q1297" s="87">
        <f t="shared" si="122"/>
        <v>0.92618820807271185</v>
      </c>
    </row>
    <row r="1298" spans="1:17">
      <c r="A1298" s="83">
        <v>1347</v>
      </c>
      <c r="B1298" s="83" t="s">
        <v>466</v>
      </c>
      <c r="C1298" s="83" t="s">
        <v>21</v>
      </c>
      <c r="D1298" s="84">
        <v>42570</v>
      </c>
      <c r="E1298" s="85">
        <f t="shared" si="120"/>
        <v>2016</v>
      </c>
      <c r="F1298" s="86">
        <v>2819557000</v>
      </c>
      <c r="G1298" s="86">
        <v>205018000</v>
      </c>
      <c r="H1298" s="86">
        <v>519267000</v>
      </c>
      <c r="I1298" s="86">
        <v>1271353000</v>
      </c>
      <c r="J1298" s="86">
        <v>0</v>
      </c>
      <c r="K1298" s="83" t="s">
        <v>31</v>
      </c>
      <c r="L1298" s="83" t="s">
        <v>72</v>
      </c>
      <c r="M1298" s="91">
        <f t="shared" si="123"/>
        <v>2614539000</v>
      </c>
      <c r="N1298" s="86">
        <f t="shared" si="124"/>
        <v>1790620000</v>
      </c>
      <c r="O1298" s="86">
        <f t="shared" si="125"/>
        <v>823919000</v>
      </c>
      <c r="P1298" s="83">
        <f t="shared" si="121"/>
        <v>0.29221576297269392</v>
      </c>
      <c r="Q1298" s="83">
        <f t="shared" si="122"/>
        <v>0.92728715894021652</v>
      </c>
    </row>
    <row r="1299" spans="1:17">
      <c r="A1299" s="87">
        <v>1348</v>
      </c>
      <c r="B1299" s="87" t="s">
        <v>466</v>
      </c>
      <c r="C1299" s="87" t="s">
        <v>22</v>
      </c>
      <c r="D1299" s="84">
        <v>42571</v>
      </c>
      <c r="E1299" s="88">
        <f t="shared" si="120"/>
        <v>2016</v>
      </c>
      <c r="F1299" s="89">
        <v>4103728000</v>
      </c>
      <c r="G1299" s="89">
        <v>392709000</v>
      </c>
      <c r="H1299" s="89">
        <v>838526000</v>
      </c>
      <c r="I1299" s="89">
        <v>1620577000</v>
      </c>
      <c r="J1299" s="89">
        <v>0</v>
      </c>
      <c r="K1299" s="87" t="s">
        <v>31</v>
      </c>
      <c r="L1299" s="87" t="s">
        <v>72</v>
      </c>
      <c r="M1299" s="90">
        <f t="shared" si="123"/>
        <v>3711019000</v>
      </c>
      <c r="N1299" s="89">
        <f t="shared" si="124"/>
        <v>2459103000</v>
      </c>
      <c r="O1299" s="89">
        <f t="shared" si="125"/>
        <v>1251916000</v>
      </c>
      <c r="P1299" s="87">
        <f t="shared" si="121"/>
        <v>0.30506797721486412</v>
      </c>
      <c r="Q1299" s="87">
        <f t="shared" si="122"/>
        <v>0.90430433011154732</v>
      </c>
    </row>
    <row r="1300" spans="1:17">
      <c r="A1300" s="83">
        <v>1349</v>
      </c>
      <c r="B1300" s="83" t="s">
        <v>466</v>
      </c>
      <c r="C1300" s="83" t="s">
        <v>23</v>
      </c>
      <c r="D1300" s="84">
        <v>42572</v>
      </c>
      <c r="E1300" s="85">
        <f t="shared" si="120"/>
        <v>2016</v>
      </c>
      <c r="F1300" s="86">
        <v>4860427000</v>
      </c>
      <c r="G1300" s="86">
        <v>299694000</v>
      </c>
      <c r="H1300" s="86">
        <v>1177697000</v>
      </c>
      <c r="I1300" s="86">
        <v>2052295000</v>
      </c>
      <c r="J1300" s="86">
        <v>0</v>
      </c>
      <c r="K1300" s="83" t="s">
        <v>31</v>
      </c>
      <c r="L1300" s="83" t="s">
        <v>72</v>
      </c>
      <c r="M1300" s="91">
        <f t="shared" si="123"/>
        <v>4560733000</v>
      </c>
      <c r="N1300" s="86">
        <f t="shared" si="124"/>
        <v>3229992000</v>
      </c>
      <c r="O1300" s="86">
        <f t="shared" si="125"/>
        <v>1330741000</v>
      </c>
      <c r="P1300" s="83">
        <f t="shared" si="121"/>
        <v>0.27379096527938801</v>
      </c>
      <c r="Q1300" s="83">
        <f t="shared" si="122"/>
        <v>0.93833998535519614</v>
      </c>
    </row>
    <row r="1301" spans="1:17">
      <c r="A1301" s="87">
        <v>1350</v>
      </c>
      <c r="B1301" s="87" t="s">
        <v>467</v>
      </c>
      <c r="C1301" s="87" t="s">
        <v>18</v>
      </c>
      <c r="D1301" s="84">
        <v>42573</v>
      </c>
      <c r="E1301" s="88">
        <f t="shared" si="120"/>
        <v>2016</v>
      </c>
      <c r="F1301" s="89">
        <v>4245895000</v>
      </c>
      <c r="G1301" s="89">
        <v>2522803000</v>
      </c>
      <c r="H1301" s="89">
        <v>1324815000</v>
      </c>
      <c r="I1301" s="89">
        <v>0</v>
      </c>
      <c r="J1301" s="89">
        <v>1700000</v>
      </c>
      <c r="K1301" s="87" t="s">
        <v>19</v>
      </c>
      <c r="L1301" s="87" t="s">
        <v>468</v>
      </c>
      <c r="M1301" s="90">
        <f t="shared" si="123"/>
        <v>1723092000</v>
      </c>
      <c r="N1301" s="89">
        <f t="shared" si="124"/>
        <v>1326515000</v>
      </c>
      <c r="O1301" s="89">
        <f t="shared" si="125"/>
        <v>396577000</v>
      </c>
      <c r="P1301" s="87">
        <f t="shared" si="121"/>
        <v>9.3402451073330825E-2</v>
      </c>
      <c r="Q1301" s="87">
        <f t="shared" si="122"/>
        <v>0.40582539134858497</v>
      </c>
    </row>
    <row r="1302" spans="1:17">
      <c r="A1302" s="83">
        <v>1351</v>
      </c>
      <c r="B1302" s="83" t="s">
        <v>467</v>
      </c>
      <c r="C1302" s="83" t="s">
        <v>21</v>
      </c>
      <c r="D1302" s="84">
        <v>42574</v>
      </c>
      <c r="E1302" s="85">
        <f t="shared" si="120"/>
        <v>2016</v>
      </c>
      <c r="F1302" s="86">
        <v>4695014000</v>
      </c>
      <c r="G1302" s="86">
        <v>2772098000</v>
      </c>
      <c r="H1302" s="86">
        <v>1425734000</v>
      </c>
      <c r="I1302" s="86">
        <v>0</v>
      </c>
      <c r="J1302" s="86">
        <v>557000</v>
      </c>
      <c r="K1302" s="83" t="s">
        <v>19</v>
      </c>
      <c r="L1302" s="83" t="s">
        <v>468</v>
      </c>
      <c r="M1302" s="91">
        <f t="shared" si="123"/>
        <v>1922916000</v>
      </c>
      <c r="N1302" s="86">
        <f t="shared" si="124"/>
        <v>1426291000</v>
      </c>
      <c r="O1302" s="86">
        <f t="shared" si="125"/>
        <v>496625000</v>
      </c>
      <c r="P1302" s="83">
        <f t="shared" si="121"/>
        <v>0.10577710737390772</v>
      </c>
      <c r="Q1302" s="83">
        <f t="shared" si="122"/>
        <v>0.40956555188120847</v>
      </c>
    </row>
    <row r="1303" spans="1:17">
      <c r="A1303" s="87">
        <v>1352</v>
      </c>
      <c r="B1303" s="87" t="s">
        <v>467</v>
      </c>
      <c r="C1303" s="87" t="s">
        <v>22</v>
      </c>
      <c r="D1303" s="84">
        <v>42575</v>
      </c>
      <c r="E1303" s="88">
        <f t="shared" si="120"/>
        <v>2016</v>
      </c>
      <c r="F1303" s="89">
        <v>5094933000</v>
      </c>
      <c r="G1303" s="89">
        <v>2980462000</v>
      </c>
      <c r="H1303" s="89">
        <v>1533799000</v>
      </c>
      <c r="I1303" s="89">
        <v>0</v>
      </c>
      <c r="J1303" s="89">
        <v>192000</v>
      </c>
      <c r="K1303" s="87" t="s">
        <v>19</v>
      </c>
      <c r="L1303" s="87" t="s">
        <v>468</v>
      </c>
      <c r="M1303" s="90">
        <f t="shared" si="123"/>
        <v>2114471000</v>
      </c>
      <c r="N1303" s="89">
        <f t="shared" si="124"/>
        <v>1533991000</v>
      </c>
      <c r="O1303" s="89">
        <f t="shared" si="125"/>
        <v>580480000</v>
      </c>
      <c r="P1303" s="87">
        <f t="shared" si="121"/>
        <v>0.11393280343431406</v>
      </c>
      <c r="Q1303" s="87">
        <f t="shared" si="122"/>
        <v>0.41501448596085566</v>
      </c>
    </row>
    <row r="1304" spans="1:17">
      <c r="A1304" s="83">
        <v>1353</v>
      </c>
      <c r="B1304" s="83" t="s">
        <v>467</v>
      </c>
      <c r="C1304" s="83" t="s">
        <v>23</v>
      </c>
      <c r="D1304" s="84">
        <v>42576</v>
      </c>
      <c r="E1304" s="85">
        <f t="shared" si="120"/>
        <v>2016</v>
      </c>
      <c r="F1304" s="86">
        <v>5250399000</v>
      </c>
      <c r="G1304" s="86">
        <v>3089723000</v>
      </c>
      <c r="H1304" s="86">
        <v>1606217000</v>
      </c>
      <c r="I1304" s="86">
        <v>0</v>
      </c>
      <c r="J1304" s="86">
        <v>1237000</v>
      </c>
      <c r="K1304" s="83" t="s">
        <v>19</v>
      </c>
      <c r="L1304" s="83" t="s">
        <v>468</v>
      </c>
      <c r="M1304" s="91">
        <f t="shared" si="123"/>
        <v>2160676000</v>
      </c>
      <c r="N1304" s="86">
        <f t="shared" si="124"/>
        <v>1607454000</v>
      </c>
      <c r="O1304" s="86">
        <f t="shared" si="125"/>
        <v>553222000</v>
      </c>
      <c r="P1304" s="83">
        <f t="shared" si="121"/>
        <v>0.10536761110917475</v>
      </c>
      <c r="Q1304" s="83">
        <f t="shared" si="122"/>
        <v>0.41152605735297454</v>
      </c>
    </row>
    <row r="1305" spans="1:17">
      <c r="A1305" s="87">
        <v>1354</v>
      </c>
      <c r="B1305" s="87" t="s">
        <v>469</v>
      </c>
      <c r="C1305" s="87" t="s">
        <v>18</v>
      </c>
      <c r="D1305" s="84">
        <v>42577</v>
      </c>
      <c r="E1305" s="88">
        <f t="shared" si="120"/>
        <v>2016</v>
      </c>
      <c r="F1305" s="89">
        <v>1328817000</v>
      </c>
      <c r="G1305" s="89">
        <v>200600000</v>
      </c>
      <c r="H1305" s="89">
        <v>660887000</v>
      </c>
      <c r="I1305" s="89">
        <v>263150000</v>
      </c>
      <c r="J1305" s="89">
        <v>0</v>
      </c>
      <c r="K1305" s="87" t="s">
        <v>28</v>
      </c>
      <c r="L1305" s="87" t="s">
        <v>406</v>
      </c>
      <c r="M1305" s="90">
        <f t="shared" si="123"/>
        <v>1128217000</v>
      </c>
      <c r="N1305" s="89">
        <f t="shared" si="124"/>
        <v>924037000</v>
      </c>
      <c r="O1305" s="89">
        <f t="shared" si="125"/>
        <v>204180000</v>
      </c>
      <c r="P1305" s="87">
        <f t="shared" si="121"/>
        <v>0.1536554694890267</v>
      </c>
      <c r="Q1305" s="87">
        <f t="shared" si="122"/>
        <v>0.84903865618817342</v>
      </c>
    </row>
    <row r="1306" spans="1:17">
      <c r="A1306" s="83">
        <v>1355</v>
      </c>
      <c r="B1306" s="83" t="s">
        <v>469</v>
      </c>
      <c r="C1306" s="83" t="s">
        <v>21</v>
      </c>
      <c r="D1306" s="84">
        <v>42578</v>
      </c>
      <c r="E1306" s="85">
        <f t="shared" si="120"/>
        <v>2016</v>
      </c>
      <c r="F1306" s="86">
        <v>1534615000</v>
      </c>
      <c r="G1306" s="86">
        <v>232600000</v>
      </c>
      <c r="H1306" s="86">
        <v>750292000</v>
      </c>
      <c r="I1306" s="86">
        <v>317263000</v>
      </c>
      <c r="J1306" s="86">
        <v>0</v>
      </c>
      <c r="K1306" s="83" t="s">
        <v>28</v>
      </c>
      <c r="L1306" s="83" t="s">
        <v>406</v>
      </c>
      <c r="M1306" s="91">
        <f t="shared" si="123"/>
        <v>1302015000</v>
      </c>
      <c r="N1306" s="86">
        <f t="shared" si="124"/>
        <v>1067555000</v>
      </c>
      <c r="O1306" s="86">
        <f t="shared" si="125"/>
        <v>234460000</v>
      </c>
      <c r="P1306" s="83">
        <f t="shared" si="121"/>
        <v>0.15278099067192749</v>
      </c>
      <c r="Q1306" s="83">
        <f t="shared" si="122"/>
        <v>0.84843103970702749</v>
      </c>
    </row>
    <row r="1307" spans="1:17">
      <c r="A1307" s="87">
        <v>1356</v>
      </c>
      <c r="B1307" s="87" t="s">
        <v>469</v>
      </c>
      <c r="C1307" s="87" t="s">
        <v>22</v>
      </c>
      <c r="D1307" s="84">
        <v>42579</v>
      </c>
      <c r="E1307" s="88">
        <f t="shared" si="120"/>
        <v>2016</v>
      </c>
      <c r="F1307" s="89">
        <v>1789489000</v>
      </c>
      <c r="G1307" s="89">
        <v>273199000</v>
      </c>
      <c r="H1307" s="89">
        <v>898440000</v>
      </c>
      <c r="I1307" s="89">
        <v>367856000</v>
      </c>
      <c r="J1307" s="89">
        <v>0</v>
      </c>
      <c r="K1307" s="87" t="s">
        <v>28</v>
      </c>
      <c r="L1307" s="87" t="s">
        <v>406</v>
      </c>
      <c r="M1307" s="90">
        <f t="shared" si="123"/>
        <v>1516290000</v>
      </c>
      <c r="N1307" s="89">
        <f t="shared" si="124"/>
        <v>1266296000</v>
      </c>
      <c r="O1307" s="89">
        <f t="shared" si="125"/>
        <v>249994000</v>
      </c>
      <c r="P1307" s="87">
        <f t="shared" si="121"/>
        <v>0.13970133373270247</v>
      </c>
      <c r="Q1307" s="87">
        <f t="shared" si="122"/>
        <v>0.84733127725289181</v>
      </c>
    </row>
    <row r="1308" spans="1:17">
      <c r="A1308" s="83">
        <v>1357</v>
      </c>
      <c r="B1308" s="83" t="s">
        <v>469</v>
      </c>
      <c r="C1308" s="83" t="s">
        <v>23</v>
      </c>
      <c r="D1308" s="84">
        <v>42580</v>
      </c>
      <c r="E1308" s="85">
        <f t="shared" si="120"/>
        <v>2016</v>
      </c>
      <c r="F1308" s="86">
        <v>2052230000</v>
      </c>
      <c r="G1308" s="86">
        <v>309629000</v>
      </c>
      <c r="H1308" s="86">
        <v>1041231000</v>
      </c>
      <c r="I1308" s="86">
        <v>413322000</v>
      </c>
      <c r="J1308" s="86">
        <v>0</v>
      </c>
      <c r="K1308" s="83" t="s">
        <v>28</v>
      </c>
      <c r="L1308" s="83" t="s">
        <v>406</v>
      </c>
      <c r="M1308" s="91">
        <f t="shared" si="123"/>
        <v>1742601000</v>
      </c>
      <c r="N1308" s="86">
        <f t="shared" si="124"/>
        <v>1454553000</v>
      </c>
      <c r="O1308" s="86">
        <f t="shared" si="125"/>
        <v>288048000</v>
      </c>
      <c r="P1308" s="83">
        <f t="shared" si="121"/>
        <v>0.14035853681117613</v>
      </c>
      <c r="Q1308" s="83">
        <f t="shared" si="122"/>
        <v>0.84912558533887528</v>
      </c>
    </row>
    <row r="1309" spans="1:17">
      <c r="A1309" s="87">
        <v>1358</v>
      </c>
      <c r="B1309" s="87" t="s">
        <v>470</v>
      </c>
      <c r="C1309" s="87" t="s">
        <v>18</v>
      </c>
      <c r="D1309" s="84">
        <v>42581</v>
      </c>
      <c r="E1309" s="88">
        <f t="shared" si="120"/>
        <v>2016</v>
      </c>
      <c r="F1309" s="89">
        <v>6945000000</v>
      </c>
      <c r="G1309" s="89">
        <v>2789000000</v>
      </c>
      <c r="H1309" s="89">
        <v>2971000000</v>
      </c>
      <c r="I1309" s="89">
        <v>0</v>
      </c>
      <c r="J1309" s="89">
        <v>27000000</v>
      </c>
      <c r="K1309" s="87" t="s">
        <v>25</v>
      </c>
      <c r="L1309" s="87" t="s">
        <v>295</v>
      </c>
      <c r="M1309" s="90">
        <f t="shared" si="123"/>
        <v>4156000000</v>
      </c>
      <c r="N1309" s="89">
        <f t="shared" si="124"/>
        <v>2998000000</v>
      </c>
      <c r="O1309" s="89">
        <f t="shared" si="125"/>
        <v>1158000000</v>
      </c>
      <c r="P1309" s="87">
        <f t="shared" si="121"/>
        <v>0.16673866090712744</v>
      </c>
      <c r="Q1309" s="87">
        <f t="shared" si="122"/>
        <v>0.59841612670986322</v>
      </c>
    </row>
    <row r="1310" spans="1:17">
      <c r="A1310" s="83">
        <v>1359</v>
      </c>
      <c r="B1310" s="83" t="s">
        <v>470</v>
      </c>
      <c r="C1310" s="83" t="s">
        <v>21</v>
      </c>
      <c r="D1310" s="84">
        <v>42582</v>
      </c>
      <c r="E1310" s="85">
        <f t="shared" si="120"/>
        <v>2016</v>
      </c>
      <c r="F1310" s="86">
        <v>7450000000</v>
      </c>
      <c r="G1310" s="86">
        <v>3140000000</v>
      </c>
      <c r="H1310" s="86">
        <v>3142000000</v>
      </c>
      <c r="I1310" s="86">
        <v>0</v>
      </c>
      <c r="J1310" s="86">
        <v>35000000</v>
      </c>
      <c r="K1310" s="83" t="s">
        <v>25</v>
      </c>
      <c r="L1310" s="83" t="s">
        <v>295</v>
      </c>
      <c r="M1310" s="91">
        <f t="shared" si="123"/>
        <v>4310000000</v>
      </c>
      <c r="N1310" s="86">
        <f t="shared" si="124"/>
        <v>3177000000</v>
      </c>
      <c r="O1310" s="86">
        <f t="shared" si="125"/>
        <v>1133000000</v>
      </c>
      <c r="P1310" s="83">
        <f t="shared" si="121"/>
        <v>0.15208053691275167</v>
      </c>
      <c r="Q1310" s="83">
        <f t="shared" si="122"/>
        <v>0.57852348993288594</v>
      </c>
    </row>
    <row r="1311" spans="1:17">
      <c r="A1311" s="87">
        <v>1360</v>
      </c>
      <c r="B1311" s="87" t="s">
        <v>470</v>
      </c>
      <c r="C1311" s="87" t="s">
        <v>22</v>
      </c>
      <c r="D1311" s="84">
        <v>42583</v>
      </c>
      <c r="E1311" s="88">
        <f t="shared" si="120"/>
        <v>2016</v>
      </c>
      <c r="F1311" s="89">
        <v>7620000000</v>
      </c>
      <c r="G1311" s="89">
        <v>3242000000</v>
      </c>
      <c r="H1311" s="89">
        <v>3301000000</v>
      </c>
      <c r="I1311" s="89">
        <v>0</v>
      </c>
      <c r="J1311" s="89">
        <v>25000000</v>
      </c>
      <c r="K1311" s="87" t="s">
        <v>25</v>
      </c>
      <c r="L1311" s="87" t="s">
        <v>295</v>
      </c>
      <c r="M1311" s="90">
        <f t="shared" si="123"/>
        <v>4378000000</v>
      </c>
      <c r="N1311" s="89">
        <f t="shared" si="124"/>
        <v>3326000000</v>
      </c>
      <c r="O1311" s="89">
        <f t="shared" si="125"/>
        <v>1052000000</v>
      </c>
      <c r="P1311" s="87">
        <f t="shared" si="121"/>
        <v>0.13805774278215224</v>
      </c>
      <c r="Q1311" s="87">
        <f t="shared" si="122"/>
        <v>0.57454068241469813</v>
      </c>
    </row>
    <row r="1312" spans="1:17">
      <c r="A1312" s="83">
        <v>1361</v>
      </c>
      <c r="B1312" s="83" t="s">
        <v>470</v>
      </c>
      <c r="C1312" s="83" t="s">
        <v>23</v>
      </c>
      <c r="D1312" s="84">
        <v>42584</v>
      </c>
      <c r="E1312" s="85">
        <f t="shared" si="120"/>
        <v>2016</v>
      </c>
      <c r="F1312" s="86">
        <v>7405000000</v>
      </c>
      <c r="G1312" s="86">
        <v>3218000000</v>
      </c>
      <c r="H1312" s="86">
        <v>3389000000</v>
      </c>
      <c r="I1312" s="86">
        <v>0</v>
      </c>
      <c r="J1312" s="86">
        <v>24000000</v>
      </c>
      <c r="K1312" s="83" t="s">
        <v>25</v>
      </c>
      <c r="L1312" s="83" t="s">
        <v>295</v>
      </c>
      <c r="M1312" s="91">
        <f t="shared" si="123"/>
        <v>4187000000</v>
      </c>
      <c r="N1312" s="86">
        <f t="shared" si="124"/>
        <v>3413000000</v>
      </c>
      <c r="O1312" s="86">
        <f t="shared" si="125"/>
        <v>774000000</v>
      </c>
      <c r="P1312" s="83">
        <f t="shared" si="121"/>
        <v>0.10452397029034437</v>
      </c>
      <c r="Q1312" s="83">
        <f t="shared" si="122"/>
        <v>0.56542876434841327</v>
      </c>
    </row>
    <row r="1313" spans="1:17">
      <c r="A1313" s="87">
        <v>1362</v>
      </c>
      <c r="B1313" s="87" t="s">
        <v>471</v>
      </c>
      <c r="C1313" s="87" t="s">
        <v>18</v>
      </c>
      <c r="D1313" s="84">
        <v>42585</v>
      </c>
      <c r="E1313" s="88">
        <f t="shared" si="120"/>
        <v>2016</v>
      </c>
      <c r="F1313" s="89">
        <v>6351900000</v>
      </c>
      <c r="G1313" s="89">
        <v>3778100000</v>
      </c>
      <c r="H1313" s="89">
        <v>1537700000</v>
      </c>
      <c r="I1313" s="89">
        <v>0</v>
      </c>
      <c r="J1313" s="89">
        <v>0</v>
      </c>
      <c r="K1313" s="87" t="s">
        <v>19</v>
      </c>
      <c r="L1313" s="87" t="s">
        <v>170</v>
      </c>
      <c r="M1313" s="90">
        <f t="shared" si="123"/>
        <v>2573800000</v>
      </c>
      <c r="N1313" s="89">
        <f t="shared" si="124"/>
        <v>1537700000</v>
      </c>
      <c r="O1313" s="89">
        <f t="shared" si="125"/>
        <v>1036100000</v>
      </c>
      <c r="P1313" s="87">
        <f t="shared" si="121"/>
        <v>0.16311654780459389</v>
      </c>
      <c r="Q1313" s="87">
        <f t="shared" si="122"/>
        <v>0.40520159322407467</v>
      </c>
    </row>
    <row r="1314" spans="1:17">
      <c r="A1314" s="83">
        <v>1363</v>
      </c>
      <c r="B1314" s="83" t="s">
        <v>471</v>
      </c>
      <c r="C1314" s="83" t="s">
        <v>21</v>
      </c>
      <c r="D1314" s="84">
        <v>42586</v>
      </c>
      <c r="E1314" s="85">
        <f t="shared" si="120"/>
        <v>2016</v>
      </c>
      <c r="F1314" s="86">
        <v>6623500000</v>
      </c>
      <c r="G1314" s="86">
        <v>3869600000</v>
      </c>
      <c r="H1314" s="86">
        <v>1570100000</v>
      </c>
      <c r="I1314" s="86">
        <v>0</v>
      </c>
      <c r="J1314" s="86">
        <v>0</v>
      </c>
      <c r="K1314" s="83" t="s">
        <v>19</v>
      </c>
      <c r="L1314" s="83" t="s">
        <v>170</v>
      </c>
      <c r="M1314" s="91">
        <f t="shared" si="123"/>
        <v>2753900000</v>
      </c>
      <c r="N1314" s="86">
        <f t="shared" si="124"/>
        <v>1570100000</v>
      </c>
      <c r="O1314" s="86">
        <f t="shared" si="125"/>
        <v>1183800000</v>
      </c>
      <c r="P1314" s="83">
        <f t="shared" si="121"/>
        <v>0.1787272590020382</v>
      </c>
      <c r="Q1314" s="83">
        <f t="shared" si="122"/>
        <v>0.41577715709217178</v>
      </c>
    </row>
    <row r="1315" spans="1:17">
      <c r="A1315" s="87">
        <v>1364</v>
      </c>
      <c r="B1315" s="87" t="s">
        <v>471</v>
      </c>
      <c r="C1315" s="87" t="s">
        <v>22</v>
      </c>
      <c r="D1315" s="84">
        <v>42587</v>
      </c>
      <c r="E1315" s="88">
        <f t="shared" si="120"/>
        <v>2016</v>
      </c>
      <c r="F1315" s="89">
        <v>6307900000</v>
      </c>
      <c r="G1315" s="89">
        <v>3604800000</v>
      </c>
      <c r="H1315" s="89">
        <v>1506400000</v>
      </c>
      <c r="I1315" s="89">
        <v>0</v>
      </c>
      <c r="J1315" s="89">
        <v>0</v>
      </c>
      <c r="K1315" s="87" t="s">
        <v>19</v>
      </c>
      <c r="L1315" s="87" t="s">
        <v>170</v>
      </c>
      <c r="M1315" s="90">
        <f t="shared" si="123"/>
        <v>2703100000</v>
      </c>
      <c r="N1315" s="89">
        <f t="shared" si="124"/>
        <v>1506400000</v>
      </c>
      <c r="O1315" s="89">
        <f t="shared" si="125"/>
        <v>1196700000</v>
      </c>
      <c r="P1315" s="87">
        <f t="shared" si="121"/>
        <v>0.18971448501085938</v>
      </c>
      <c r="Q1315" s="87">
        <f t="shared" si="122"/>
        <v>0.42852613389559124</v>
      </c>
    </row>
    <row r="1316" spans="1:17">
      <c r="A1316" s="83">
        <v>1365</v>
      </c>
      <c r="B1316" s="83" t="s">
        <v>471</v>
      </c>
      <c r="C1316" s="83" t="s">
        <v>23</v>
      </c>
      <c r="D1316" s="84">
        <v>42588</v>
      </c>
      <c r="E1316" s="85">
        <f t="shared" si="120"/>
        <v>2016</v>
      </c>
      <c r="F1316" s="86">
        <v>5879500000</v>
      </c>
      <c r="G1316" s="86">
        <v>3404000000</v>
      </c>
      <c r="H1316" s="86">
        <v>1467400000</v>
      </c>
      <c r="I1316" s="86">
        <v>0</v>
      </c>
      <c r="J1316" s="86">
        <v>0</v>
      </c>
      <c r="K1316" s="83" t="s">
        <v>19</v>
      </c>
      <c r="L1316" s="83" t="s">
        <v>170</v>
      </c>
      <c r="M1316" s="91">
        <f t="shared" si="123"/>
        <v>2475500000</v>
      </c>
      <c r="N1316" s="86">
        <f t="shared" si="124"/>
        <v>1467400000</v>
      </c>
      <c r="O1316" s="86">
        <f t="shared" si="125"/>
        <v>1008100000</v>
      </c>
      <c r="P1316" s="83">
        <f t="shared" si="121"/>
        <v>0.1714601581767157</v>
      </c>
      <c r="Q1316" s="83">
        <f t="shared" si="122"/>
        <v>0.42103920401394679</v>
      </c>
    </row>
    <row r="1317" spans="1:17">
      <c r="A1317" s="87">
        <v>1366</v>
      </c>
      <c r="B1317" s="87" t="s">
        <v>472</v>
      </c>
      <c r="C1317" s="87" t="s">
        <v>18</v>
      </c>
      <c r="D1317" s="84">
        <v>42589</v>
      </c>
      <c r="E1317" s="88">
        <f t="shared" si="120"/>
        <v>2016</v>
      </c>
      <c r="F1317" s="89">
        <v>2993489000</v>
      </c>
      <c r="G1317" s="89">
        <v>1321772000</v>
      </c>
      <c r="H1317" s="89">
        <v>914130000</v>
      </c>
      <c r="I1317" s="89">
        <v>0</v>
      </c>
      <c r="J1317" s="89">
        <v>0</v>
      </c>
      <c r="K1317" s="87" t="s">
        <v>19</v>
      </c>
      <c r="L1317" s="87" t="s">
        <v>170</v>
      </c>
      <c r="M1317" s="90">
        <f t="shared" si="123"/>
        <v>1671717000</v>
      </c>
      <c r="N1317" s="89">
        <f t="shared" si="124"/>
        <v>914130000</v>
      </c>
      <c r="O1317" s="89">
        <f t="shared" si="125"/>
        <v>757587000</v>
      </c>
      <c r="P1317" s="87">
        <f t="shared" si="121"/>
        <v>0.25307826419271962</v>
      </c>
      <c r="Q1317" s="87">
        <f t="shared" si="122"/>
        <v>0.55845102487431886</v>
      </c>
    </row>
    <row r="1318" spans="1:17">
      <c r="A1318" s="83">
        <v>1367</v>
      </c>
      <c r="B1318" s="83" t="s">
        <v>472</v>
      </c>
      <c r="C1318" s="83" t="s">
        <v>21</v>
      </c>
      <c r="D1318" s="84">
        <v>42590</v>
      </c>
      <c r="E1318" s="85">
        <f t="shared" si="120"/>
        <v>2016</v>
      </c>
      <c r="F1318" s="86">
        <v>3238128000</v>
      </c>
      <c r="G1318" s="86">
        <v>1355200000</v>
      </c>
      <c r="H1318" s="86">
        <v>1040567000</v>
      </c>
      <c r="I1318" s="86">
        <v>0</v>
      </c>
      <c r="J1318" s="86">
        <v>0</v>
      </c>
      <c r="K1318" s="83" t="s">
        <v>19</v>
      </c>
      <c r="L1318" s="83" t="s">
        <v>170</v>
      </c>
      <c r="M1318" s="91">
        <f t="shared" si="123"/>
        <v>1882928000</v>
      </c>
      <c r="N1318" s="86">
        <f t="shared" si="124"/>
        <v>1040567000</v>
      </c>
      <c r="O1318" s="86">
        <f t="shared" si="125"/>
        <v>842361000</v>
      </c>
      <c r="P1318" s="83">
        <f t="shared" si="121"/>
        <v>0.26013826507167104</v>
      </c>
      <c r="Q1318" s="83">
        <f t="shared" si="122"/>
        <v>0.58148658731217551</v>
      </c>
    </row>
    <row r="1319" spans="1:17">
      <c r="A1319" s="87">
        <v>1368</v>
      </c>
      <c r="B1319" s="87" t="s">
        <v>472</v>
      </c>
      <c r="C1319" s="87" t="s">
        <v>22</v>
      </c>
      <c r="D1319" s="84">
        <v>42591</v>
      </c>
      <c r="E1319" s="88">
        <f t="shared" si="120"/>
        <v>2016</v>
      </c>
      <c r="F1319" s="89">
        <v>3549494000</v>
      </c>
      <c r="G1319" s="89">
        <v>1447595000</v>
      </c>
      <c r="H1319" s="89">
        <v>1102426000</v>
      </c>
      <c r="I1319" s="89">
        <v>0</v>
      </c>
      <c r="J1319" s="89">
        <v>0</v>
      </c>
      <c r="K1319" s="87" t="s">
        <v>19</v>
      </c>
      <c r="L1319" s="87" t="s">
        <v>170</v>
      </c>
      <c r="M1319" s="90">
        <f t="shared" si="123"/>
        <v>2101899000</v>
      </c>
      <c r="N1319" s="89">
        <f t="shared" si="124"/>
        <v>1102426000</v>
      </c>
      <c r="O1319" s="89">
        <f t="shared" si="125"/>
        <v>999473000</v>
      </c>
      <c r="P1319" s="87">
        <f t="shared" si="121"/>
        <v>0.28158182546582694</v>
      </c>
      <c r="Q1319" s="87">
        <f t="shared" si="122"/>
        <v>0.59216863023292898</v>
      </c>
    </row>
    <row r="1320" spans="1:17">
      <c r="A1320" s="83">
        <v>1369</v>
      </c>
      <c r="B1320" s="83" t="s">
        <v>472</v>
      </c>
      <c r="C1320" s="83" t="s">
        <v>23</v>
      </c>
      <c r="D1320" s="84">
        <v>42592</v>
      </c>
      <c r="E1320" s="85">
        <f t="shared" si="120"/>
        <v>2016</v>
      </c>
      <c r="F1320" s="86">
        <v>3582395000</v>
      </c>
      <c r="G1320" s="86">
        <v>1417749000</v>
      </c>
      <c r="H1320" s="86">
        <v>1136728000</v>
      </c>
      <c r="I1320" s="86">
        <v>0</v>
      </c>
      <c r="J1320" s="86">
        <v>0</v>
      </c>
      <c r="K1320" s="83" t="s">
        <v>19</v>
      </c>
      <c r="L1320" s="83" t="s">
        <v>170</v>
      </c>
      <c r="M1320" s="91">
        <f t="shared" si="123"/>
        <v>2164646000</v>
      </c>
      <c r="N1320" s="86">
        <f t="shared" si="124"/>
        <v>1136728000</v>
      </c>
      <c r="O1320" s="86">
        <f t="shared" si="125"/>
        <v>1027918000</v>
      </c>
      <c r="P1320" s="83">
        <f t="shared" si="121"/>
        <v>0.28693597439701651</v>
      </c>
      <c r="Q1320" s="83">
        <f t="shared" si="122"/>
        <v>0.60424548381739029</v>
      </c>
    </row>
    <row r="1321" spans="1:17">
      <c r="A1321" s="87">
        <v>1370</v>
      </c>
      <c r="B1321" s="87" t="s">
        <v>473</v>
      </c>
      <c r="C1321" s="87" t="s">
        <v>18</v>
      </c>
      <c r="D1321" s="84">
        <v>42593</v>
      </c>
      <c r="E1321" s="88">
        <f t="shared" si="120"/>
        <v>2016</v>
      </c>
      <c r="F1321" s="89">
        <v>9721065000</v>
      </c>
      <c r="G1321" s="89">
        <v>7011428000</v>
      </c>
      <c r="H1321" s="89">
        <v>1437886000</v>
      </c>
      <c r="I1321" s="89">
        <v>0</v>
      </c>
      <c r="J1321" s="89">
        <v>0</v>
      </c>
      <c r="K1321" s="87" t="s">
        <v>25</v>
      </c>
      <c r="L1321" s="87" t="s">
        <v>263</v>
      </c>
      <c r="M1321" s="90">
        <f t="shared" si="123"/>
        <v>2709637000</v>
      </c>
      <c r="N1321" s="89">
        <f t="shared" si="124"/>
        <v>1437886000</v>
      </c>
      <c r="O1321" s="89">
        <f t="shared" si="125"/>
        <v>1271751000</v>
      </c>
      <c r="P1321" s="87">
        <f t="shared" si="121"/>
        <v>0.13082424610883683</v>
      </c>
      <c r="Q1321" s="87">
        <f t="shared" si="122"/>
        <v>0.27873869786900918</v>
      </c>
    </row>
    <row r="1322" spans="1:17">
      <c r="A1322" s="83">
        <v>1371</v>
      </c>
      <c r="B1322" s="83" t="s">
        <v>473</v>
      </c>
      <c r="C1322" s="83" t="s">
        <v>21</v>
      </c>
      <c r="D1322" s="84">
        <v>42594</v>
      </c>
      <c r="E1322" s="85">
        <f t="shared" si="120"/>
        <v>2016</v>
      </c>
      <c r="F1322" s="86">
        <v>10230353000</v>
      </c>
      <c r="G1322" s="86">
        <v>7360924000</v>
      </c>
      <c r="H1322" s="86">
        <v>1526366000</v>
      </c>
      <c r="I1322" s="86">
        <v>0</v>
      </c>
      <c r="J1322" s="86">
        <v>0</v>
      </c>
      <c r="K1322" s="83" t="s">
        <v>25</v>
      </c>
      <c r="L1322" s="83" t="s">
        <v>263</v>
      </c>
      <c r="M1322" s="91">
        <f t="shared" si="123"/>
        <v>2869429000</v>
      </c>
      <c r="N1322" s="86">
        <f t="shared" si="124"/>
        <v>1526366000</v>
      </c>
      <c r="O1322" s="86">
        <f t="shared" si="125"/>
        <v>1343063000</v>
      </c>
      <c r="P1322" s="83">
        <f t="shared" si="121"/>
        <v>0.13128217569814063</v>
      </c>
      <c r="Q1322" s="83">
        <f t="shared" si="122"/>
        <v>0.28048191494467489</v>
      </c>
    </row>
    <row r="1323" spans="1:17">
      <c r="A1323" s="87">
        <v>1372</v>
      </c>
      <c r="B1323" s="87" t="s">
        <v>473</v>
      </c>
      <c r="C1323" s="87" t="s">
        <v>22</v>
      </c>
      <c r="D1323" s="84">
        <v>42595</v>
      </c>
      <c r="E1323" s="88">
        <f t="shared" si="120"/>
        <v>2016</v>
      </c>
      <c r="F1323" s="89">
        <v>11041677000</v>
      </c>
      <c r="G1323" s="89">
        <v>7937956000</v>
      </c>
      <c r="H1323" s="89">
        <v>1615371000</v>
      </c>
      <c r="I1323" s="89">
        <v>0</v>
      </c>
      <c r="J1323" s="89">
        <v>0</v>
      </c>
      <c r="K1323" s="87" t="s">
        <v>25</v>
      </c>
      <c r="L1323" s="87" t="s">
        <v>263</v>
      </c>
      <c r="M1323" s="90">
        <f t="shared" si="123"/>
        <v>3103721000</v>
      </c>
      <c r="N1323" s="89">
        <f t="shared" si="124"/>
        <v>1615371000</v>
      </c>
      <c r="O1323" s="89">
        <f t="shared" si="125"/>
        <v>1488350000</v>
      </c>
      <c r="P1323" s="87">
        <f t="shared" si="121"/>
        <v>0.13479383611746656</v>
      </c>
      <c r="Q1323" s="87">
        <f t="shared" si="122"/>
        <v>0.28109145014837877</v>
      </c>
    </row>
    <row r="1324" spans="1:17">
      <c r="A1324" s="83">
        <v>1373</v>
      </c>
      <c r="B1324" s="83" t="s">
        <v>473</v>
      </c>
      <c r="C1324" s="83" t="s">
        <v>23</v>
      </c>
      <c r="D1324" s="84">
        <v>42596</v>
      </c>
      <c r="E1324" s="85">
        <f t="shared" si="120"/>
        <v>2016</v>
      </c>
      <c r="F1324" s="86">
        <v>11939999000</v>
      </c>
      <c r="G1324" s="86">
        <v>8576873000</v>
      </c>
      <c r="H1324" s="86">
        <v>1738755000</v>
      </c>
      <c r="I1324" s="86">
        <v>0</v>
      </c>
      <c r="J1324" s="86">
        <v>0</v>
      </c>
      <c r="K1324" s="83" t="s">
        <v>25</v>
      </c>
      <c r="L1324" s="83" t="s">
        <v>263</v>
      </c>
      <c r="M1324" s="91">
        <f t="shared" si="123"/>
        <v>3363126000</v>
      </c>
      <c r="N1324" s="86">
        <f t="shared" si="124"/>
        <v>1738755000</v>
      </c>
      <c r="O1324" s="86">
        <f t="shared" si="125"/>
        <v>1624371000</v>
      </c>
      <c r="P1324" s="83">
        <f t="shared" si="121"/>
        <v>0.1360444837558194</v>
      </c>
      <c r="Q1324" s="83">
        <f t="shared" si="122"/>
        <v>0.28166886781146294</v>
      </c>
    </row>
    <row r="1325" spans="1:17">
      <c r="A1325" s="87">
        <v>1374</v>
      </c>
      <c r="B1325" s="87" t="s">
        <v>474</v>
      </c>
      <c r="C1325" s="87" t="s">
        <v>18</v>
      </c>
      <c r="D1325" s="84">
        <v>42597</v>
      </c>
      <c r="E1325" s="85">
        <f t="shared" si="120"/>
        <v>2016</v>
      </c>
      <c r="F1325" s="89">
        <v>1367135000</v>
      </c>
      <c r="G1325" s="89">
        <v>328784000</v>
      </c>
      <c r="H1325" s="89">
        <v>248136000</v>
      </c>
      <c r="I1325" s="89">
        <v>0</v>
      </c>
      <c r="J1325" s="89">
        <v>445228000</v>
      </c>
      <c r="K1325" s="87" t="s">
        <v>89</v>
      </c>
      <c r="L1325" s="87" t="s">
        <v>90</v>
      </c>
      <c r="M1325" s="90">
        <f t="shared" si="123"/>
        <v>1038351000</v>
      </c>
      <c r="N1325" s="89">
        <f t="shared" si="124"/>
        <v>693364000</v>
      </c>
      <c r="O1325" s="89">
        <f t="shared" si="125"/>
        <v>344987000</v>
      </c>
      <c r="P1325" s="87">
        <f t="shared" si="121"/>
        <v>0.25234303854410867</v>
      </c>
      <c r="Q1325" s="87">
        <f t="shared" si="122"/>
        <v>0.75950875370757098</v>
      </c>
    </row>
    <row r="1326" spans="1:17">
      <c r="A1326" s="83">
        <v>1375</v>
      </c>
      <c r="B1326" s="83" t="s">
        <v>474</v>
      </c>
      <c r="C1326" s="83" t="s">
        <v>21</v>
      </c>
      <c r="D1326" s="84">
        <v>42598</v>
      </c>
      <c r="E1326" s="85">
        <f t="shared" si="120"/>
        <v>2016</v>
      </c>
      <c r="F1326" s="86">
        <v>1832253000</v>
      </c>
      <c r="G1326" s="86">
        <v>516119000</v>
      </c>
      <c r="H1326" s="86">
        <v>391707000</v>
      </c>
      <c r="I1326" s="86">
        <v>0</v>
      </c>
      <c r="J1326" s="86">
        <v>492397000</v>
      </c>
      <c r="K1326" s="83" t="s">
        <v>89</v>
      </c>
      <c r="L1326" s="83" t="s">
        <v>90</v>
      </c>
      <c r="M1326" s="91">
        <f t="shared" si="123"/>
        <v>1316134000</v>
      </c>
      <c r="N1326" s="86">
        <f t="shared" si="124"/>
        <v>884104000</v>
      </c>
      <c r="O1326" s="86">
        <f t="shared" si="125"/>
        <v>432030000</v>
      </c>
      <c r="P1326" s="83">
        <f t="shared" si="121"/>
        <v>0.23579167287487043</v>
      </c>
      <c r="Q1326" s="83">
        <f t="shared" si="122"/>
        <v>0.71831455590467042</v>
      </c>
    </row>
    <row r="1327" spans="1:17">
      <c r="A1327" s="87">
        <v>1376</v>
      </c>
      <c r="B1327" s="87" t="s">
        <v>474</v>
      </c>
      <c r="C1327" s="87" t="s">
        <v>22</v>
      </c>
      <c r="D1327" s="84">
        <v>42599</v>
      </c>
      <c r="E1327" s="85">
        <f t="shared" si="120"/>
        <v>2016</v>
      </c>
      <c r="F1327" s="89">
        <v>2042537000</v>
      </c>
      <c r="G1327" s="89">
        <v>605752000</v>
      </c>
      <c r="H1327" s="89">
        <v>191802000</v>
      </c>
      <c r="I1327" s="89">
        <v>0</v>
      </c>
      <c r="J1327" s="89">
        <v>551032000</v>
      </c>
      <c r="K1327" s="87" t="s">
        <v>89</v>
      </c>
      <c r="L1327" s="87" t="s">
        <v>90</v>
      </c>
      <c r="M1327" s="90">
        <f t="shared" si="123"/>
        <v>1436785000</v>
      </c>
      <c r="N1327" s="89">
        <f t="shared" si="124"/>
        <v>742834000</v>
      </c>
      <c r="O1327" s="89">
        <f t="shared" si="125"/>
        <v>693951000</v>
      </c>
      <c r="P1327" s="87">
        <f t="shared" si="121"/>
        <v>0.33974953697289206</v>
      </c>
      <c r="Q1327" s="87">
        <f t="shared" si="122"/>
        <v>0.70343156574397425</v>
      </c>
    </row>
    <row r="1328" spans="1:17">
      <c r="A1328" s="83">
        <v>1377</v>
      </c>
      <c r="B1328" s="83" t="s">
        <v>474</v>
      </c>
      <c r="C1328" s="83" t="s">
        <v>23</v>
      </c>
      <c r="D1328" s="84">
        <v>42600</v>
      </c>
      <c r="E1328" s="85">
        <f t="shared" si="120"/>
        <v>2016</v>
      </c>
      <c r="F1328" s="86">
        <v>1181704000</v>
      </c>
      <c r="G1328" s="86">
        <v>648968000</v>
      </c>
      <c r="H1328" s="86">
        <v>165318000</v>
      </c>
      <c r="I1328" s="86">
        <v>0</v>
      </c>
      <c r="J1328" s="86">
        <v>581155000</v>
      </c>
      <c r="K1328" s="83" t="s">
        <v>89</v>
      </c>
      <c r="L1328" s="83" t="s">
        <v>90</v>
      </c>
      <c r="M1328" s="91">
        <f t="shared" si="123"/>
        <v>532736000</v>
      </c>
      <c r="N1328" s="86">
        <f t="shared" si="124"/>
        <v>746473000</v>
      </c>
      <c r="O1328" s="86">
        <f t="shared" si="125"/>
        <v>-213737000</v>
      </c>
      <c r="P1328" s="83">
        <f t="shared" si="121"/>
        <v>-0.18087185961966787</v>
      </c>
      <c r="Q1328" s="83">
        <f t="shared" si="122"/>
        <v>0.45082017154888199</v>
      </c>
    </row>
    <row r="1329" spans="1:17">
      <c r="A1329" s="87">
        <v>1378</v>
      </c>
      <c r="B1329" s="87" t="s">
        <v>475</v>
      </c>
      <c r="C1329" s="87" t="s">
        <v>18</v>
      </c>
      <c r="D1329" s="84">
        <v>42601</v>
      </c>
      <c r="E1329" s="88">
        <f t="shared" si="120"/>
        <v>2016</v>
      </c>
      <c r="F1329" s="89">
        <v>8417200000</v>
      </c>
      <c r="G1329" s="89">
        <v>5234700000</v>
      </c>
      <c r="H1329" s="89">
        <v>1088100000</v>
      </c>
      <c r="I1329" s="89">
        <v>0</v>
      </c>
      <c r="J1329" s="89">
        <v>877400000</v>
      </c>
      <c r="K1329" s="87" t="s">
        <v>19</v>
      </c>
      <c r="L1329" s="87" t="s">
        <v>170</v>
      </c>
      <c r="M1329" s="90">
        <f t="shared" si="123"/>
        <v>3182500000</v>
      </c>
      <c r="N1329" s="89">
        <f t="shared" si="124"/>
        <v>1965500000</v>
      </c>
      <c r="O1329" s="89">
        <f t="shared" si="125"/>
        <v>1217000000</v>
      </c>
      <c r="P1329" s="87">
        <f t="shared" si="121"/>
        <v>0.14458489759064772</v>
      </c>
      <c r="Q1329" s="87">
        <f t="shared" si="122"/>
        <v>0.37809485339542837</v>
      </c>
    </row>
    <row r="1330" spans="1:17">
      <c r="A1330" s="83">
        <v>1379</v>
      </c>
      <c r="B1330" s="83" t="s">
        <v>475</v>
      </c>
      <c r="C1330" s="83" t="s">
        <v>21</v>
      </c>
      <c r="D1330" s="84">
        <v>42602</v>
      </c>
      <c r="E1330" s="85">
        <f t="shared" si="120"/>
        <v>2016</v>
      </c>
      <c r="F1330" s="86">
        <v>8803300000</v>
      </c>
      <c r="G1330" s="86">
        <v>5643100000</v>
      </c>
      <c r="H1330" s="86">
        <v>998400000</v>
      </c>
      <c r="I1330" s="86">
        <v>0</v>
      </c>
      <c r="J1330" s="86">
        <v>906900000</v>
      </c>
      <c r="K1330" s="83" t="s">
        <v>19</v>
      </c>
      <c r="L1330" s="83" t="s">
        <v>170</v>
      </c>
      <c r="M1330" s="91">
        <f t="shared" si="123"/>
        <v>3160200000</v>
      </c>
      <c r="N1330" s="86">
        <f t="shared" si="124"/>
        <v>1905300000</v>
      </c>
      <c r="O1330" s="86">
        <f t="shared" si="125"/>
        <v>1254900000</v>
      </c>
      <c r="P1330" s="83">
        <f t="shared" si="121"/>
        <v>0.14254881692092738</v>
      </c>
      <c r="Q1330" s="83">
        <f t="shared" si="122"/>
        <v>0.35897901923142461</v>
      </c>
    </row>
    <row r="1331" spans="1:17">
      <c r="A1331" s="87">
        <v>1380</v>
      </c>
      <c r="B1331" s="87" t="s">
        <v>475</v>
      </c>
      <c r="C1331" s="87" t="s">
        <v>22</v>
      </c>
      <c r="D1331" s="84">
        <v>42603</v>
      </c>
      <c r="E1331" s="88">
        <f t="shared" si="120"/>
        <v>2016</v>
      </c>
      <c r="F1331" s="89">
        <v>9115000000</v>
      </c>
      <c r="G1331" s="89">
        <v>5518600000</v>
      </c>
      <c r="H1331" s="89">
        <v>1067000000</v>
      </c>
      <c r="I1331" s="89">
        <v>0</v>
      </c>
      <c r="J1331" s="89">
        <v>970600000</v>
      </c>
      <c r="K1331" s="87" t="s">
        <v>19</v>
      </c>
      <c r="L1331" s="87" t="s">
        <v>170</v>
      </c>
      <c r="M1331" s="90">
        <f t="shared" si="123"/>
        <v>3596400000</v>
      </c>
      <c r="N1331" s="89">
        <f t="shared" si="124"/>
        <v>2037600000</v>
      </c>
      <c r="O1331" s="89">
        <f t="shared" si="125"/>
        <v>1558800000</v>
      </c>
      <c r="P1331" s="87">
        <f t="shared" si="121"/>
        <v>0.17101481075150851</v>
      </c>
      <c r="Q1331" s="87">
        <f t="shared" si="122"/>
        <v>0.39455842018650578</v>
      </c>
    </row>
    <row r="1332" spans="1:17">
      <c r="A1332" s="83">
        <v>1381</v>
      </c>
      <c r="B1332" s="83" t="s">
        <v>475</v>
      </c>
      <c r="C1332" s="83" t="s">
        <v>23</v>
      </c>
      <c r="D1332" s="84">
        <v>42604</v>
      </c>
      <c r="E1332" s="85">
        <f t="shared" si="120"/>
        <v>2016</v>
      </c>
      <c r="F1332" s="86">
        <v>9387700000</v>
      </c>
      <c r="G1332" s="86">
        <v>5764000000</v>
      </c>
      <c r="H1332" s="86">
        <v>1054500000</v>
      </c>
      <c r="I1332" s="86">
        <v>0</v>
      </c>
      <c r="J1332" s="86">
        <v>991100000</v>
      </c>
      <c r="K1332" s="83" t="s">
        <v>19</v>
      </c>
      <c r="L1332" s="83" t="s">
        <v>170</v>
      </c>
      <c r="M1332" s="91">
        <f t="shared" si="123"/>
        <v>3623700000</v>
      </c>
      <c r="N1332" s="86">
        <f t="shared" si="124"/>
        <v>2045600000</v>
      </c>
      <c r="O1332" s="86">
        <f t="shared" si="125"/>
        <v>1578100000</v>
      </c>
      <c r="P1332" s="83">
        <f t="shared" si="121"/>
        <v>0.16810294321292754</v>
      </c>
      <c r="Q1332" s="83">
        <f t="shared" si="122"/>
        <v>0.38600509176901687</v>
      </c>
    </row>
    <row r="1333" spans="1:17">
      <c r="A1333" s="87">
        <v>1382</v>
      </c>
      <c r="B1333" s="87" t="s">
        <v>476</v>
      </c>
      <c r="C1333" s="87" t="s">
        <v>18</v>
      </c>
      <c r="D1333" s="84">
        <v>42605</v>
      </c>
      <c r="E1333" s="88">
        <f t="shared" si="120"/>
        <v>2016</v>
      </c>
      <c r="F1333" s="89">
        <v>14866800000</v>
      </c>
      <c r="G1333" s="89">
        <v>6382300000</v>
      </c>
      <c r="H1333" s="89">
        <v>5655800000</v>
      </c>
      <c r="I1333" s="89">
        <v>0</v>
      </c>
      <c r="J1333" s="89">
        <v>621400000</v>
      </c>
      <c r="K1333" s="87" t="s">
        <v>25</v>
      </c>
      <c r="L1333" s="87" t="s">
        <v>161</v>
      </c>
      <c r="M1333" s="90">
        <f t="shared" si="123"/>
        <v>8484500000</v>
      </c>
      <c r="N1333" s="89">
        <f t="shared" si="124"/>
        <v>6277200000</v>
      </c>
      <c r="O1333" s="89">
        <f t="shared" si="125"/>
        <v>2207300000</v>
      </c>
      <c r="P1333" s="87">
        <f t="shared" si="121"/>
        <v>0.14847176258508893</v>
      </c>
      <c r="Q1333" s="87">
        <f t="shared" si="122"/>
        <v>0.57070115963085533</v>
      </c>
    </row>
    <row r="1334" spans="1:17">
      <c r="A1334" s="83">
        <v>1383</v>
      </c>
      <c r="B1334" s="83" t="s">
        <v>476</v>
      </c>
      <c r="C1334" s="83" t="s">
        <v>21</v>
      </c>
      <c r="D1334" s="84">
        <v>42606</v>
      </c>
      <c r="E1334" s="85">
        <f t="shared" si="120"/>
        <v>2016</v>
      </c>
      <c r="F1334" s="86">
        <v>16447800000</v>
      </c>
      <c r="G1334" s="86">
        <v>6858800000</v>
      </c>
      <c r="H1334" s="86">
        <v>6086800000</v>
      </c>
      <c r="I1334" s="86">
        <v>0</v>
      </c>
      <c r="J1334" s="86">
        <v>709600000</v>
      </c>
      <c r="K1334" s="83" t="s">
        <v>25</v>
      </c>
      <c r="L1334" s="83" t="s">
        <v>161</v>
      </c>
      <c r="M1334" s="91">
        <f t="shared" si="123"/>
        <v>9589000000</v>
      </c>
      <c r="N1334" s="86">
        <f t="shared" si="124"/>
        <v>6796400000</v>
      </c>
      <c r="O1334" s="86">
        <f t="shared" si="125"/>
        <v>2792600000</v>
      </c>
      <c r="P1334" s="83">
        <f t="shared" si="121"/>
        <v>0.1697856248252046</v>
      </c>
      <c r="Q1334" s="83">
        <f t="shared" si="122"/>
        <v>0.58299590218752662</v>
      </c>
    </row>
    <row r="1335" spans="1:17">
      <c r="A1335" s="87">
        <v>1384</v>
      </c>
      <c r="B1335" s="87" t="s">
        <v>476</v>
      </c>
      <c r="C1335" s="87" t="s">
        <v>22</v>
      </c>
      <c r="D1335" s="84">
        <v>42607</v>
      </c>
      <c r="E1335" s="88">
        <f t="shared" si="120"/>
        <v>2016</v>
      </c>
      <c r="F1335" s="89">
        <v>19162700000</v>
      </c>
      <c r="G1335" s="89">
        <v>7787500000</v>
      </c>
      <c r="H1335" s="89">
        <v>7130200000</v>
      </c>
      <c r="I1335" s="89">
        <v>0</v>
      </c>
      <c r="J1335" s="89">
        <v>893900000</v>
      </c>
      <c r="K1335" s="87" t="s">
        <v>25</v>
      </c>
      <c r="L1335" s="87" t="s">
        <v>161</v>
      </c>
      <c r="M1335" s="90">
        <f t="shared" si="123"/>
        <v>11375200000</v>
      </c>
      <c r="N1335" s="89">
        <f t="shared" si="124"/>
        <v>8024100000</v>
      </c>
      <c r="O1335" s="89">
        <f t="shared" si="125"/>
        <v>3351100000</v>
      </c>
      <c r="P1335" s="87">
        <f t="shared" si="121"/>
        <v>0.17487619176838337</v>
      </c>
      <c r="Q1335" s="87">
        <f t="shared" si="122"/>
        <v>0.59361154743329492</v>
      </c>
    </row>
    <row r="1336" spans="1:17">
      <c r="A1336" s="83">
        <v>1385</v>
      </c>
      <c r="B1336" s="83" t="s">
        <v>476</v>
      </c>
      <c r="C1336" s="83" t="s">
        <v>23</v>
      </c>
      <c r="D1336" s="84">
        <v>42608</v>
      </c>
      <c r="E1336" s="85">
        <f t="shared" si="120"/>
        <v>2016</v>
      </c>
      <c r="F1336" s="86">
        <v>21315900000</v>
      </c>
      <c r="G1336" s="86">
        <v>8511100000</v>
      </c>
      <c r="H1336" s="86">
        <v>7970300000</v>
      </c>
      <c r="I1336" s="86">
        <v>0</v>
      </c>
      <c r="J1336" s="86">
        <v>980800000</v>
      </c>
      <c r="K1336" s="83" t="s">
        <v>25</v>
      </c>
      <c r="L1336" s="83" t="s">
        <v>161</v>
      </c>
      <c r="M1336" s="91">
        <f t="shared" si="123"/>
        <v>12804800000</v>
      </c>
      <c r="N1336" s="86">
        <f t="shared" si="124"/>
        <v>8951100000</v>
      </c>
      <c r="O1336" s="86">
        <f t="shared" si="125"/>
        <v>3853700000</v>
      </c>
      <c r="P1336" s="83">
        <f t="shared" si="121"/>
        <v>0.18078992676828096</v>
      </c>
      <c r="Q1336" s="83">
        <f t="shared" si="122"/>
        <v>0.60071589752250665</v>
      </c>
    </row>
    <row r="1337" spans="1:17">
      <c r="A1337" s="87">
        <v>1386</v>
      </c>
      <c r="B1337" s="87" t="s">
        <v>477</v>
      </c>
      <c r="C1337" s="87" t="s">
        <v>18</v>
      </c>
      <c r="D1337" s="84">
        <v>42609</v>
      </c>
      <c r="E1337" s="88">
        <f t="shared" si="120"/>
        <v>2016</v>
      </c>
      <c r="F1337" s="89">
        <v>4176000000</v>
      </c>
      <c r="G1337" s="89">
        <v>2754000000</v>
      </c>
      <c r="H1337" s="89">
        <v>207000000</v>
      </c>
      <c r="I1337" s="89">
        <v>0</v>
      </c>
      <c r="J1337" s="89">
        <v>356000000</v>
      </c>
      <c r="K1337" s="87" t="s">
        <v>48</v>
      </c>
      <c r="L1337" s="87" t="s">
        <v>49</v>
      </c>
      <c r="M1337" s="90">
        <f t="shared" si="123"/>
        <v>1422000000</v>
      </c>
      <c r="N1337" s="89">
        <f t="shared" si="124"/>
        <v>563000000</v>
      </c>
      <c r="O1337" s="89">
        <f t="shared" si="125"/>
        <v>859000000</v>
      </c>
      <c r="P1337" s="87">
        <f t="shared" si="121"/>
        <v>0.20569923371647508</v>
      </c>
      <c r="Q1337" s="87">
        <f t="shared" si="122"/>
        <v>0.34051724137931039</v>
      </c>
    </row>
    <row r="1338" spans="1:17">
      <c r="A1338" s="83">
        <v>1387</v>
      </c>
      <c r="B1338" s="83" t="s">
        <v>477</v>
      </c>
      <c r="C1338" s="83" t="s">
        <v>21</v>
      </c>
      <c r="D1338" s="84">
        <v>42610</v>
      </c>
      <c r="E1338" s="85">
        <f t="shared" si="120"/>
        <v>2016</v>
      </c>
      <c r="F1338" s="86">
        <v>4495000000</v>
      </c>
      <c r="G1338" s="86">
        <v>2987000000</v>
      </c>
      <c r="H1338" s="86">
        <v>220000000</v>
      </c>
      <c r="I1338" s="86">
        <v>0</v>
      </c>
      <c r="J1338" s="86">
        <v>378000000</v>
      </c>
      <c r="K1338" s="83" t="s">
        <v>48</v>
      </c>
      <c r="L1338" s="83" t="s">
        <v>49</v>
      </c>
      <c r="M1338" s="91">
        <f t="shared" si="123"/>
        <v>1508000000</v>
      </c>
      <c r="N1338" s="86">
        <f t="shared" si="124"/>
        <v>598000000</v>
      </c>
      <c r="O1338" s="86">
        <f t="shared" si="125"/>
        <v>910000000</v>
      </c>
      <c r="P1338" s="83">
        <f t="shared" si="121"/>
        <v>0.20244716351501668</v>
      </c>
      <c r="Q1338" s="83">
        <f t="shared" si="122"/>
        <v>0.3354838709677419</v>
      </c>
    </row>
    <row r="1339" spans="1:17">
      <c r="A1339" s="87">
        <v>1388</v>
      </c>
      <c r="B1339" s="87" t="s">
        <v>477</v>
      </c>
      <c r="C1339" s="87" t="s">
        <v>22</v>
      </c>
      <c r="D1339" s="84">
        <v>42611</v>
      </c>
      <c r="E1339" s="88">
        <f t="shared" si="120"/>
        <v>2016</v>
      </c>
      <c r="F1339" s="89">
        <v>4951000000</v>
      </c>
      <c r="G1339" s="89">
        <v>3331000000</v>
      </c>
      <c r="H1339" s="89">
        <v>229000000</v>
      </c>
      <c r="I1339" s="89">
        <v>0</v>
      </c>
      <c r="J1339" s="89">
        <v>384000000</v>
      </c>
      <c r="K1339" s="87" t="s">
        <v>48</v>
      </c>
      <c r="L1339" s="87" t="s">
        <v>49</v>
      </c>
      <c r="M1339" s="90">
        <f t="shared" si="123"/>
        <v>1620000000</v>
      </c>
      <c r="N1339" s="89">
        <f t="shared" si="124"/>
        <v>613000000</v>
      </c>
      <c r="O1339" s="89">
        <f t="shared" si="125"/>
        <v>1007000000</v>
      </c>
      <c r="P1339" s="87">
        <f t="shared" si="121"/>
        <v>0.20339325388810342</v>
      </c>
      <c r="Q1339" s="87">
        <f t="shared" si="122"/>
        <v>0.32720662492425767</v>
      </c>
    </row>
    <row r="1340" spans="1:17">
      <c r="A1340" s="83">
        <v>1389</v>
      </c>
      <c r="B1340" s="83" t="s">
        <v>477</v>
      </c>
      <c r="C1340" s="83" t="s">
        <v>23</v>
      </c>
      <c r="D1340" s="84">
        <v>42612</v>
      </c>
      <c r="E1340" s="85">
        <f t="shared" si="120"/>
        <v>2016</v>
      </c>
      <c r="F1340" s="86">
        <v>4380000000</v>
      </c>
      <c r="G1340" s="86">
        <v>2714000000</v>
      </c>
      <c r="H1340" s="86">
        <v>234000000</v>
      </c>
      <c r="I1340" s="86">
        <v>0</v>
      </c>
      <c r="J1340" s="86">
        <v>358000000</v>
      </c>
      <c r="K1340" s="83" t="s">
        <v>48</v>
      </c>
      <c r="L1340" s="83" t="s">
        <v>49</v>
      </c>
      <c r="M1340" s="91">
        <f t="shared" si="123"/>
        <v>1666000000</v>
      </c>
      <c r="N1340" s="86">
        <f t="shared" si="124"/>
        <v>592000000</v>
      </c>
      <c r="O1340" s="86">
        <f t="shared" si="125"/>
        <v>1074000000</v>
      </c>
      <c r="P1340" s="83">
        <f t="shared" si="121"/>
        <v>0.24520547945205479</v>
      </c>
      <c r="Q1340" s="83">
        <f t="shared" si="122"/>
        <v>0.38036529680365294</v>
      </c>
    </row>
    <row r="1341" spans="1:17">
      <c r="A1341" s="87">
        <v>1394</v>
      </c>
      <c r="B1341" s="87" t="s">
        <v>478</v>
      </c>
      <c r="C1341" s="87" t="s">
        <v>18</v>
      </c>
      <c r="D1341" s="84">
        <v>42613</v>
      </c>
      <c r="E1341" s="88">
        <f t="shared" si="120"/>
        <v>2016</v>
      </c>
      <c r="F1341" s="89">
        <v>5075000000</v>
      </c>
      <c r="G1341" s="89">
        <v>2417000000</v>
      </c>
      <c r="H1341" s="89">
        <v>337000000</v>
      </c>
      <c r="I1341" s="89">
        <v>0</v>
      </c>
      <c r="J1341" s="89">
        <v>746000000</v>
      </c>
      <c r="K1341" s="87" t="s">
        <v>89</v>
      </c>
      <c r="L1341" s="87" t="s">
        <v>347</v>
      </c>
      <c r="M1341" s="90">
        <f t="shared" si="123"/>
        <v>2658000000</v>
      </c>
      <c r="N1341" s="89">
        <f t="shared" si="124"/>
        <v>1083000000</v>
      </c>
      <c r="O1341" s="89">
        <f t="shared" si="125"/>
        <v>1575000000</v>
      </c>
      <c r="P1341" s="87">
        <f t="shared" si="121"/>
        <v>0.31034482758620691</v>
      </c>
      <c r="Q1341" s="87">
        <f t="shared" si="122"/>
        <v>0.52374384236453198</v>
      </c>
    </row>
    <row r="1342" spans="1:17">
      <c r="A1342" s="83">
        <v>1395</v>
      </c>
      <c r="B1342" s="83" t="s">
        <v>478</v>
      </c>
      <c r="C1342" s="83" t="s">
        <v>21</v>
      </c>
      <c r="D1342" s="84">
        <v>42614</v>
      </c>
      <c r="E1342" s="85">
        <f t="shared" si="120"/>
        <v>2016</v>
      </c>
      <c r="F1342" s="86">
        <v>5518000000</v>
      </c>
      <c r="G1342" s="86">
        <v>2707000000</v>
      </c>
      <c r="H1342" s="86">
        <v>373000000</v>
      </c>
      <c r="I1342" s="86">
        <v>0</v>
      </c>
      <c r="J1342" s="86">
        <v>772000000</v>
      </c>
      <c r="K1342" s="83" t="s">
        <v>89</v>
      </c>
      <c r="L1342" s="83" t="s">
        <v>347</v>
      </c>
      <c r="M1342" s="91">
        <f t="shared" si="123"/>
        <v>2811000000</v>
      </c>
      <c r="N1342" s="86">
        <f t="shared" si="124"/>
        <v>1145000000</v>
      </c>
      <c r="O1342" s="86">
        <f t="shared" si="125"/>
        <v>1666000000</v>
      </c>
      <c r="P1342" s="83">
        <f t="shared" si="121"/>
        <v>0.30192098586444366</v>
      </c>
      <c r="Q1342" s="83">
        <f t="shared" si="122"/>
        <v>0.50942370424066685</v>
      </c>
    </row>
    <row r="1343" spans="1:17">
      <c r="A1343" s="87">
        <v>1396</v>
      </c>
      <c r="B1343" s="87" t="s">
        <v>478</v>
      </c>
      <c r="C1343" s="87" t="s">
        <v>22</v>
      </c>
      <c r="D1343" s="84">
        <v>42615</v>
      </c>
      <c r="E1343" s="88">
        <f t="shared" ref="E1343:E1406" si="126">YEAR(D1343)</f>
        <v>2016</v>
      </c>
      <c r="F1343" s="89">
        <v>5903000000</v>
      </c>
      <c r="G1343" s="89">
        <v>2790000000</v>
      </c>
      <c r="H1343" s="89">
        <v>393000000</v>
      </c>
      <c r="I1343" s="89">
        <v>0</v>
      </c>
      <c r="J1343" s="89">
        <v>796000000</v>
      </c>
      <c r="K1343" s="87" t="s">
        <v>89</v>
      </c>
      <c r="L1343" s="87" t="s">
        <v>347</v>
      </c>
      <c r="M1343" s="90">
        <f t="shared" si="123"/>
        <v>3113000000</v>
      </c>
      <c r="N1343" s="89">
        <f t="shared" si="124"/>
        <v>1189000000</v>
      </c>
      <c r="O1343" s="89">
        <f t="shared" si="125"/>
        <v>1924000000</v>
      </c>
      <c r="P1343" s="87">
        <f t="shared" si="121"/>
        <v>0.32593596476367948</v>
      </c>
      <c r="Q1343" s="87">
        <f t="shared" si="122"/>
        <v>0.52735897001524656</v>
      </c>
    </row>
    <row r="1344" spans="1:17">
      <c r="A1344" s="83">
        <v>1397</v>
      </c>
      <c r="B1344" s="83" t="s">
        <v>478</v>
      </c>
      <c r="C1344" s="83" t="s">
        <v>23</v>
      </c>
      <c r="D1344" s="84">
        <v>42616</v>
      </c>
      <c r="E1344" s="85">
        <f t="shared" si="126"/>
        <v>2016</v>
      </c>
      <c r="F1344" s="86">
        <v>5234000000</v>
      </c>
      <c r="G1344" s="86">
        <v>2335000000</v>
      </c>
      <c r="H1344" s="86">
        <v>353000000</v>
      </c>
      <c r="I1344" s="86">
        <v>0</v>
      </c>
      <c r="J1344" s="86">
        <v>764000000</v>
      </c>
      <c r="K1344" s="83" t="s">
        <v>89</v>
      </c>
      <c r="L1344" s="83" t="s">
        <v>347</v>
      </c>
      <c r="M1344" s="91">
        <f t="shared" si="123"/>
        <v>2899000000</v>
      </c>
      <c r="N1344" s="86">
        <f t="shared" si="124"/>
        <v>1117000000</v>
      </c>
      <c r="O1344" s="86">
        <f t="shared" si="125"/>
        <v>1782000000</v>
      </c>
      <c r="P1344" s="83">
        <f t="shared" si="121"/>
        <v>0.34046618265189149</v>
      </c>
      <c r="Q1344" s="83">
        <f t="shared" si="122"/>
        <v>0.55387848681696594</v>
      </c>
    </row>
    <row r="1345" spans="1:17">
      <c r="A1345" s="87">
        <v>1398</v>
      </c>
      <c r="B1345" s="87" t="s">
        <v>479</v>
      </c>
      <c r="C1345" s="87" t="s">
        <v>18</v>
      </c>
      <c r="D1345" s="84">
        <v>42617</v>
      </c>
      <c r="E1345" s="88">
        <f t="shared" si="126"/>
        <v>2016</v>
      </c>
      <c r="F1345" s="89">
        <v>7690800000</v>
      </c>
      <c r="G1345" s="89">
        <v>5100900000</v>
      </c>
      <c r="H1345" s="89">
        <v>1788300000</v>
      </c>
      <c r="I1345" s="89">
        <v>0</v>
      </c>
      <c r="J1345" s="89">
        <v>123200000</v>
      </c>
      <c r="K1345" s="87" t="s">
        <v>65</v>
      </c>
      <c r="L1345" s="87" t="s">
        <v>102</v>
      </c>
      <c r="M1345" s="90">
        <f t="shared" si="123"/>
        <v>2589900000</v>
      </c>
      <c r="N1345" s="89">
        <f t="shared" si="124"/>
        <v>1911500000</v>
      </c>
      <c r="O1345" s="89">
        <f t="shared" si="125"/>
        <v>678400000</v>
      </c>
      <c r="P1345" s="87">
        <f t="shared" si="121"/>
        <v>8.8209289020648049E-2</v>
      </c>
      <c r="Q1345" s="87">
        <f t="shared" si="122"/>
        <v>0.33675300358870341</v>
      </c>
    </row>
    <row r="1346" spans="1:17">
      <c r="A1346" s="83">
        <v>1399</v>
      </c>
      <c r="B1346" s="83" t="s">
        <v>479</v>
      </c>
      <c r="C1346" s="83" t="s">
        <v>21</v>
      </c>
      <c r="D1346" s="84">
        <v>42618</v>
      </c>
      <c r="E1346" s="85">
        <f t="shared" si="126"/>
        <v>2016</v>
      </c>
      <c r="F1346" s="86">
        <v>7750500000</v>
      </c>
      <c r="G1346" s="86">
        <v>5062900000</v>
      </c>
      <c r="H1346" s="86">
        <v>1849400000</v>
      </c>
      <c r="I1346" s="86">
        <v>0</v>
      </c>
      <c r="J1346" s="86">
        <v>118900000</v>
      </c>
      <c r="K1346" s="83" t="s">
        <v>65</v>
      </c>
      <c r="L1346" s="83" t="s">
        <v>102</v>
      </c>
      <c r="M1346" s="91">
        <f t="shared" si="123"/>
        <v>2687600000</v>
      </c>
      <c r="N1346" s="86">
        <f t="shared" si="124"/>
        <v>1968300000</v>
      </c>
      <c r="O1346" s="86">
        <f t="shared" si="125"/>
        <v>719300000</v>
      </c>
      <c r="P1346" s="83">
        <f t="shared" ref="P1346:P1409" si="127">O1346/F1346</f>
        <v>9.2806915682859176E-2</v>
      </c>
      <c r="Q1346" s="83">
        <f t="shared" ref="Q1346:Q1409" si="128">1-G1346/F1346</f>
        <v>0.34676472485646093</v>
      </c>
    </row>
    <row r="1347" spans="1:17">
      <c r="A1347" s="87">
        <v>1400</v>
      </c>
      <c r="B1347" s="87" t="s">
        <v>479</v>
      </c>
      <c r="C1347" s="87" t="s">
        <v>22</v>
      </c>
      <c r="D1347" s="84">
        <v>42619</v>
      </c>
      <c r="E1347" s="88">
        <f t="shared" si="126"/>
        <v>2016</v>
      </c>
      <c r="F1347" s="89">
        <v>7031500000</v>
      </c>
      <c r="G1347" s="89">
        <v>4444900000</v>
      </c>
      <c r="H1347" s="89">
        <v>1656200000</v>
      </c>
      <c r="I1347" s="89">
        <v>0</v>
      </c>
      <c r="J1347" s="89">
        <v>88700000</v>
      </c>
      <c r="K1347" s="87" t="s">
        <v>65</v>
      </c>
      <c r="L1347" s="87" t="s">
        <v>102</v>
      </c>
      <c r="M1347" s="90">
        <f t="shared" ref="M1347:M1410" si="129">F1347-G1347</f>
        <v>2586600000</v>
      </c>
      <c r="N1347" s="89">
        <f t="shared" ref="N1347:N1410" si="130">H1347+I1347+J1347</f>
        <v>1744900000</v>
      </c>
      <c r="O1347" s="89">
        <f t="shared" ref="O1347:O1410" si="131">M1347-N1347</f>
        <v>841700000</v>
      </c>
      <c r="P1347" s="87">
        <f t="shared" si="127"/>
        <v>0.11970418829552727</v>
      </c>
      <c r="Q1347" s="87">
        <f t="shared" si="128"/>
        <v>0.36785892057171299</v>
      </c>
    </row>
    <row r="1348" spans="1:17">
      <c r="A1348" s="83">
        <v>1401</v>
      </c>
      <c r="B1348" s="83" t="s">
        <v>479</v>
      </c>
      <c r="C1348" s="83" t="s">
        <v>23</v>
      </c>
      <c r="D1348" s="84">
        <v>42620</v>
      </c>
      <c r="E1348" s="85">
        <f t="shared" si="126"/>
        <v>2016</v>
      </c>
      <c r="F1348" s="86">
        <v>6778300000</v>
      </c>
      <c r="G1348" s="86">
        <v>4246700000</v>
      </c>
      <c r="H1348" s="86">
        <v>1604400000</v>
      </c>
      <c r="I1348" s="86">
        <v>0</v>
      </c>
      <c r="J1348" s="86">
        <v>94900000</v>
      </c>
      <c r="K1348" s="83" t="s">
        <v>65</v>
      </c>
      <c r="L1348" s="83" t="s">
        <v>102</v>
      </c>
      <c r="M1348" s="91">
        <f t="shared" si="129"/>
        <v>2531600000</v>
      </c>
      <c r="N1348" s="86">
        <f t="shared" si="130"/>
        <v>1699300000</v>
      </c>
      <c r="O1348" s="86">
        <f t="shared" si="131"/>
        <v>832300000</v>
      </c>
      <c r="P1348" s="83">
        <f t="shared" si="127"/>
        <v>0.12278889987164923</v>
      </c>
      <c r="Q1348" s="83">
        <f t="shared" si="128"/>
        <v>0.37348597730994493</v>
      </c>
    </row>
    <row r="1349" spans="1:17">
      <c r="A1349" s="87">
        <v>1402</v>
      </c>
      <c r="B1349" s="87" t="s">
        <v>480</v>
      </c>
      <c r="C1349" s="87" t="s">
        <v>18</v>
      </c>
      <c r="D1349" s="84">
        <v>42621</v>
      </c>
      <c r="E1349" s="88">
        <f t="shared" si="126"/>
        <v>2016</v>
      </c>
      <c r="F1349" s="89">
        <v>9534462000</v>
      </c>
      <c r="G1349" s="89">
        <v>5328236000</v>
      </c>
      <c r="H1349" s="89">
        <v>3264896000</v>
      </c>
      <c r="I1349" s="89">
        <v>0</v>
      </c>
      <c r="J1349" s="89">
        <v>0</v>
      </c>
      <c r="K1349" s="87" t="s">
        <v>65</v>
      </c>
      <c r="L1349" s="87" t="s">
        <v>66</v>
      </c>
      <c r="M1349" s="90">
        <f t="shared" si="129"/>
        <v>4206226000</v>
      </c>
      <c r="N1349" s="89">
        <f t="shared" si="130"/>
        <v>3264896000</v>
      </c>
      <c r="O1349" s="89">
        <f t="shared" si="131"/>
        <v>941330000</v>
      </c>
      <c r="P1349" s="87">
        <f t="shared" si="127"/>
        <v>9.8729220379713087E-2</v>
      </c>
      <c r="Q1349" s="87">
        <f t="shared" si="128"/>
        <v>0.44116028780648553</v>
      </c>
    </row>
    <row r="1350" spans="1:17">
      <c r="A1350" s="83">
        <v>1403</v>
      </c>
      <c r="B1350" s="83" t="s">
        <v>480</v>
      </c>
      <c r="C1350" s="83" t="s">
        <v>21</v>
      </c>
      <c r="D1350" s="84">
        <v>42622</v>
      </c>
      <c r="E1350" s="85">
        <f t="shared" si="126"/>
        <v>2016</v>
      </c>
      <c r="F1350" s="86">
        <v>10185532000</v>
      </c>
      <c r="G1350" s="86">
        <v>5568966000</v>
      </c>
      <c r="H1350" s="86">
        <v>3470200000</v>
      </c>
      <c r="I1350" s="86">
        <v>0</v>
      </c>
      <c r="J1350" s="86">
        <v>0</v>
      </c>
      <c r="K1350" s="83" t="s">
        <v>65</v>
      </c>
      <c r="L1350" s="83" t="s">
        <v>66</v>
      </c>
      <c r="M1350" s="91">
        <f t="shared" si="129"/>
        <v>4616566000</v>
      </c>
      <c r="N1350" s="86">
        <f t="shared" si="130"/>
        <v>3470200000</v>
      </c>
      <c r="O1350" s="86">
        <f t="shared" si="131"/>
        <v>1146366000</v>
      </c>
      <c r="P1350" s="83">
        <f t="shared" si="127"/>
        <v>0.11254846580424076</v>
      </c>
      <c r="Q1350" s="83">
        <f t="shared" si="128"/>
        <v>0.45324741015000491</v>
      </c>
    </row>
    <row r="1351" spans="1:17">
      <c r="A1351" s="87">
        <v>1404</v>
      </c>
      <c r="B1351" s="87" t="s">
        <v>480</v>
      </c>
      <c r="C1351" s="87" t="s">
        <v>22</v>
      </c>
      <c r="D1351" s="84">
        <v>42623</v>
      </c>
      <c r="E1351" s="88">
        <f t="shared" si="126"/>
        <v>2016</v>
      </c>
      <c r="F1351" s="89">
        <v>11129533000</v>
      </c>
      <c r="G1351" s="89">
        <v>5965049000</v>
      </c>
      <c r="H1351" s="89">
        <v>3860448000</v>
      </c>
      <c r="I1351" s="89">
        <v>0</v>
      </c>
      <c r="J1351" s="89">
        <v>0</v>
      </c>
      <c r="K1351" s="87" t="s">
        <v>65</v>
      </c>
      <c r="L1351" s="87" t="s">
        <v>66</v>
      </c>
      <c r="M1351" s="90">
        <f t="shared" si="129"/>
        <v>5164484000</v>
      </c>
      <c r="N1351" s="89">
        <f t="shared" si="130"/>
        <v>3860448000</v>
      </c>
      <c r="O1351" s="89">
        <f t="shared" si="131"/>
        <v>1304036000</v>
      </c>
      <c r="P1351" s="87">
        <f t="shared" si="127"/>
        <v>0.11716897735062198</v>
      </c>
      <c r="Q1351" s="87">
        <f t="shared" si="128"/>
        <v>0.46403420520879002</v>
      </c>
    </row>
    <row r="1352" spans="1:17">
      <c r="A1352" s="83">
        <v>1405</v>
      </c>
      <c r="B1352" s="83" t="s">
        <v>480</v>
      </c>
      <c r="C1352" s="83" t="s">
        <v>23</v>
      </c>
      <c r="D1352" s="84">
        <v>42624</v>
      </c>
      <c r="E1352" s="85">
        <f t="shared" si="126"/>
        <v>2016</v>
      </c>
      <c r="F1352" s="86">
        <v>11339304000</v>
      </c>
      <c r="G1352" s="86">
        <v>5780078000</v>
      </c>
      <c r="H1352" s="86">
        <v>3943786000</v>
      </c>
      <c r="I1352" s="86">
        <v>0</v>
      </c>
      <c r="J1352" s="86">
        <v>0</v>
      </c>
      <c r="K1352" s="83" t="s">
        <v>65</v>
      </c>
      <c r="L1352" s="83" t="s">
        <v>66</v>
      </c>
      <c r="M1352" s="91">
        <f t="shared" si="129"/>
        <v>5559226000</v>
      </c>
      <c r="N1352" s="86">
        <f t="shared" si="130"/>
        <v>3943786000</v>
      </c>
      <c r="O1352" s="86">
        <f t="shared" si="131"/>
        <v>1615440000</v>
      </c>
      <c r="P1352" s="83">
        <f t="shared" si="127"/>
        <v>0.14246377026314844</v>
      </c>
      <c r="Q1352" s="83">
        <f t="shared" si="128"/>
        <v>0.49026165979852021</v>
      </c>
    </row>
    <row r="1353" spans="1:17">
      <c r="A1353" s="87">
        <v>1406</v>
      </c>
      <c r="B1353" s="87" t="s">
        <v>481</v>
      </c>
      <c r="C1353" s="87" t="s">
        <v>18</v>
      </c>
      <c r="D1353" s="84">
        <v>42625</v>
      </c>
      <c r="E1353" s="88">
        <f t="shared" si="126"/>
        <v>2016</v>
      </c>
      <c r="F1353" s="89">
        <v>3983400000</v>
      </c>
      <c r="G1353" s="89">
        <v>2446000000</v>
      </c>
      <c r="H1353" s="89">
        <v>976900000</v>
      </c>
      <c r="I1353" s="89">
        <v>0</v>
      </c>
      <c r="J1353" s="89">
        <v>0</v>
      </c>
      <c r="K1353" s="87" t="s">
        <v>25</v>
      </c>
      <c r="L1353" s="87" t="s">
        <v>85</v>
      </c>
      <c r="M1353" s="90">
        <f t="shared" si="129"/>
        <v>1537400000</v>
      </c>
      <c r="N1353" s="89">
        <f t="shared" si="130"/>
        <v>976900000</v>
      </c>
      <c r="O1353" s="89">
        <f t="shared" si="131"/>
        <v>560500000</v>
      </c>
      <c r="P1353" s="87">
        <f t="shared" si="127"/>
        <v>0.14070894210975549</v>
      </c>
      <c r="Q1353" s="87">
        <f t="shared" si="128"/>
        <v>0.38595169955314557</v>
      </c>
    </row>
    <row r="1354" spans="1:17">
      <c r="A1354" s="83">
        <v>1407</v>
      </c>
      <c r="B1354" s="83" t="s">
        <v>481</v>
      </c>
      <c r="C1354" s="83" t="s">
        <v>21</v>
      </c>
      <c r="D1354" s="84">
        <v>42626</v>
      </c>
      <c r="E1354" s="85">
        <f t="shared" si="126"/>
        <v>2016</v>
      </c>
      <c r="F1354" s="86">
        <v>4209200000</v>
      </c>
      <c r="G1354" s="86">
        <v>2628700000</v>
      </c>
      <c r="H1354" s="86">
        <v>1010000000</v>
      </c>
      <c r="I1354" s="86">
        <v>0</v>
      </c>
      <c r="J1354" s="86">
        <v>0</v>
      </c>
      <c r="K1354" s="83" t="s">
        <v>25</v>
      </c>
      <c r="L1354" s="83" t="s">
        <v>85</v>
      </c>
      <c r="M1354" s="91">
        <f t="shared" si="129"/>
        <v>1580500000</v>
      </c>
      <c r="N1354" s="86">
        <f t="shared" si="130"/>
        <v>1010000000</v>
      </c>
      <c r="O1354" s="86">
        <f t="shared" si="131"/>
        <v>570500000</v>
      </c>
      <c r="P1354" s="83">
        <f t="shared" si="127"/>
        <v>0.13553644397985365</v>
      </c>
      <c r="Q1354" s="83">
        <f t="shared" si="128"/>
        <v>0.37548702841395043</v>
      </c>
    </row>
    <row r="1355" spans="1:17">
      <c r="A1355" s="87">
        <v>1408</v>
      </c>
      <c r="B1355" s="87" t="s">
        <v>481</v>
      </c>
      <c r="C1355" s="87" t="s">
        <v>22</v>
      </c>
      <c r="D1355" s="84">
        <v>42627</v>
      </c>
      <c r="E1355" s="88">
        <f t="shared" si="126"/>
        <v>2016</v>
      </c>
      <c r="F1355" s="89">
        <v>5736300000</v>
      </c>
      <c r="G1355" s="89">
        <v>3662100000</v>
      </c>
      <c r="H1355" s="89">
        <v>1497600000</v>
      </c>
      <c r="I1355" s="89">
        <v>0</v>
      </c>
      <c r="J1355" s="89">
        <v>0</v>
      </c>
      <c r="K1355" s="87" t="s">
        <v>25</v>
      </c>
      <c r="L1355" s="87" t="s">
        <v>85</v>
      </c>
      <c r="M1355" s="90">
        <f t="shared" si="129"/>
        <v>2074200000</v>
      </c>
      <c r="N1355" s="89">
        <f t="shared" si="130"/>
        <v>1497600000</v>
      </c>
      <c r="O1355" s="89">
        <f t="shared" si="131"/>
        <v>576600000</v>
      </c>
      <c r="P1355" s="87">
        <f t="shared" si="127"/>
        <v>0.10051775534752366</v>
      </c>
      <c r="Q1355" s="87">
        <f t="shared" si="128"/>
        <v>0.36159196694733542</v>
      </c>
    </row>
    <row r="1356" spans="1:17">
      <c r="A1356" s="83">
        <v>1409</v>
      </c>
      <c r="B1356" s="83" t="s">
        <v>481</v>
      </c>
      <c r="C1356" s="83" t="s">
        <v>23</v>
      </c>
      <c r="D1356" s="84">
        <v>42628</v>
      </c>
      <c r="E1356" s="85">
        <f t="shared" si="126"/>
        <v>2016</v>
      </c>
      <c r="F1356" s="86">
        <v>6550200000</v>
      </c>
      <c r="G1356" s="86">
        <v>4109800000</v>
      </c>
      <c r="H1356" s="86">
        <v>1736700000</v>
      </c>
      <c r="I1356" s="86">
        <v>0</v>
      </c>
      <c r="J1356" s="86">
        <v>0</v>
      </c>
      <c r="K1356" s="83" t="s">
        <v>25</v>
      </c>
      <c r="L1356" s="83" t="s">
        <v>85</v>
      </c>
      <c r="M1356" s="91">
        <f t="shared" si="129"/>
        <v>2440400000</v>
      </c>
      <c r="N1356" s="86">
        <f t="shared" si="130"/>
        <v>1736700000</v>
      </c>
      <c r="O1356" s="86">
        <f t="shared" si="131"/>
        <v>703700000</v>
      </c>
      <c r="P1356" s="83">
        <f t="shared" si="127"/>
        <v>0.10743183414246893</v>
      </c>
      <c r="Q1356" s="83">
        <f t="shared" si="128"/>
        <v>0.37256877652590759</v>
      </c>
    </row>
    <row r="1357" spans="1:17">
      <c r="A1357" s="87">
        <v>1410</v>
      </c>
      <c r="B1357" s="87" t="s">
        <v>482</v>
      </c>
      <c r="C1357" s="87" t="s">
        <v>18</v>
      </c>
      <c r="D1357" s="84">
        <v>42629</v>
      </c>
      <c r="E1357" s="88">
        <f t="shared" si="126"/>
        <v>2016</v>
      </c>
      <c r="F1357" s="89">
        <v>5897700000</v>
      </c>
      <c r="G1357" s="89">
        <v>3870100000</v>
      </c>
      <c r="H1357" s="89">
        <v>1020400000</v>
      </c>
      <c r="I1357" s="89">
        <v>0</v>
      </c>
      <c r="J1357" s="89">
        <v>96800000</v>
      </c>
      <c r="K1357" s="87" t="s">
        <v>42</v>
      </c>
      <c r="L1357" s="87" t="s">
        <v>130</v>
      </c>
      <c r="M1357" s="90">
        <f t="shared" si="129"/>
        <v>2027600000</v>
      </c>
      <c r="N1357" s="89">
        <f t="shared" si="130"/>
        <v>1117200000</v>
      </c>
      <c r="O1357" s="89">
        <f t="shared" si="131"/>
        <v>910400000</v>
      </c>
      <c r="P1357" s="87">
        <f t="shared" si="127"/>
        <v>0.15436526103396239</v>
      </c>
      <c r="Q1357" s="87">
        <f t="shared" si="128"/>
        <v>0.34379503874391715</v>
      </c>
    </row>
    <row r="1358" spans="1:17">
      <c r="A1358" s="83">
        <v>1411</v>
      </c>
      <c r="B1358" s="83" t="s">
        <v>482</v>
      </c>
      <c r="C1358" s="83" t="s">
        <v>21</v>
      </c>
      <c r="D1358" s="84">
        <v>42630</v>
      </c>
      <c r="E1358" s="85">
        <f t="shared" si="126"/>
        <v>2016</v>
      </c>
      <c r="F1358" s="86">
        <v>5610600000</v>
      </c>
      <c r="G1358" s="86">
        <v>3579600000</v>
      </c>
      <c r="H1358" s="86">
        <v>1013100000</v>
      </c>
      <c r="I1358" s="86">
        <v>0</v>
      </c>
      <c r="J1358" s="86">
        <v>98900000</v>
      </c>
      <c r="K1358" s="83" t="s">
        <v>42</v>
      </c>
      <c r="L1358" s="83" t="s">
        <v>130</v>
      </c>
      <c r="M1358" s="91">
        <f t="shared" si="129"/>
        <v>2031000000</v>
      </c>
      <c r="N1358" s="86">
        <f t="shared" si="130"/>
        <v>1112000000</v>
      </c>
      <c r="O1358" s="86">
        <f t="shared" si="131"/>
        <v>919000000</v>
      </c>
      <c r="P1358" s="83">
        <f t="shared" si="127"/>
        <v>0.16379709834955264</v>
      </c>
      <c r="Q1358" s="83">
        <f t="shared" si="128"/>
        <v>0.36199336969308094</v>
      </c>
    </row>
    <row r="1359" spans="1:17">
      <c r="A1359" s="87">
        <v>1412</v>
      </c>
      <c r="B1359" s="87" t="s">
        <v>482</v>
      </c>
      <c r="C1359" s="87" t="s">
        <v>22</v>
      </c>
      <c r="D1359" s="84">
        <v>42631</v>
      </c>
      <c r="E1359" s="88">
        <f t="shared" si="126"/>
        <v>2016</v>
      </c>
      <c r="F1359" s="89">
        <v>5692700000</v>
      </c>
      <c r="G1359" s="89">
        <v>3724000000</v>
      </c>
      <c r="H1359" s="89">
        <v>1085800000</v>
      </c>
      <c r="I1359" s="89">
        <v>0</v>
      </c>
      <c r="J1359" s="89">
        <v>110900000</v>
      </c>
      <c r="K1359" s="87" t="s">
        <v>42</v>
      </c>
      <c r="L1359" s="87" t="s">
        <v>130</v>
      </c>
      <c r="M1359" s="90">
        <f t="shared" si="129"/>
        <v>1968700000</v>
      </c>
      <c r="N1359" s="89">
        <f t="shared" si="130"/>
        <v>1196700000</v>
      </c>
      <c r="O1359" s="89">
        <f t="shared" si="131"/>
        <v>772000000</v>
      </c>
      <c r="P1359" s="87">
        <f t="shared" si="127"/>
        <v>0.13561227537021098</v>
      </c>
      <c r="Q1359" s="87">
        <f t="shared" si="128"/>
        <v>0.34582886855095119</v>
      </c>
    </row>
    <row r="1360" spans="1:17">
      <c r="A1360" s="83">
        <v>1413</v>
      </c>
      <c r="B1360" s="83" t="s">
        <v>482</v>
      </c>
      <c r="C1360" s="83" t="s">
        <v>23</v>
      </c>
      <c r="D1360" s="84">
        <v>42632</v>
      </c>
      <c r="E1360" s="85">
        <f t="shared" si="126"/>
        <v>2016</v>
      </c>
      <c r="F1360" s="86">
        <v>7811200000</v>
      </c>
      <c r="G1360" s="86">
        <v>4843400000</v>
      </c>
      <c r="H1360" s="86">
        <v>1614100000</v>
      </c>
      <c r="I1360" s="86">
        <v>0</v>
      </c>
      <c r="J1360" s="86">
        <v>208400000</v>
      </c>
      <c r="K1360" s="83" t="s">
        <v>42</v>
      </c>
      <c r="L1360" s="83" t="s">
        <v>130</v>
      </c>
      <c r="M1360" s="91">
        <f t="shared" si="129"/>
        <v>2967800000</v>
      </c>
      <c r="N1360" s="86">
        <f t="shared" si="130"/>
        <v>1822500000</v>
      </c>
      <c r="O1360" s="86">
        <f t="shared" si="131"/>
        <v>1145300000</v>
      </c>
      <c r="P1360" s="83">
        <f t="shared" si="127"/>
        <v>0.14662279803359279</v>
      </c>
      <c r="Q1360" s="83">
        <f t="shared" si="128"/>
        <v>0.37994162228594841</v>
      </c>
    </row>
    <row r="1361" spans="1:17">
      <c r="A1361" s="87">
        <v>1414</v>
      </c>
      <c r="B1361" s="87" t="s">
        <v>483</v>
      </c>
      <c r="C1361" s="87" t="s">
        <v>18</v>
      </c>
      <c r="D1361" s="84">
        <v>42633</v>
      </c>
      <c r="E1361" s="88">
        <f t="shared" si="126"/>
        <v>2016</v>
      </c>
      <c r="F1361" s="89">
        <v>1290052000</v>
      </c>
      <c r="G1361" s="89">
        <v>470243000</v>
      </c>
      <c r="H1361" s="89">
        <v>120310000</v>
      </c>
      <c r="I1361" s="89">
        <v>0</v>
      </c>
      <c r="J1361" s="89">
        <v>330418000</v>
      </c>
      <c r="K1361" s="87" t="s">
        <v>58</v>
      </c>
      <c r="L1361" s="87" t="s">
        <v>484</v>
      </c>
      <c r="M1361" s="90">
        <f t="shared" si="129"/>
        <v>819809000</v>
      </c>
      <c r="N1361" s="89">
        <f t="shared" si="130"/>
        <v>450728000</v>
      </c>
      <c r="O1361" s="89">
        <f t="shared" si="131"/>
        <v>369081000</v>
      </c>
      <c r="P1361" s="87">
        <f t="shared" si="127"/>
        <v>0.28609776970230655</v>
      </c>
      <c r="Q1361" s="87">
        <f t="shared" si="128"/>
        <v>0.63548523625404241</v>
      </c>
    </row>
    <row r="1362" spans="1:17">
      <c r="A1362" s="83">
        <v>1415</v>
      </c>
      <c r="B1362" s="83" t="s">
        <v>483</v>
      </c>
      <c r="C1362" s="83" t="s">
        <v>21</v>
      </c>
      <c r="D1362" s="84">
        <v>42634</v>
      </c>
      <c r="E1362" s="85">
        <f t="shared" si="126"/>
        <v>2016</v>
      </c>
      <c r="F1362" s="86">
        <v>1371065000</v>
      </c>
      <c r="G1362" s="86">
        <v>479665000</v>
      </c>
      <c r="H1362" s="86">
        <v>122128000</v>
      </c>
      <c r="I1362" s="86">
        <v>0</v>
      </c>
      <c r="J1362" s="86">
        <v>340316000</v>
      </c>
      <c r="K1362" s="83" t="s">
        <v>58</v>
      </c>
      <c r="L1362" s="83" t="s">
        <v>484</v>
      </c>
      <c r="M1362" s="91">
        <f t="shared" si="129"/>
        <v>891400000</v>
      </c>
      <c r="N1362" s="86">
        <f t="shared" si="130"/>
        <v>462444000</v>
      </c>
      <c r="O1362" s="86">
        <f t="shared" si="131"/>
        <v>428956000</v>
      </c>
      <c r="P1362" s="83">
        <f t="shared" si="127"/>
        <v>0.31286335804648213</v>
      </c>
      <c r="Q1362" s="83">
        <f t="shared" si="128"/>
        <v>0.6501515245447882</v>
      </c>
    </row>
    <row r="1363" spans="1:17">
      <c r="A1363" s="87">
        <v>1416</v>
      </c>
      <c r="B1363" s="87" t="s">
        <v>483</v>
      </c>
      <c r="C1363" s="87" t="s">
        <v>22</v>
      </c>
      <c r="D1363" s="84">
        <v>42635</v>
      </c>
      <c r="E1363" s="88">
        <f t="shared" si="126"/>
        <v>2016</v>
      </c>
      <c r="F1363" s="89">
        <v>1519978000</v>
      </c>
      <c r="G1363" s="89">
        <v>500126000</v>
      </c>
      <c r="H1363" s="89">
        <v>133502000</v>
      </c>
      <c r="I1363" s="89">
        <v>0</v>
      </c>
      <c r="J1363" s="89">
        <v>393987000</v>
      </c>
      <c r="K1363" s="87" t="s">
        <v>58</v>
      </c>
      <c r="L1363" s="87" t="s">
        <v>484</v>
      </c>
      <c r="M1363" s="90">
        <f t="shared" si="129"/>
        <v>1019852000</v>
      </c>
      <c r="N1363" s="89">
        <f t="shared" si="130"/>
        <v>527489000</v>
      </c>
      <c r="O1363" s="89">
        <f t="shared" si="131"/>
        <v>492363000</v>
      </c>
      <c r="P1363" s="87">
        <f t="shared" si="127"/>
        <v>0.32392771474323973</v>
      </c>
      <c r="Q1363" s="87">
        <f t="shared" si="128"/>
        <v>0.67096497449305192</v>
      </c>
    </row>
    <row r="1364" spans="1:17">
      <c r="A1364" s="83">
        <v>1417</v>
      </c>
      <c r="B1364" s="83" t="s">
        <v>483</v>
      </c>
      <c r="C1364" s="83" t="s">
        <v>23</v>
      </c>
      <c r="D1364" s="84">
        <v>42636</v>
      </c>
      <c r="E1364" s="85">
        <f t="shared" si="126"/>
        <v>2016</v>
      </c>
      <c r="F1364" s="86">
        <v>1662829000</v>
      </c>
      <c r="G1364" s="86">
        <v>534326000</v>
      </c>
      <c r="H1364" s="86">
        <v>139137000</v>
      </c>
      <c r="I1364" s="86">
        <v>0</v>
      </c>
      <c r="J1364" s="86">
        <v>588235000</v>
      </c>
      <c r="K1364" s="83" t="s">
        <v>58</v>
      </c>
      <c r="L1364" s="83" t="s">
        <v>484</v>
      </c>
      <c r="M1364" s="91">
        <f t="shared" si="129"/>
        <v>1128503000</v>
      </c>
      <c r="N1364" s="86">
        <f t="shared" si="130"/>
        <v>727372000</v>
      </c>
      <c r="O1364" s="86">
        <f t="shared" si="131"/>
        <v>401131000</v>
      </c>
      <c r="P1364" s="83">
        <f t="shared" si="127"/>
        <v>0.24123406555935697</v>
      </c>
      <c r="Q1364" s="83">
        <f t="shared" si="128"/>
        <v>0.6786644928612624</v>
      </c>
    </row>
    <row r="1365" spans="1:17">
      <c r="A1365" s="87">
        <v>1418</v>
      </c>
      <c r="B1365" s="87" t="s">
        <v>485</v>
      </c>
      <c r="C1365" s="87" t="s">
        <v>18</v>
      </c>
      <c r="D1365" s="84">
        <v>42637</v>
      </c>
      <c r="E1365" s="88">
        <f t="shared" si="126"/>
        <v>2016</v>
      </c>
      <c r="F1365" s="89">
        <v>3237500000</v>
      </c>
      <c r="G1365" s="89">
        <v>1638900000</v>
      </c>
      <c r="H1365" s="89">
        <v>1012400000</v>
      </c>
      <c r="I1365" s="89">
        <v>0</v>
      </c>
      <c r="J1365" s="89">
        <v>0</v>
      </c>
      <c r="K1365" s="87" t="s">
        <v>25</v>
      </c>
      <c r="L1365" s="87" t="s">
        <v>486</v>
      </c>
      <c r="M1365" s="90">
        <f t="shared" si="129"/>
        <v>1598600000</v>
      </c>
      <c r="N1365" s="89">
        <f t="shared" si="130"/>
        <v>1012400000</v>
      </c>
      <c r="O1365" s="89">
        <f t="shared" si="131"/>
        <v>586200000</v>
      </c>
      <c r="P1365" s="87">
        <f t="shared" si="127"/>
        <v>0.18106563706563705</v>
      </c>
      <c r="Q1365" s="87">
        <f t="shared" si="128"/>
        <v>0.49377606177606181</v>
      </c>
    </row>
    <row r="1366" spans="1:17">
      <c r="A1366" s="83">
        <v>1419</v>
      </c>
      <c r="B1366" s="83" t="s">
        <v>485</v>
      </c>
      <c r="C1366" s="83" t="s">
        <v>21</v>
      </c>
      <c r="D1366" s="84">
        <v>42638</v>
      </c>
      <c r="E1366" s="85">
        <f t="shared" si="126"/>
        <v>2016</v>
      </c>
      <c r="F1366" s="86">
        <v>3492600000</v>
      </c>
      <c r="G1366" s="86">
        <v>1759200000</v>
      </c>
      <c r="H1366" s="86">
        <v>1048700000</v>
      </c>
      <c r="I1366" s="86">
        <v>0</v>
      </c>
      <c r="J1366" s="86">
        <v>0</v>
      </c>
      <c r="K1366" s="83" t="s">
        <v>25</v>
      </c>
      <c r="L1366" s="83" t="s">
        <v>486</v>
      </c>
      <c r="M1366" s="91">
        <f t="shared" si="129"/>
        <v>1733400000</v>
      </c>
      <c r="N1366" s="86">
        <f t="shared" si="130"/>
        <v>1048700000</v>
      </c>
      <c r="O1366" s="86">
        <f t="shared" si="131"/>
        <v>684700000</v>
      </c>
      <c r="P1366" s="83">
        <f t="shared" si="127"/>
        <v>0.19604306247494704</v>
      </c>
      <c r="Q1366" s="83">
        <f t="shared" si="128"/>
        <v>0.49630647655042093</v>
      </c>
    </row>
    <row r="1367" spans="1:17">
      <c r="A1367" s="87">
        <v>1420</v>
      </c>
      <c r="B1367" s="87" t="s">
        <v>485</v>
      </c>
      <c r="C1367" s="87" t="s">
        <v>22</v>
      </c>
      <c r="D1367" s="84">
        <v>42639</v>
      </c>
      <c r="E1367" s="88">
        <f t="shared" si="126"/>
        <v>2016</v>
      </c>
      <c r="F1367" s="89">
        <v>3593100000</v>
      </c>
      <c r="G1367" s="89">
        <v>1774600000</v>
      </c>
      <c r="H1367" s="89">
        <v>1053700000</v>
      </c>
      <c r="I1367" s="89">
        <v>0</v>
      </c>
      <c r="J1367" s="89">
        <v>0</v>
      </c>
      <c r="K1367" s="87" t="s">
        <v>25</v>
      </c>
      <c r="L1367" s="87" t="s">
        <v>486</v>
      </c>
      <c r="M1367" s="90">
        <f t="shared" si="129"/>
        <v>1818500000</v>
      </c>
      <c r="N1367" s="89">
        <f t="shared" si="130"/>
        <v>1053700000</v>
      </c>
      <c r="O1367" s="89">
        <f t="shared" si="131"/>
        <v>764800000</v>
      </c>
      <c r="P1367" s="87">
        <f t="shared" si="127"/>
        <v>0.21285241156661378</v>
      </c>
      <c r="Q1367" s="87">
        <f t="shared" si="128"/>
        <v>0.50610893100665166</v>
      </c>
    </row>
    <row r="1368" spans="1:17">
      <c r="A1368" s="83">
        <v>1421</v>
      </c>
      <c r="B1368" s="83" t="s">
        <v>485</v>
      </c>
      <c r="C1368" s="83" t="s">
        <v>23</v>
      </c>
      <c r="D1368" s="84">
        <v>42640</v>
      </c>
      <c r="E1368" s="85">
        <f t="shared" si="126"/>
        <v>2016</v>
      </c>
      <c r="F1368" s="86">
        <v>3711800000</v>
      </c>
      <c r="G1368" s="86">
        <v>1803500000</v>
      </c>
      <c r="H1368" s="86">
        <v>1054100000</v>
      </c>
      <c r="I1368" s="86">
        <v>0</v>
      </c>
      <c r="J1368" s="86">
        <v>0</v>
      </c>
      <c r="K1368" s="83" t="s">
        <v>25</v>
      </c>
      <c r="L1368" s="83" t="s">
        <v>486</v>
      </c>
      <c r="M1368" s="91">
        <f t="shared" si="129"/>
        <v>1908300000</v>
      </c>
      <c r="N1368" s="86">
        <f t="shared" si="130"/>
        <v>1054100000</v>
      </c>
      <c r="O1368" s="86">
        <f t="shared" si="131"/>
        <v>854200000</v>
      </c>
      <c r="P1368" s="83">
        <f t="shared" si="127"/>
        <v>0.23013093377875962</v>
      </c>
      <c r="Q1368" s="83">
        <f t="shared" si="128"/>
        <v>0.51411713993210839</v>
      </c>
    </row>
    <row r="1369" spans="1:17">
      <c r="A1369" s="87">
        <v>1422</v>
      </c>
      <c r="B1369" s="87" t="s">
        <v>487</v>
      </c>
      <c r="C1369" s="87" t="s">
        <v>18</v>
      </c>
      <c r="D1369" s="84">
        <v>42641</v>
      </c>
      <c r="E1369" s="88">
        <f t="shared" si="126"/>
        <v>2016</v>
      </c>
      <c r="F1369" s="89">
        <v>2307182000</v>
      </c>
      <c r="G1369" s="89">
        <v>610836000</v>
      </c>
      <c r="H1369" s="89">
        <v>655473000</v>
      </c>
      <c r="I1369" s="89">
        <v>0</v>
      </c>
      <c r="J1369" s="89">
        <v>107591000</v>
      </c>
      <c r="K1369" s="87" t="s">
        <v>25</v>
      </c>
      <c r="L1369" s="87" t="s">
        <v>210</v>
      </c>
      <c r="M1369" s="90">
        <f t="shared" si="129"/>
        <v>1696346000</v>
      </c>
      <c r="N1369" s="89">
        <f t="shared" si="130"/>
        <v>763064000</v>
      </c>
      <c r="O1369" s="89">
        <f t="shared" si="131"/>
        <v>933282000</v>
      </c>
      <c r="P1369" s="87">
        <f t="shared" si="127"/>
        <v>0.40451165100975994</v>
      </c>
      <c r="Q1369" s="87">
        <f t="shared" si="128"/>
        <v>0.73524585403318854</v>
      </c>
    </row>
    <row r="1370" spans="1:17">
      <c r="A1370" s="83">
        <v>1423</v>
      </c>
      <c r="B1370" s="83" t="s">
        <v>487</v>
      </c>
      <c r="C1370" s="83" t="s">
        <v>21</v>
      </c>
      <c r="D1370" s="84">
        <v>42642</v>
      </c>
      <c r="E1370" s="85">
        <f t="shared" si="126"/>
        <v>2016</v>
      </c>
      <c r="F1370" s="86">
        <v>2530809000</v>
      </c>
      <c r="G1370" s="86">
        <v>699294000</v>
      </c>
      <c r="H1370" s="86">
        <v>729055000</v>
      </c>
      <c r="I1370" s="86">
        <v>0</v>
      </c>
      <c r="J1370" s="86">
        <v>117580000</v>
      </c>
      <c r="K1370" s="83" t="s">
        <v>25</v>
      </c>
      <c r="L1370" s="83" t="s">
        <v>210</v>
      </c>
      <c r="M1370" s="91">
        <f t="shared" si="129"/>
        <v>1831515000</v>
      </c>
      <c r="N1370" s="86">
        <f t="shared" si="130"/>
        <v>846635000</v>
      </c>
      <c r="O1370" s="86">
        <f t="shared" si="131"/>
        <v>984880000</v>
      </c>
      <c r="P1370" s="83">
        <f t="shared" si="127"/>
        <v>0.38915619471876384</v>
      </c>
      <c r="Q1370" s="83">
        <f t="shared" si="128"/>
        <v>0.72368756393706524</v>
      </c>
    </row>
    <row r="1371" spans="1:17">
      <c r="A1371" s="87">
        <v>1424</v>
      </c>
      <c r="B1371" s="87" t="s">
        <v>487</v>
      </c>
      <c r="C1371" s="87" t="s">
        <v>22</v>
      </c>
      <c r="D1371" s="84">
        <v>42643</v>
      </c>
      <c r="E1371" s="88">
        <f t="shared" si="126"/>
        <v>2016</v>
      </c>
      <c r="F1371" s="89">
        <v>2665456000</v>
      </c>
      <c r="G1371" s="89">
        <v>778896000</v>
      </c>
      <c r="H1371" s="89">
        <v>764799000</v>
      </c>
      <c r="I1371" s="89">
        <v>0</v>
      </c>
      <c r="J1371" s="89">
        <v>128582000</v>
      </c>
      <c r="K1371" s="87" t="s">
        <v>25</v>
      </c>
      <c r="L1371" s="87" t="s">
        <v>210</v>
      </c>
      <c r="M1371" s="90">
        <f t="shared" si="129"/>
        <v>1886560000</v>
      </c>
      <c r="N1371" s="89">
        <f t="shared" si="130"/>
        <v>893381000</v>
      </c>
      <c r="O1371" s="89">
        <f t="shared" si="131"/>
        <v>993179000</v>
      </c>
      <c r="P1371" s="87">
        <f t="shared" si="127"/>
        <v>0.37261129052589875</v>
      </c>
      <c r="Q1371" s="87">
        <f t="shared" si="128"/>
        <v>0.70778133272505717</v>
      </c>
    </row>
    <row r="1372" spans="1:17">
      <c r="A1372" s="83">
        <v>1425</v>
      </c>
      <c r="B1372" s="83" t="s">
        <v>487</v>
      </c>
      <c r="C1372" s="83" t="s">
        <v>23</v>
      </c>
      <c r="D1372" s="84">
        <v>42644</v>
      </c>
      <c r="E1372" s="85">
        <f t="shared" si="126"/>
        <v>2016</v>
      </c>
      <c r="F1372" s="86">
        <v>3018227000</v>
      </c>
      <c r="G1372" s="86">
        <v>987357000</v>
      </c>
      <c r="H1372" s="86">
        <v>785179000</v>
      </c>
      <c r="I1372" s="86">
        <v>0</v>
      </c>
      <c r="J1372" s="86">
        <v>137596000</v>
      </c>
      <c r="K1372" s="83" t="s">
        <v>25</v>
      </c>
      <c r="L1372" s="83" t="s">
        <v>210</v>
      </c>
      <c r="M1372" s="91">
        <f t="shared" si="129"/>
        <v>2030870000</v>
      </c>
      <c r="N1372" s="86">
        <f t="shared" si="130"/>
        <v>922775000</v>
      </c>
      <c r="O1372" s="86">
        <f t="shared" si="131"/>
        <v>1108095000</v>
      </c>
      <c r="P1372" s="83">
        <f t="shared" si="127"/>
        <v>0.3671344136806145</v>
      </c>
      <c r="Q1372" s="83">
        <f t="shared" si="128"/>
        <v>0.67286854169683064</v>
      </c>
    </row>
    <row r="1373" spans="1:17">
      <c r="A1373" s="87">
        <v>1426</v>
      </c>
      <c r="B1373" s="87" t="s">
        <v>488</v>
      </c>
      <c r="C1373" s="87" t="s">
        <v>18</v>
      </c>
      <c r="D1373" s="84">
        <v>42645</v>
      </c>
      <c r="E1373" s="88">
        <f t="shared" si="126"/>
        <v>2016</v>
      </c>
      <c r="F1373" s="89">
        <v>16537000000</v>
      </c>
      <c r="G1373" s="89">
        <v>9373000000</v>
      </c>
      <c r="H1373" s="89">
        <v>914000000</v>
      </c>
      <c r="I1373" s="89">
        <v>0</v>
      </c>
      <c r="J1373" s="89">
        <v>1787000000</v>
      </c>
      <c r="K1373" s="87" t="s">
        <v>48</v>
      </c>
      <c r="L1373" s="87" t="s">
        <v>51</v>
      </c>
      <c r="M1373" s="90">
        <f t="shared" si="129"/>
        <v>7164000000</v>
      </c>
      <c r="N1373" s="89">
        <f t="shared" si="130"/>
        <v>2701000000</v>
      </c>
      <c r="O1373" s="89">
        <f t="shared" si="131"/>
        <v>4463000000</v>
      </c>
      <c r="P1373" s="87">
        <f t="shared" si="127"/>
        <v>0.26987966378424139</v>
      </c>
      <c r="Q1373" s="87">
        <f t="shared" si="128"/>
        <v>0.43321037673096696</v>
      </c>
    </row>
    <row r="1374" spans="1:17">
      <c r="A1374" s="83">
        <v>1427</v>
      </c>
      <c r="B1374" s="83" t="s">
        <v>488</v>
      </c>
      <c r="C1374" s="83" t="s">
        <v>21</v>
      </c>
      <c r="D1374" s="84">
        <v>42646</v>
      </c>
      <c r="E1374" s="85">
        <f t="shared" si="126"/>
        <v>2016</v>
      </c>
      <c r="F1374" s="86">
        <v>17087000000</v>
      </c>
      <c r="G1374" s="86">
        <v>9817000000</v>
      </c>
      <c r="H1374" s="86">
        <v>934000000</v>
      </c>
      <c r="I1374" s="86">
        <v>0</v>
      </c>
      <c r="J1374" s="86">
        <v>1901000000</v>
      </c>
      <c r="K1374" s="83" t="s">
        <v>48</v>
      </c>
      <c r="L1374" s="83" t="s">
        <v>51</v>
      </c>
      <c r="M1374" s="91">
        <f t="shared" si="129"/>
        <v>7270000000</v>
      </c>
      <c r="N1374" s="86">
        <f t="shared" si="130"/>
        <v>2835000000</v>
      </c>
      <c r="O1374" s="86">
        <f t="shared" si="131"/>
        <v>4435000000</v>
      </c>
      <c r="P1374" s="83">
        <f t="shared" si="127"/>
        <v>0.25955404693626732</v>
      </c>
      <c r="Q1374" s="83">
        <f t="shared" si="128"/>
        <v>0.42546965529349801</v>
      </c>
    </row>
    <row r="1375" spans="1:17">
      <c r="A1375" s="87">
        <v>1428</v>
      </c>
      <c r="B1375" s="87" t="s">
        <v>488</v>
      </c>
      <c r="C1375" s="87" t="s">
        <v>22</v>
      </c>
      <c r="D1375" s="84">
        <v>42647</v>
      </c>
      <c r="E1375" s="88">
        <f t="shared" si="126"/>
        <v>2016</v>
      </c>
      <c r="F1375" s="89">
        <v>18467000000</v>
      </c>
      <c r="G1375" s="89">
        <v>11031000000</v>
      </c>
      <c r="H1375" s="89">
        <v>981000000</v>
      </c>
      <c r="I1375" s="89">
        <v>0</v>
      </c>
      <c r="J1375" s="89">
        <v>1945000000</v>
      </c>
      <c r="K1375" s="87" t="s">
        <v>48</v>
      </c>
      <c r="L1375" s="87" t="s">
        <v>51</v>
      </c>
      <c r="M1375" s="90">
        <f t="shared" si="129"/>
        <v>7436000000</v>
      </c>
      <c r="N1375" s="89">
        <f t="shared" si="130"/>
        <v>2926000000</v>
      </c>
      <c r="O1375" s="89">
        <f t="shared" si="131"/>
        <v>4510000000</v>
      </c>
      <c r="P1375" s="87">
        <f t="shared" si="127"/>
        <v>0.24421941842205014</v>
      </c>
      <c r="Q1375" s="87">
        <f t="shared" si="128"/>
        <v>0.40266421183733148</v>
      </c>
    </row>
    <row r="1376" spans="1:17">
      <c r="A1376" s="83">
        <v>1429</v>
      </c>
      <c r="B1376" s="83" t="s">
        <v>488</v>
      </c>
      <c r="C1376" s="83" t="s">
        <v>23</v>
      </c>
      <c r="D1376" s="84">
        <v>42648</v>
      </c>
      <c r="E1376" s="85">
        <f t="shared" si="126"/>
        <v>2016</v>
      </c>
      <c r="F1376" s="86">
        <v>17489000000</v>
      </c>
      <c r="G1376" s="86">
        <v>9811000000</v>
      </c>
      <c r="H1376" s="86">
        <v>997000000</v>
      </c>
      <c r="I1376" s="86">
        <v>0</v>
      </c>
      <c r="J1376" s="86">
        <v>2034000000</v>
      </c>
      <c r="K1376" s="83" t="s">
        <v>48</v>
      </c>
      <c r="L1376" s="83" t="s">
        <v>51</v>
      </c>
      <c r="M1376" s="91">
        <f t="shared" si="129"/>
        <v>7678000000</v>
      </c>
      <c r="N1376" s="86">
        <f t="shared" si="130"/>
        <v>3031000000</v>
      </c>
      <c r="O1376" s="86">
        <f t="shared" si="131"/>
        <v>4647000000</v>
      </c>
      <c r="P1376" s="83">
        <f t="shared" si="127"/>
        <v>0.26570987477843216</v>
      </c>
      <c r="Q1376" s="83">
        <f t="shared" si="128"/>
        <v>0.43901881182457547</v>
      </c>
    </row>
    <row r="1377" spans="1:17">
      <c r="A1377" s="87">
        <v>1430</v>
      </c>
      <c r="B1377" s="87" t="s">
        <v>489</v>
      </c>
      <c r="C1377" s="87" t="s">
        <v>18</v>
      </c>
      <c r="D1377" s="84">
        <v>42649</v>
      </c>
      <c r="E1377" s="88">
        <f t="shared" si="126"/>
        <v>2016</v>
      </c>
      <c r="F1377" s="89">
        <v>4256157000</v>
      </c>
      <c r="G1377" s="89">
        <v>800380000</v>
      </c>
      <c r="H1377" s="89">
        <v>376687000</v>
      </c>
      <c r="I1377" s="89">
        <v>0</v>
      </c>
      <c r="J1377" s="89">
        <v>1068382000</v>
      </c>
      <c r="K1377" s="87" t="s">
        <v>58</v>
      </c>
      <c r="L1377" s="87" t="s">
        <v>59</v>
      </c>
      <c r="M1377" s="90">
        <f t="shared" si="129"/>
        <v>3455777000</v>
      </c>
      <c r="N1377" s="89">
        <f t="shared" si="130"/>
        <v>1445069000</v>
      </c>
      <c r="O1377" s="89">
        <f t="shared" si="131"/>
        <v>2010708000</v>
      </c>
      <c r="P1377" s="87">
        <f t="shared" si="127"/>
        <v>0.47242336220209924</v>
      </c>
      <c r="Q1377" s="87">
        <f t="shared" si="128"/>
        <v>0.81194772655238046</v>
      </c>
    </row>
    <row r="1378" spans="1:17">
      <c r="A1378" s="83">
        <v>1431</v>
      </c>
      <c r="B1378" s="83" t="s">
        <v>489</v>
      </c>
      <c r="C1378" s="83" t="s">
        <v>21</v>
      </c>
      <c r="D1378" s="84">
        <v>42650</v>
      </c>
      <c r="E1378" s="85">
        <f t="shared" si="126"/>
        <v>2016</v>
      </c>
      <c r="F1378" s="86">
        <v>4543849000</v>
      </c>
      <c r="G1378" s="86">
        <v>837946000</v>
      </c>
      <c r="H1378" s="86">
        <v>402369000</v>
      </c>
      <c r="I1378" s="86">
        <v>0</v>
      </c>
      <c r="J1378" s="86">
        <v>1107700000</v>
      </c>
      <c r="K1378" s="83" t="s">
        <v>58</v>
      </c>
      <c r="L1378" s="83" t="s">
        <v>59</v>
      </c>
      <c r="M1378" s="91">
        <f t="shared" si="129"/>
        <v>3705903000</v>
      </c>
      <c r="N1378" s="86">
        <f t="shared" si="130"/>
        <v>1510069000</v>
      </c>
      <c r="O1378" s="86">
        <f t="shared" si="131"/>
        <v>2195834000</v>
      </c>
      <c r="P1378" s="83">
        <f t="shared" si="127"/>
        <v>0.48325417503970752</v>
      </c>
      <c r="Q1378" s="83">
        <f t="shared" si="128"/>
        <v>0.81558674154884991</v>
      </c>
    </row>
    <row r="1379" spans="1:17">
      <c r="A1379" s="87">
        <v>1432</v>
      </c>
      <c r="B1379" s="87" t="s">
        <v>489</v>
      </c>
      <c r="C1379" s="87" t="s">
        <v>22</v>
      </c>
      <c r="D1379" s="84">
        <v>42651</v>
      </c>
      <c r="E1379" s="88">
        <f t="shared" si="126"/>
        <v>2016</v>
      </c>
      <c r="F1379" s="89">
        <v>4870818000</v>
      </c>
      <c r="G1379" s="89">
        <v>882803000</v>
      </c>
      <c r="H1379" s="89">
        <v>446845000</v>
      </c>
      <c r="I1379" s="89">
        <v>0</v>
      </c>
      <c r="J1379" s="89">
        <v>1143827000</v>
      </c>
      <c r="K1379" s="87" t="s">
        <v>58</v>
      </c>
      <c r="L1379" s="87" t="s">
        <v>59</v>
      </c>
      <c r="M1379" s="90">
        <f t="shared" si="129"/>
        <v>3988015000</v>
      </c>
      <c r="N1379" s="89">
        <f t="shared" si="130"/>
        <v>1590672000</v>
      </c>
      <c r="O1379" s="89">
        <f t="shared" si="131"/>
        <v>2397343000</v>
      </c>
      <c r="P1379" s="87">
        <f t="shared" si="127"/>
        <v>0.49218488557774076</v>
      </c>
      <c r="Q1379" s="87">
        <f t="shared" si="128"/>
        <v>0.8187567262829365</v>
      </c>
    </row>
    <row r="1380" spans="1:17">
      <c r="A1380" s="83">
        <v>1433</v>
      </c>
      <c r="B1380" s="83" t="s">
        <v>489</v>
      </c>
      <c r="C1380" s="83" t="s">
        <v>23</v>
      </c>
      <c r="D1380" s="84">
        <v>42652</v>
      </c>
      <c r="E1380" s="85">
        <f t="shared" si="126"/>
        <v>2016</v>
      </c>
      <c r="F1380" s="86">
        <v>5266103000</v>
      </c>
      <c r="G1380" s="86">
        <v>960192000</v>
      </c>
      <c r="H1380" s="86">
        <v>452835000</v>
      </c>
      <c r="I1380" s="86">
        <v>0</v>
      </c>
      <c r="J1380" s="86">
        <v>1177568000</v>
      </c>
      <c r="K1380" s="83" t="s">
        <v>58</v>
      </c>
      <c r="L1380" s="83" t="s">
        <v>59</v>
      </c>
      <c r="M1380" s="91">
        <f t="shared" si="129"/>
        <v>4305911000</v>
      </c>
      <c r="N1380" s="86">
        <f t="shared" si="130"/>
        <v>1630403000</v>
      </c>
      <c r="O1380" s="86">
        <f t="shared" si="131"/>
        <v>2675508000</v>
      </c>
      <c r="P1380" s="83">
        <f t="shared" si="127"/>
        <v>0.50806222362152809</v>
      </c>
      <c r="Q1380" s="83">
        <f t="shared" si="128"/>
        <v>0.81766554888880827</v>
      </c>
    </row>
    <row r="1381" spans="1:17">
      <c r="A1381" s="87">
        <v>1438</v>
      </c>
      <c r="B1381" s="87" t="s">
        <v>490</v>
      </c>
      <c r="C1381" s="87" t="s">
        <v>18</v>
      </c>
      <c r="D1381" s="84">
        <v>42653</v>
      </c>
      <c r="E1381" s="88">
        <f t="shared" si="126"/>
        <v>2016</v>
      </c>
      <c r="F1381" s="89">
        <v>24380510000</v>
      </c>
      <c r="G1381" s="89">
        <v>17889249000</v>
      </c>
      <c r="H1381" s="89">
        <v>4884284000</v>
      </c>
      <c r="I1381" s="89">
        <v>0</v>
      </c>
      <c r="J1381" s="89">
        <v>78900000</v>
      </c>
      <c r="K1381" s="87" t="s">
        <v>25</v>
      </c>
      <c r="L1381" s="87" t="s">
        <v>85</v>
      </c>
      <c r="M1381" s="90">
        <f t="shared" si="129"/>
        <v>6491261000</v>
      </c>
      <c r="N1381" s="89">
        <f t="shared" si="130"/>
        <v>4963184000</v>
      </c>
      <c r="O1381" s="89">
        <f t="shared" si="131"/>
        <v>1528077000</v>
      </c>
      <c r="P1381" s="87">
        <f t="shared" si="127"/>
        <v>6.2676170432858044E-2</v>
      </c>
      <c r="Q1381" s="87">
        <f t="shared" si="128"/>
        <v>0.26624795789751732</v>
      </c>
    </row>
    <row r="1382" spans="1:17">
      <c r="A1382" s="83">
        <v>1439</v>
      </c>
      <c r="B1382" s="83" t="s">
        <v>490</v>
      </c>
      <c r="C1382" s="83" t="s">
        <v>21</v>
      </c>
      <c r="D1382" s="84">
        <v>42654</v>
      </c>
      <c r="E1382" s="85">
        <f t="shared" si="126"/>
        <v>2016</v>
      </c>
      <c r="F1382" s="86">
        <v>23114000000</v>
      </c>
      <c r="G1382" s="86">
        <v>17082000000</v>
      </c>
      <c r="H1382" s="86">
        <v>4735000000</v>
      </c>
      <c r="I1382" s="86">
        <v>0</v>
      </c>
      <c r="J1382" s="86">
        <v>55000000</v>
      </c>
      <c r="K1382" s="83" t="s">
        <v>25</v>
      </c>
      <c r="L1382" s="83" t="s">
        <v>85</v>
      </c>
      <c r="M1382" s="91">
        <f t="shared" si="129"/>
        <v>6032000000</v>
      </c>
      <c r="N1382" s="86">
        <f t="shared" si="130"/>
        <v>4790000000</v>
      </c>
      <c r="O1382" s="86">
        <f t="shared" si="131"/>
        <v>1242000000</v>
      </c>
      <c r="P1382" s="83">
        <f t="shared" si="127"/>
        <v>5.3733667906896251E-2</v>
      </c>
      <c r="Q1382" s="83">
        <f t="shared" si="128"/>
        <v>0.26096737907761525</v>
      </c>
    </row>
    <row r="1383" spans="1:17">
      <c r="A1383" s="87">
        <v>1440</v>
      </c>
      <c r="B1383" s="87" t="s">
        <v>490</v>
      </c>
      <c r="C1383" s="87" t="s">
        <v>22</v>
      </c>
      <c r="D1383" s="84">
        <v>42655</v>
      </c>
      <c r="E1383" s="88">
        <f t="shared" si="126"/>
        <v>2016</v>
      </c>
      <c r="F1383" s="89">
        <v>22492000000</v>
      </c>
      <c r="G1383" s="89">
        <v>16691000000</v>
      </c>
      <c r="H1383" s="89">
        <v>4816000000</v>
      </c>
      <c r="I1383" s="89">
        <v>0</v>
      </c>
      <c r="J1383" s="89">
        <v>62000000</v>
      </c>
      <c r="K1383" s="87" t="s">
        <v>25</v>
      </c>
      <c r="L1383" s="87" t="s">
        <v>85</v>
      </c>
      <c r="M1383" s="90">
        <f t="shared" si="129"/>
        <v>5801000000</v>
      </c>
      <c r="N1383" s="89">
        <f t="shared" si="130"/>
        <v>4878000000</v>
      </c>
      <c r="O1383" s="89">
        <f t="shared" si="131"/>
        <v>923000000</v>
      </c>
      <c r="P1383" s="87">
        <f t="shared" si="127"/>
        <v>4.1036813089098345E-2</v>
      </c>
      <c r="Q1383" s="87">
        <f t="shared" si="128"/>
        <v>0.25791392495109378</v>
      </c>
    </row>
    <row r="1384" spans="1:17">
      <c r="A1384" s="83">
        <v>1441</v>
      </c>
      <c r="B1384" s="83" t="s">
        <v>490</v>
      </c>
      <c r="C1384" s="83" t="s">
        <v>23</v>
      </c>
      <c r="D1384" s="84">
        <v>42656</v>
      </c>
      <c r="E1384" s="85">
        <f t="shared" si="126"/>
        <v>2016</v>
      </c>
      <c r="F1384" s="86">
        <v>21059000000</v>
      </c>
      <c r="G1384" s="86">
        <v>15545000000</v>
      </c>
      <c r="H1384" s="86">
        <v>4600000000</v>
      </c>
      <c r="I1384" s="86">
        <v>0</v>
      </c>
      <c r="J1384" s="86">
        <v>67000000</v>
      </c>
      <c r="K1384" s="83" t="s">
        <v>25</v>
      </c>
      <c r="L1384" s="83" t="s">
        <v>85</v>
      </c>
      <c r="M1384" s="91">
        <f t="shared" si="129"/>
        <v>5514000000</v>
      </c>
      <c r="N1384" s="86">
        <f t="shared" si="130"/>
        <v>4667000000</v>
      </c>
      <c r="O1384" s="86">
        <f t="shared" si="131"/>
        <v>847000000</v>
      </c>
      <c r="P1384" s="83">
        <f t="shared" si="127"/>
        <v>4.0220333349161877E-2</v>
      </c>
      <c r="Q1384" s="83">
        <f t="shared" si="128"/>
        <v>0.26183579467211171</v>
      </c>
    </row>
    <row r="1385" spans="1:17">
      <c r="A1385" s="87">
        <v>1442</v>
      </c>
      <c r="B1385" s="87" t="s">
        <v>491</v>
      </c>
      <c r="C1385" s="87" t="s">
        <v>18</v>
      </c>
      <c r="D1385" s="84">
        <v>42657</v>
      </c>
      <c r="E1385" s="88">
        <f t="shared" si="126"/>
        <v>2016</v>
      </c>
      <c r="F1385" s="89">
        <v>1913149000</v>
      </c>
      <c r="G1385" s="89">
        <v>1055844000</v>
      </c>
      <c r="H1385" s="89">
        <v>356817000</v>
      </c>
      <c r="I1385" s="89">
        <v>0</v>
      </c>
      <c r="J1385" s="89">
        <v>31652000</v>
      </c>
      <c r="K1385" s="87" t="s">
        <v>19</v>
      </c>
      <c r="L1385" s="87" t="s">
        <v>170</v>
      </c>
      <c r="M1385" s="90">
        <f t="shared" si="129"/>
        <v>857305000</v>
      </c>
      <c r="N1385" s="89">
        <f t="shared" si="130"/>
        <v>388469000</v>
      </c>
      <c r="O1385" s="89">
        <f t="shared" si="131"/>
        <v>468836000</v>
      </c>
      <c r="P1385" s="87">
        <f t="shared" si="127"/>
        <v>0.24505984635802019</v>
      </c>
      <c r="Q1385" s="87">
        <f t="shared" si="128"/>
        <v>0.44811198709562083</v>
      </c>
    </row>
    <row r="1386" spans="1:17">
      <c r="A1386" s="83">
        <v>1443</v>
      </c>
      <c r="B1386" s="83" t="s">
        <v>491</v>
      </c>
      <c r="C1386" s="83" t="s">
        <v>21</v>
      </c>
      <c r="D1386" s="84">
        <v>42658</v>
      </c>
      <c r="E1386" s="85">
        <f t="shared" si="126"/>
        <v>2016</v>
      </c>
      <c r="F1386" s="86">
        <v>2142807000</v>
      </c>
      <c r="G1386" s="86">
        <v>1178173000</v>
      </c>
      <c r="H1386" s="86">
        <v>390610000</v>
      </c>
      <c r="I1386" s="86">
        <v>0</v>
      </c>
      <c r="J1386" s="86">
        <v>38405000</v>
      </c>
      <c r="K1386" s="83" t="s">
        <v>19</v>
      </c>
      <c r="L1386" s="83" t="s">
        <v>170</v>
      </c>
      <c r="M1386" s="91">
        <f t="shared" si="129"/>
        <v>964634000</v>
      </c>
      <c r="N1386" s="86">
        <f t="shared" si="130"/>
        <v>429015000</v>
      </c>
      <c r="O1386" s="86">
        <f t="shared" si="131"/>
        <v>535619000</v>
      </c>
      <c r="P1386" s="83">
        <f t="shared" si="127"/>
        <v>0.24996138242968219</v>
      </c>
      <c r="Q1386" s="83">
        <f t="shared" si="128"/>
        <v>0.45017306738311014</v>
      </c>
    </row>
    <row r="1387" spans="1:17">
      <c r="A1387" s="87">
        <v>1444</v>
      </c>
      <c r="B1387" s="87" t="s">
        <v>491</v>
      </c>
      <c r="C1387" s="87" t="s">
        <v>22</v>
      </c>
      <c r="D1387" s="84">
        <v>42659</v>
      </c>
      <c r="E1387" s="88">
        <f t="shared" si="126"/>
        <v>2016</v>
      </c>
      <c r="F1387" s="89">
        <v>2555601000</v>
      </c>
      <c r="G1387" s="89">
        <v>1461190000</v>
      </c>
      <c r="H1387" s="89">
        <v>489937000</v>
      </c>
      <c r="I1387" s="89">
        <v>0</v>
      </c>
      <c r="J1387" s="89">
        <v>48138000</v>
      </c>
      <c r="K1387" s="87" t="s">
        <v>19</v>
      </c>
      <c r="L1387" s="87" t="s">
        <v>170</v>
      </c>
      <c r="M1387" s="90">
        <f t="shared" si="129"/>
        <v>1094411000</v>
      </c>
      <c r="N1387" s="89">
        <f t="shared" si="130"/>
        <v>538075000</v>
      </c>
      <c r="O1387" s="89">
        <f t="shared" si="131"/>
        <v>556336000</v>
      </c>
      <c r="P1387" s="87">
        <f t="shared" si="127"/>
        <v>0.21769282450585986</v>
      </c>
      <c r="Q1387" s="87">
        <f t="shared" si="128"/>
        <v>0.42824016738137138</v>
      </c>
    </row>
    <row r="1388" spans="1:17">
      <c r="A1388" s="83">
        <v>1445</v>
      </c>
      <c r="B1388" s="83" t="s">
        <v>491</v>
      </c>
      <c r="C1388" s="83" t="s">
        <v>23</v>
      </c>
      <c r="D1388" s="84">
        <v>42660</v>
      </c>
      <c r="E1388" s="85">
        <f t="shared" si="126"/>
        <v>2016</v>
      </c>
      <c r="F1388" s="86">
        <v>2985908000</v>
      </c>
      <c r="G1388" s="86">
        <v>1719723000</v>
      </c>
      <c r="H1388" s="86">
        <v>712803000</v>
      </c>
      <c r="I1388" s="86">
        <v>0</v>
      </c>
      <c r="J1388" s="86">
        <v>65770000</v>
      </c>
      <c r="K1388" s="83" t="s">
        <v>19</v>
      </c>
      <c r="L1388" s="83" t="s">
        <v>170</v>
      </c>
      <c r="M1388" s="91">
        <f t="shared" si="129"/>
        <v>1266185000</v>
      </c>
      <c r="N1388" s="86">
        <f t="shared" si="130"/>
        <v>778573000</v>
      </c>
      <c r="O1388" s="86">
        <f t="shared" si="131"/>
        <v>487612000</v>
      </c>
      <c r="P1388" s="83">
        <f t="shared" si="127"/>
        <v>0.16330442866960401</v>
      </c>
      <c r="Q1388" s="83">
        <f t="shared" si="128"/>
        <v>0.42405358771938051</v>
      </c>
    </row>
    <row r="1389" spans="1:17">
      <c r="A1389" s="87">
        <v>1446</v>
      </c>
      <c r="B1389" s="87" t="s">
        <v>492</v>
      </c>
      <c r="C1389" s="87" t="s">
        <v>18</v>
      </c>
      <c r="D1389" s="84">
        <v>42661</v>
      </c>
      <c r="E1389" s="88">
        <f t="shared" si="126"/>
        <v>2016</v>
      </c>
      <c r="F1389" s="89">
        <v>9647000000</v>
      </c>
      <c r="G1389" s="89">
        <v>6646000000</v>
      </c>
      <c r="H1389" s="89">
        <v>359000000</v>
      </c>
      <c r="I1389" s="89">
        <v>0</v>
      </c>
      <c r="J1389" s="89">
        <v>1090000000</v>
      </c>
      <c r="K1389" s="87" t="s">
        <v>48</v>
      </c>
      <c r="L1389" s="87" t="s">
        <v>49</v>
      </c>
      <c r="M1389" s="90">
        <f t="shared" si="129"/>
        <v>3001000000</v>
      </c>
      <c r="N1389" s="89">
        <f t="shared" si="130"/>
        <v>1449000000</v>
      </c>
      <c r="O1389" s="89">
        <f t="shared" si="131"/>
        <v>1552000000</v>
      </c>
      <c r="P1389" s="87">
        <f t="shared" si="127"/>
        <v>0.1608790297501814</v>
      </c>
      <c r="Q1389" s="87">
        <f t="shared" si="128"/>
        <v>0.3110811651290557</v>
      </c>
    </row>
    <row r="1390" spans="1:17">
      <c r="A1390" s="83">
        <v>1447</v>
      </c>
      <c r="B1390" s="83" t="s">
        <v>492</v>
      </c>
      <c r="C1390" s="83" t="s">
        <v>21</v>
      </c>
      <c r="D1390" s="84">
        <v>42662</v>
      </c>
      <c r="E1390" s="85">
        <f t="shared" si="126"/>
        <v>2016</v>
      </c>
      <c r="F1390" s="86">
        <v>10557000000</v>
      </c>
      <c r="G1390" s="86">
        <v>7186000000</v>
      </c>
      <c r="H1390" s="86">
        <v>574000000</v>
      </c>
      <c r="I1390" s="86">
        <v>0</v>
      </c>
      <c r="J1390" s="86">
        <v>1113000000</v>
      </c>
      <c r="K1390" s="83" t="s">
        <v>48</v>
      </c>
      <c r="L1390" s="83" t="s">
        <v>49</v>
      </c>
      <c r="M1390" s="91">
        <f t="shared" si="129"/>
        <v>3371000000</v>
      </c>
      <c r="N1390" s="86">
        <f t="shared" si="130"/>
        <v>1687000000</v>
      </c>
      <c r="O1390" s="86">
        <f t="shared" si="131"/>
        <v>1684000000</v>
      </c>
      <c r="P1390" s="83">
        <f t="shared" si="127"/>
        <v>0.15951501373496257</v>
      </c>
      <c r="Q1390" s="83">
        <f t="shared" si="128"/>
        <v>0.31931419910959558</v>
      </c>
    </row>
    <row r="1391" spans="1:17">
      <c r="A1391" s="87">
        <v>1448</v>
      </c>
      <c r="B1391" s="87" t="s">
        <v>492</v>
      </c>
      <c r="C1391" s="87" t="s">
        <v>22</v>
      </c>
      <c r="D1391" s="84">
        <v>42663</v>
      </c>
      <c r="E1391" s="88">
        <f t="shared" si="126"/>
        <v>2016</v>
      </c>
      <c r="F1391" s="89">
        <v>11035000000</v>
      </c>
      <c r="G1391" s="89">
        <v>7689000000</v>
      </c>
      <c r="H1391" s="89">
        <v>414000000</v>
      </c>
      <c r="I1391" s="89">
        <v>0</v>
      </c>
      <c r="J1391" s="89">
        <v>1156000000</v>
      </c>
      <c r="K1391" s="87" t="s">
        <v>48</v>
      </c>
      <c r="L1391" s="87" t="s">
        <v>49</v>
      </c>
      <c r="M1391" s="90">
        <f t="shared" si="129"/>
        <v>3346000000</v>
      </c>
      <c r="N1391" s="89">
        <f t="shared" si="130"/>
        <v>1570000000</v>
      </c>
      <c r="O1391" s="89">
        <f t="shared" si="131"/>
        <v>1776000000</v>
      </c>
      <c r="P1391" s="87">
        <f t="shared" si="127"/>
        <v>0.16094245582238331</v>
      </c>
      <c r="Q1391" s="87">
        <f t="shared" si="128"/>
        <v>0.30321703670140465</v>
      </c>
    </row>
    <row r="1392" spans="1:17">
      <c r="A1392" s="83">
        <v>1449</v>
      </c>
      <c r="B1392" s="83" t="s">
        <v>492</v>
      </c>
      <c r="C1392" s="83" t="s">
        <v>23</v>
      </c>
      <c r="D1392" s="84">
        <v>42664</v>
      </c>
      <c r="E1392" s="85">
        <f t="shared" si="126"/>
        <v>2016</v>
      </c>
      <c r="F1392" s="86">
        <v>10231000000</v>
      </c>
      <c r="G1392" s="86">
        <v>6648000000</v>
      </c>
      <c r="H1392" s="86">
        <v>397000000</v>
      </c>
      <c r="I1392" s="86">
        <v>0</v>
      </c>
      <c r="J1392" s="86">
        <v>1250000000</v>
      </c>
      <c r="K1392" s="83" t="s">
        <v>48</v>
      </c>
      <c r="L1392" s="83" t="s">
        <v>49</v>
      </c>
      <c r="M1392" s="91">
        <f t="shared" si="129"/>
        <v>3583000000</v>
      </c>
      <c r="N1392" s="86">
        <f t="shared" si="130"/>
        <v>1647000000</v>
      </c>
      <c r="O1392" s="86">
        <f t="shared" si="131"/>
        <v>1936000000</v>
      </c>
      <c r="P1392" s="83">
        <f t="shared" si="127"/>
        <v>0.18922881438764538</v>
      </c>
      <c r="Q1392" s="83">
        <f t="shared" si="128"/>
        <v>0.35021014563581276</v>
      </c>
    </row>
    <row r="1393" spans="1:17">
      <c r="A1393" s="87">
        <v>1450</v>
      </c>
      <c r="B1393" s="87" t="s">
        <v>493</v>
      </c>
      <c r="C1393" s="87" t="s">
        <v>18</v>
      </c>
      <c r="D1393" s="84">
        <v>42665</v>
      </c>
      <c r="E1393" s="88">
        <f t="shared" si="126"/>
        <v>2016</v>
      </c>
      <c r="F1393" s="89">
        <v>11240000000</v>
      </c>
      <c r="G1393" s="89">
        <v>429000000</v>
      </c>
      <c r="H1393" s="89">
        <v>6073000000</v>
      </c>
      <c r="I1393" s="89">
        <v>0</v>
      </c>
      <c r="J1393" s="89">
        <v>1441000000</v>
      </c>
      <c r="K1393" s="87" t="s">
        <v>53</v>
      </c>
      <c r="L1393" s="87" t="s">
        <v>111</v>
      </c>
      <c r="M1393" s="90">
        <f t="shared" si="129"/>
        <v>10811000000</v>
      </c>
      <c r="N1393" s="89">
        <f t="shared" si="130"/>
        <v>7514000000</v>
      </c>
      <c r="O1393" s="89">
        <f t="shared" si="131"/>
        <v>3297000000</v>
      </c>
      <c r="P1393" s="87">
        <f t="shared" si="127"/>
        <v>0.29332740213523134</v>
      </c>
      <c r="Q1393" s="87">
        <f t="shared" si="128"/>
        <v>0.96183274021352316</v>
      </c>
    </row>
    <row r="1394" spans="1:17">
      <c r="A1394" s="83">
        <v>1451</v>
      </c>
      <c r="B1394" s="83" t="s">
        <v>493</v>
      </c>
      <c r="C1394" s="83" t="s">
        <v>21</v>
      </c>
      <c r="D1394" s="84">
        <v>42666</v>
      </c>
      <c r="E1394" s="85">
        <f t="shared" si="126"/>
        <v>2016</v>
      </c>
      <c r="F1394" s="86">
        <v>8602000000</v>
      </c>
      <c r="G1394" s="86">
        <v>291000000</v>
      </c>
      <c r="H1394" s="86">
        <v>5808000000</v>
      </c>
      <c r="I1394" s="86">
        <v>0</v>
      </c>
      <c r="J1394" s="86">
        <v>576000000</v>
      </c>
      <c r="K1394" s="83" t="s">
        <v>53</v>
      </c>
      <c r="L1394" s="83" t="s">
        <v>111</v>
      </c>
      <c r="M1394" s="91">
        <f t="shared" si="129"/>
        <v>8311000000</v>
      </c>
      <c r="N1394" s="86">
        <f t="shared" si="130"/>
        <v>6384000000</v>
      </c>
      <c r="O1394" s="86">
        <f t="shared" si="131"/>
        <v>1927000000</v>
      </c>
      <c r="P1394" s="83">
        <f t="shared" si="127"/>
        <v>0.22401767030923042</v>
      </c>
      <c r="Q1394" s="83">
        <f t="shared" si="128"/>
        <v>0.9661706579865148</v>
      </c>
    </row>
    <row r="1395" spans="1:17">
      <c r="A1395" s="87">
        <v>1452</v>
      </c>
      <c r="B1395" s="87" t="s">
        <v>493</v>
      </c>
      <c r="C1395" s="87" t="s">
        <v>22</v>
      </c>
      <c r="D1395" s="84">
        <v>42667</v>
      </c>
      <c r="E1395" s="88">
        <f t="shared" si="126"/>
        <v>2016</v>
      </c>
      <c r="F1395" s="89">
        <v>8707000000</v>
      </c>
      <c r="G1395" s="89">
        <v>235000000</v>
      </c>
      <c r="H1395" s="89">
        <v>5518000000</v>
      </c>
      <c r="I1395" s="89">
        <v>0</v>
      </c>
      <c r="J1395" s="89">
        <v>367000000</v>
      </c>
      <c r="K1395" s="87" t="s">
        <v>53</v>
      </c>
      <c r="L1395" s="87" t="s">
        <v>111</v>
      </c>
      <c r="M1395" s="90">
        <f t="shared" si="129"/>
        <v>8472000000</v>
      </c>
      <c r="N1395" s="89">
        <f t="shared" si="130"/>
        <v>5885000000</v>
      </c>
      <c r="O1395" s="89">
        <f t="shared" si="131"/>
        <v>2587000000</v>
      </c>
      <c r="P1395" s="87">
        <f t="shared" si="127"/>
        <v>0.29711726197312505</v>
      </c>
      <c r="Q1395" s="87">
        <f t="shared" si="128"/>
        <v>0.9730102216607327</v>
      </c>
    </row>
    <row r="1396" spans="1:17">
      <c r="A1396" s="83">
        <v>1453</v>
      </c>
      <c r="B1396" s="83" t="s">
        <v>493</v>
      </c>
      <c r="C1396" s="83" t="s">
        <v>23</v>
      </c>
      <c r="D1396" s="84">
        <v>42668</v>
      </c>
      <c r="E1396" s="85">
        <f t="shared" si="126"/>
        <v>2016</v>
      </c>
      <c r="F1396" s="86">
        <v>8533000000</v>
      </c>
      <c r="G1396" s="86">
        <v>219000000</v>
      </c>
      <c r="H1396" s="86">
        <v>5120000000</v>
      </c>
      <c r="I1396" s="86">
        <v>0</v>
      </c>
      <c r="J1396" s="86">
        <v>205000000</v>
      </c>
      <c r="K1396" s="83" t="s">
        <v>53</v>
      </c>
      <c r="L1396" s="83" t="s">
        <v>111</v>
      </c>
      <c r="M1396" s="91">
        <f t="shared" si="129"/>
        <v>8314000000</v>
      </c>
      <c r="N1396" s="86">
        <f t="shared" si="130"/>
        <v>5325000000</v>
      </c>
      <c r="O1396" s="86">
        <f t="shared" si="131"/>
        <v>2989000000</v>
      </c>
      <c r="P1396" s="83">
        <f t="shared" si="127"/>
        <v>0.35028712059064809</v>
      </c>
      <c r="Q1396" s="83">
        <f t="shared" si="128"/>
        <v>0.97433493495839685</v>
      </c>
    </row>
    <row r="1397" spans="1:17">
      <c r="A1397" s="87">
        <v>1458</v>
      </c>
      <c r="B1397" s="87" t="s">
        <v>494</v>
      </c>
      <c r="C1397" s="87" t="s">
        <v>18</v>
      </c>
      <c r="D1397" s="84">
        <v>42669</v>
      </c>
      <c r="E1397" s="88">
        <f t="shared" si="126"/>
        <v>2016</v>
      </c>
      <c r="F1397" s="89">
        <v>14351000000</v>
      </c>
      <c r="G1397" s="89">
        <v>10411000000</v>
      </c>
      <c r="H1397" s="89">
        <v>635000000</v>
      </c>
      <c r="I1397" s="89">
        <v>1133000000</v>
      </c>
      <c r="J1397" s="89">
        <v>79000000</v>
      </c>
      <c r="K1397" s="87" t="s">
        <v>28</v>
      </c>
      <c r="L1397" s="87" t="s">
        <v>495</v>
      </c>
      <c r="M1397" s="90">
        <f t="shared" si="129"/>
        <v>3940000000</v>
      </c>
      <c r="N1397" s="89">
        <f t="shared" si="130"/>
        <v>1847000000</v>
      </c>
      <c r="O1397" s="89">
        <f t="shared" si="131"/>
        <v>2093000000</v>
      </c>
      <c r="P1397" s="87">
        <f t="shared" si="127"/>
        <v>0.14584349522681347</v>
      </c>
      <c r="Q1397" s="87">
        <f t="shared" si="128"/>
        <v>0.2745453278517177</v>
      </c>
    </row>
    <row r="1398" spans="1:17">
      <c r="A1398" s="83">
        <v>1459</v>
      </c>
      <c r="B1398" s="83" t="s">
        <v>494</v>
      </c>
      <c r="C1398" s="83" t="s">
        <v>21</v>
      </c>
      <c r="D1398" s="84">
        <v>42670</v>
      </c>
      <c r="E1398" s="85">
        <f t="shared" si="126"/>
        <v>2016</v>
      </c>
      <c r="F1398" s="86">
        <v>13724000000</v>
      </c>
      <c r="G1398" s="86">
        <v>9878000000</v>
      </c>
      <c r="H1398" s="86">
        <v>722000000</v>
      </c>
      <c r="I1398" s="86">
        <v>1226000000</v>
      </c>
      <c r="J1398" s="86">
        <v>98000000</v>
      </c>
      <c r="K1398" s="83" t="s">
        <v>28</v>
      </c>
      <c r="L1398" s="83" t="s">
        <v>495</v>
      </c>
      <c r="M1398" s="91">
        <f t="shared" si="129"/>
        <v>3846000000</v>
      </c>
      <c r="N1398" s="86">
        <f t="shared" si="130"/>
        <v>2046000000</v>
      </c>
      <c r="O1398" s="86">
        <f t="shared" si="131"/>
        <v>1800000000</v>
      </c>
      <c r="P1398" s="83">
        <f t="shared" si="127"/>
        <v>0.13115709705625181</v>
      </c>
      <c r="Q1398" s="83">
        <f t="shared" si="128"/>
        <v>0.28023899737685809</v>
      </c>
    </row>
    <row r="1399" spans="1:17">
      <c r="A1399" s="87">
        <v>1460</v>
      </c>
      <c r="B1399" s="87" t="s">
        <v>494</v>
      </c>
      <c r="C1399" s="87" t="s">
        <v>22</v>
      </c>
      <c r="D1399" s="84">
        <v>42671</v>
      </c>
      <c r="E1399" s="88">
        <f t="shared" si="126"/>
        <v>2016</v>
      </c>
      <c r="F1399" s="89">
        <v>13739000000</v>
      </c>
      <c r="G1399" s="89">
        <v>9930000000</v>
      </c>
      <c r="H1399" s="89">
        <v>237000000</v>
      </c>
      <c r="I1399" s="89">
        <v>1353000000</v>
      </c>
      <c r="J1399" s="89">
        <v>129000000</v>
      </c>
      <c r="K1399" s="87" t="s">
        <v>28</v>
      </c>
      <c r="L1399" s="87" t="s">
        <v>495</v>
      </c>
      <c r="M1399" s="90">
        <f t="shared" si="129"/>
        <v>3809000000</v>
      </c>
      <c r="N1399" s="89">
        <f t="shared" si="130"/>
        <v>1719000000</v>
      </c>
      <c r="O1399" s="89">
        <f t="shared" si="131"/>
        <v>2090000000</v>
      </c>
      <c r="P1399" s="87">
        <f t="shared" si="127"/>
        <v>0.1521216973578863</v>
      </c>
      <c r="Q1399" s="87">
        <f t="shared" si="128"/>
        <v>0.27723997379721954</v>
      </c>
    </row>
    <row r="1400" spans="1:17">
      <c r="A1400" s="83">
        <v>1461</v>
      </c>
      <c r="B1400" s="83" t="s">
        <v>494</v>
      </c>
      <c r="C1400" s="83" t="s">
        <v>23</v>
      </c>
      <c r="D1400" s="84">
        <v>42672</v>
      </c>
      <c r="E1400" s="85">
        <f t="shared" si="126"/>
        <v>2016</v>
      </c>
      <c r="F1400" s="86">
        <v>11160000000</v>
      </c>
      <c r="G1400" s="86">
        <v>8545000000</v>
      </c>
      <c r="H1400" s="86">
        <v>635000000</v>
      </c>
      <c r="I1400" s="86">
        <v>1237000000</v>
      </c>
      <c r="J1400" s="86">
        <v>123000000</v>
      </c>
      <c r="K1400" s="83" t="s">
        <v>28</v>
      </c>
      <c r="L1400" s="83" t="s">
        <v>495</v>
      </c>
      <c r="M1400" s="91">
        <f t="shared" si="129"/>
        <v>2615000000</v>
      </c>
      <c r="N1400" s="86">
        <f t="shared" si="130"/>
        <v>1995000000</v>
      </c>
      <c r="O1400" s="86">
        <f t="shared" si="131"/>
        <v>620000000</v>
      </c>
      <c r="P1400" s="83">
        <f t="shared" si="127"/>
        <v>5.5555555555555552E-2</v>
      </c>
      <c r="Q1400" s="83">
        <f t="shared" si="128"/>
        <v>0.23431899641577059</v>
      </c>
    </row>
    <row r="1401" spans="1:17">
      <c r="A1401" s="87">
        <v>1462</v>
      </c>
      <c r="B1401" s="87" t="s">
        <v>496</v>
      </c>
      <c r="C1401" s="87" t="s">
        <v>18</v>
      </c>
      <c r="D1401" s="84">
        <v>42673</v>
      </c>
      <c r="E1401" s="88">
        <f t="shared" si="126"/>
        <v>2016</v>
      </c>
      <c r="F1401" s="89">
        <v>2796100000</v>
      </c>
      <c r="G1401" s="89">
        <v>1687800000</v>
      </c>
      <c r="H1401" s="89">
        <v>585400000</v>
      </c>
      <c r="I1401" s="89">
        <v>0</v>
      </c>
      <c r="J1401" s="89">
        <v>0</v>
      </c>
      <c r="K1401" s="87" t="s">
        <v>42</v>
      </c>
      <c r="L1401" s="87" t="s">
        <v>497</v>
      </c>
      <c r="M1401" s="90">
        <f t="shared" si="129"/>
        <v>1108300000</v>
      </c>
      <c r="N1401" s="89">
        <f t="shared" si="130"/>
        <v>585400000</v>
      </c>
      <c r="O1401" s="89">
        <f t="shared" si="131"/>
        <v>522900000</v>
      </c>
      <c r="P1401" s="87">
        <f t="shared" si="127"/>
        <v>0.18701047888129896</v>
      </c>
      <c r="Q1401" s="87">
        <f t="shared" si="128"/>
        <v>0.39637352026036266</v>
      </c>
    </row>
    <row r="1402" spans="1:17">
      <c r="A1402" s="83">
        <v>1463</v>
      </c>
      <c r="B1402" s="83" t="s">
        <v>496</v>
      </c>
      <c r="C1402" s="83" t="s">
        <v>21</v>
      </c>
      <c r="D1402" s="84">
        <v>42674</v>
      </c>
      <c r="E1402" s="85">
        <f t="shared" si="126"/>
        <v>2016</v>
      </c>
      <c r="F1402" s="86">
        <v>4867700000</v>
      </c>
      <c r="G1402" s="86">
        <v>2876000000</v>
      </c>
      <c r="H1402" s="86">
        <v>895100000</v>
      </c>
      <c r="I1402" s="86">
        <v>0</v>
      </c>
      <c r="J1402" s="86">
        <v>0</v>
      </c>
      <c r="K1402" s="83" t="s">
        <v>42</v>
      </c>
      <c r="L1402" s="83" t="s">
        <v>497</v>
      </c>
      <c r="M1402" s="91">
        <f t="shared" si="129"/>
        <v>1991700000</v>
      </c>
      <c r="N1402" s="86">
        <f t="shared" si="130"/>
        <v>895100000</v>
      </c>
      <c r="O1402" s="86">
        <f t="shared" si="131"/>
        <v>1096600000</v>
      </c>
      <c r="P1402" s="83">
        <f t="shared" si="127"/>
        <v>0.22528093350042114</v>
      </c>
      <c r="Q1402" s="83">
        <f t="shared" si="128"/>
        <v>0.40916654682909792</v>
      </c>
    </row>
    <row r="1403" spans="1:17">
      <c r="A1403" s="87">
        <v>1464</v>
      </c>
      <c r="B1403" s="87" t="s">
        <v>496</v>
      </c>
      <c r="C1403" s="87" t="s">
        <v>22</v>
      </c>
      <c r="D1403" s="84">
        <v>42675</v>
      </c>
      <c r="E1403" s="88">
        <f t="shared" si="126"/>
        <v>2016</v>
      </c>
      <c r="F1403" s="89">
        <v>6028000000</v>
      </c>
      <c r="G1403" s="89">
        <v>3449400000</v>
      </c>
      <c r="H1403" s="89">
        <v>1078400000</v>
      </c>
      <c r="I1403" s="89">
        <v>0</v>
      </c>
      <c r="J1403" s="89">
        <v>0</v>
      </c>
      <c r="K1403" s="87" t="s">
        <v>42</v>
      </c>
      <c r="L1403" s="87" t="s">
        <v>497</v>
      </c>
      <c r="M1403" s="90">
        <f t="shared" si="129"/>
        <v>2578600000</v>
      </c>
      <c r="N1403" s="89">
        <f t="shared" si="130"/>
        <v>1078400000</v>
      </c>
      <c r="O1403" s="89">
        <f t="shared" si="131"/>
        <v>1500200000</v>
      </c>
      <c r="P1403" s="87">
        <f t="shared" si="127"/>
        <v>0.24887193098871932</v>
      </c>
      <c r="Q1403" s="87">
        <f t="shared" si="128"/>
        <v>0.42777040477770401</v>
      </c>
    </row>
    <row r="1404" spans="1:17">
      <c r="A1404" s="83">
        <v>1465</v>
      </c>
      <c r="B1404" s="83" t="s">
        <v>496</v>
      </c>
      <c r="C1404" s="83" t="s">
        <v>23</v>
      </c>
      <c r="D1404" s="84">
        <v>42676</v>
      </c>
      <c r="E1404" s="85">
        <f t="shared" si="126"/>
        <v>2016</v>
      </c>
      <c r="F1404" s="86">
        <v>6548400000</v>
      </c>
      <c r="G1404" s="86">
        <v>3606100000</v>
      </c>
      <c r="H1404" s="86">
        <v>1177200000</v>
      </c>
      <c r="I1404" s="86">
        <v>0</v>
      </c>
      <c r="J1404" s="86">
        <v>0</v>
      </c>
      <c r="K1404" s="83" t="s">
        <v>42</v>
      </c>
      <c r="L1404" s="83" t="s">
        <v>497</v>
      </c>
      <c r="M1404" s="91">
        <f t="shared" si="129"/>
        <v>2942300000</v>
      </c>
      <c r="N1404" s="86">
        <f t="shared" si="130"/>
        <v>1177200000</v>
      </c>
      <c r="O1404" s="86">
        <f t="shared" si="131"/>
        <v>1765100000</v>
      </c>
      <c r="P1404" s="83">
        <f t="shared" si="127"/>
        <v>0.26954675951377438</v>
      </c>
      <c r="Q1404" s="83">
        <f t="shared" si="128"/>
        <v>0.4493158634170179</v>
      </c>
    </row>
    <row r="1405" spans="1:17">
      <c r="A1405" s="87">
        <v>1466</v>
      </c>
      <c r="B1405" s="87" t="s">
        <v>498</v>
      </c>
      <c r="C1405" s="87" t="s">
        <v>18</v>
      </c>
      <c r="D1405" s="84">
        <v>42677</v>
      </c>
      <c r="E1405" s="88">
        <f t="shared" si="126"/>
        <v>2016</v>
      </c>
      <c r="F1405" s="89">
        <v>10889500000</v>
      </c>
      <c r="G1405" s="89">
        <v>6985800000</v>
      </c>
      <c r="H1405" s="89">
        <v>2960300000</v>
      </c>
      <c r="I1405" s="89">
        <v>0</v>
      </c>
      <c r="J1405" s="89">
        <v>0</v>
      </c>
      <c r="K1405" s="87" t="s">
        <v>25</v>
      </c>
      <c r="L1405" s="87" t="s">
        <v>486</v>
      </c>
      <c r="M1405" s="90">
        <f t="shared" si="129"/>
        <v>3903700000</v>
      </c>
      <c r="N1405" s="89">
        <f t="shared" si="130"/>
        <v>2960300000</v>
      </c>
      <c r="O1405" s="89">
        <f t="shared" si="131"/>
        <v>943400000</v>
      </c>
      <c r="P1405" s="87">
        <f t="shared" si="127"/>
        <v>8.6633913402819229E-2</v>
      </c>
      <c r="Q1405" s="87">
        <f t="shared" si="128"/>
        <v>0.35848294228385147</v>
      </c>
    </row>
    <row r="1406" spans="1:17">
      <c r="A1406" s="83">
        <v>1467</v>
      </c>
      <c r="B1406" s="83" t="s">
        <v>498</v>
      </c>
      <c r="C1406" s="83" t="s">
        <v>21</v>
      </c>
      <c r="D1406" s="84">
        <v>42678</v>
      </c>
      <c r="E1406" s="85">
        <f t="shared" si="126"/>
        <v>2016</v>
      </c>
      <c r="F1406" s="86">
        <v>11338600000</v>
      </c>
      <c r="G1406" s="86">
        <v>7235900000</v>
      </c>
      <c r="H1406" s="86">
        <v>2814600000</v>
      </c>
      <c r="I1406" s="86">
        <v>0</v>
      </c>
      <c r="J1406" s="86">
        <v>0</v>
      </c>
      <c r="K1406" s="83" t="s">
        <v>25</v>
      </c>
      <c r="L1406" s="83" t="s">
        <v>486</v>
      </c>
      <c r="M1406" s="91">
        <f t="shared" si="129"/>
        <v>4102700000</v>
      </c>
      <c r="N1406" s="86">
        <f t="shared" si="130"/>
        <v>2814600000</v>
      </c>
      <c r="O1406" s="86">
        <f t="shared" si="131"/>
        <v>1288100000</v>
      </c>
      <c r="P1406" s="83">
        <f t="shared" si="127"/>
        <v>0.113603090328612</v>
      </c>
      <c r="Q1406" s="83">
        <f t="shared" si="128"/>
        <v>0.36183479441906408</v>
      </c>
    </row>
    <row r="1407" spans="1:17">
      <c r="A1407" s="87">
        <v>1468</v>
      </c>
      <c r="B1407" s="87" t="s">
        <v>498</v>
      </c>
      <c r="C1407" s="87" t="s">
        <v>22</v>
      </c>
      <c r="D1407" s="84">
        <v>42679</v>
      </c>
      <c r="E1407" s="88">
        <f t="shared" ref="E1407:E1470" si="132">YEAR(D1407)</f>
        <v>2016</v>
      </c>
      <c r="F1407" s="89">
        <v>11171800000</v>
      </c>
      <c r="G1407" s="89">
        <v>7099800000</v>
      </c>
      <c r="H1407" s="89">
        <v>2681100000</v>
      </c>
      <c r="I1407" s="89">
        <v>0</v>
      </c>
      <c r="J1407" s="89">
        <v>0</v>
      </c>
      <c r="K1407" s="87" t="s">
        <v>25</v>
      </c>
      <c r="L1407" s="87" t="s">
        <v>486</v>
      </c>
      <c r="M1407" s="90">
        <f t="shared" si="129"/>
        <v>4072000000</v>
      </c>
      <c r="N1407" s="89">
        <f t="shared" si="130"/>
        <v>2681100000</v>
      </c>
      <c r="O1407" s="89">
        <f t="shared" si="131"/>
        <v>1390900000</v>
      </c>
      <c r="P1407" s="87">
        <f t="shared" si="127"/>
        <v>0.12450097567088562</v>
      </c>
      <c r="Q1407" s="87">
        <f t="shared" si="128"/>
        <v>0.36448916020694966</v>
      </c>
    </row>
    <row r="1408" spans="1:17">
      <c r="A1408" s="83">
        <v>1469</v>
      </c>
      <c r="B1408" s="83" t="s">
        <v>498</v>
      </c>
      <c r="C1408" s="83" t="s">
        <v>23</v>
      </c>
      <c r="D1408" s="84">
        <v>42680</v>
      </c>
      <c r="E1408" s="85">
        <f t="shared" si="132"/>
        <v>2016</v>
      </c>
      <c r="F1408" s="86">
        <v>11406900000</v>
      </c>
      <c r="G1408" s="86">
        <v>7139700000</v>
      </c>
      <c r="H1408" s="86">
        <v>2798900000</v>
      </c>
      <c r="I1408" s="86">
        <v>0</v>
      </c>
      <c r="J1408" s="86">
        <v>0</v>
      </c>
      <c r="K1408" s="83" t="s">
        <v>25</v>
      </c>
      <c r="L1408" s="83" t="s">
        <v>486</v>
      </c>
      <c r="M1408" s="91">
        <f t="shared" si="129"/>
        <v>4267200000</v>
      </c>
      <c r="N1408" s="86">
        <f t="shared" si="130"/>
        <v>2798900000</v>
      </c>
      <c r="O1408" s="86">
        <f t="shared" si="131"/>
        <v>1468300000</v>
      </c>
      <c r="P1408" s="83">
        <f t="shared" si="127"/>
        <v>0.12872033593702056</v>
      </c>
      <c r="Q1408" s="83">
        <f t="shared" si="128"/>
        <v>0.37408936696210193</v>
      </c>
    </row>
    <row r="1409" spans="1:17">
      <c r="A1409" s="87">
        <v>1470</v>
      </c>
      <c r="B1409" s="87" t="s">
        <v>499</v>
      </c>
      <c r="C1409" s="87" t="s">
        <v>18</v>
      </c>
      <c r="D1409" s="84">
        <v>42681</v>
      </c>
      <c r="E1409" s="88">
        <f t="shared" si="132"/>
        <v>2016</v>
      </c>
      <c r="F1409" s="89">
        <v>1792000000</v>
      </c>
      <c r="G1409" s="89">
        <v>1025400000</v>
      </c>
      <c r="H1409" s="89">
        <v>159700000</v>
      </c>
      <c r="I1409" s="89">
        <v>226300000</v>
      </c>
      <c r="J1409" s="89">
        <v>29100000</v>
      </c>
      <c r="K1409" s="87" t="s">
        <v>28</v>
      </c>
      <c r="L1409" s="87" t="s">
        <v>40</v>
      </c>
      <c r="M1409" s="90">
        <f t="shared" si="129"/>
        <v>766600000</v>
      </c>
      <c r="N1409" s="89">
        <f t="shared" si="130"/>
        <v>415100000</v>
      </c>
      <c r="O1409" s="89">
        <f t="shared" si="131"/>
        <v>351500000</v>
      </c>
      <c r="P1409" s="87">
        <f t="shared" si="127"/>
        <v>0.19614955357142858</v>
      </c>
      <c r="Q1409" s="87">
        <f t="shared" si="128"/>
        <v>0.42779017857142854</v>
      </c>
    </row>
    <row r="1410" spans="1:17">
      <c r="A1410" s="83">
        <v>1471</v>
      </c>
      <c r="B1410" s="83" t="s">
        <v>499</v>
      </c>
      <c r="C1410" s="83" t="s">
        <v>21</v>
      </c>
      <c r="D1410" s="84">
        <v>42682</v>
      </c>
      <c r="E1410" s="85">
        <f t="shared" si="132"/>
        <v>2016</v>
      </c>
      <c r="F1410" s="86">
        <v>2291500000</v>
      </c>
      <c r="G1410" s="86">
        <v>1268800000</v>
      </c>
      <c r="H1410" s="86">
        <v>179100000</v>
      </c>
      <c r="I1410" s="86">
        <v>252200000</v>
      </c>
      <c r="J1410" s="86">
        <v>25900000</v>
      </c>
      <c r="K1410" s="83" t="s">
        <v>28</v>
      </c>
      <c r="L1410" s="83" t="s">
        <v>40</v>
      </c>
      <c r="M1410" s="91">
        <f t="shared" si="129"/>
        <v>1022700000</v>
      </c>
      <c r="N1410" s="86">
        <f t="shared" si="130"/>
        <v>457200000</v>
      </c>
      <c r="O1410" s="86">
        <f t="shared" si="131"/>
        <v>565500000</v>
      </c>
      <c r="P1410" s="83">
        <f t="shared" ref="P1410:P1473" si="133">O1410/F1410</f>
        <v>0.24678158411520837</v>
      </c>
      <c r="Q1410" s="83">
        <f t="shared" ref="Q1410:Q1473" si="134">1-G1410/F1410</f>
        <v>0.44630154920357845</v>
      </c>
    </row>
    <row r="1411" spans="1:17">
      <c r="A1411" s="87">
        <v>1472</v>
      </c>
      <c r="B1411" s="87" t="s">
        <v>499</v>
      </c>
      <c r="C1411" s="87" t="s">
        <v>22</v>
      </c>
      <c r="D1411" s="84">
        <v>42683</v>
      </c>
      <c r="E1411" s="88">
        <f t="shared" si="132"/>
        <v>2016</v>
      </c>
      <c r="F1411" s="89">
        <v>3258400000</v>
      </c>
      <c r="G1411" s="89">
        <v>1703900000</v>
      </c>
      <c r="H1411" s="89">
        <v>191300000</v>
      </c>
      <c r="I1411" s="89">
        <v>303200000</v>
      </c>
      <c r="J1411" s="89">
        <v>33500000</v>
      </c>
      <c r="K1411" s="87" t="s">
        <v>28</v>
      </c>
      <c r="L1411" s="87" t="s">
        <v>40</v>
      </c>
      <c r="M1411" s="90">
        <f t="shared" ref="M1411:M1474" si="135">F1411-G1411</f>
        <v>1554500000</v>
      </c>
      <c r="N1411" s="89">
        <f t="shared" ref="N1411:N1474" si="136">H1411+I1411+J1411</f>
        <v>528000000</v>
      </c>
      <c r="O1411" s="89">
        <f t="shared" ref="O1411:O1474" si="137">M1411-N1411</f>
        <v>1026500000</v>
      </c>
      <c r="P1411" s="87">
        <f t="shared" si="133"/>
        <v>0.31503191750552417</v>
      </c>
      <c r="Q1411" s="87">
        <f t="shared" si="134"/>
        <v>0.47707463785907189</v>
      </c>
    </row>
    <row r="1412" spans="1:17">
      <c r="A1412" s="83">
        <v>1473</v>
      </c>
      <c r="B1412" s="83" t="s">
        <v>499</v>
      </c>
      <c r="C1412" s="83" t="s">
        <v>23</v>
      </c>
      <c r="D1412" s="84">
        <v>42684</v>
      </c>
      <c r="E1412" s="85">
        <f t="shared" si="132"/>
        <v>2016</v>
      </c>
      <c r="F1412" s="86">
        <v>3289000000</v>
      </c>
      <c r="G1412" s="86">
        <v>1623800000</v>
      </c>
      <c r="H1412" s="86">
        <v>195900000</v>
      </c>
      <c r="I1412" s="86">
        <v>312400000</v>
      </c>
      <c r="J1412" s="86">
        <v>33400000</v>
      </c>
      <c r="K1412" s="83" t="s">
        <v>28</v>
      </c>
      <c r="L1412" s="83" t="s">
        <v>40</v>
      </c>
      <c r="M1412" s="91">
        <f t="shared" si="135"/>
        <v>1665200000</v>
      </c>
      <c r="N1412" s="86">
        <f t="shared" si="136"/>
        <v>541700000</v>
      </c>
      <c r="O1412" s="86">
        <f t="shared" si="137"/>
        <v>1123500000</v>
      </c>
      <c r="P1412" s="83">
        <f t="shared" si="133"/>
        <v>0.34159318941927636</v>
      </c>
      <c r="Q1412" s="83">
        <f t="shared" si="134"/>
        <v>0.50629370629370629</v>
      </c>
    </row>
    <row r="1413" spans="1:17">
      <c r="A1413" s="87">
        <v>1474</v>
      </c>
      <c r="B1413" s="87" t="s">
        <v>500</v>
      </c>
      <c r="C1413" s="87" t="s">
        <v>18</v>
      </c>
      <c r="D1413" s="84">
        <v>42685</v>
      </c>
      <c r="E1413" s="85">
        <f t="shared" si="132"/>
        <v>2016</v>
      </c>
      <c r="F1413" s="89">
        <v>2730000000</v>
      </c>
      <c r="G1413" s="89">
        <v>245000000</v>
      </c>
      <c r="H1413" s="89">
        <v>835000000</v>
      </c>
      <c r="I1413" s="89">
        <v>0</v>
      </c>
      <c r="J1413" s="89">
        <v>811000000</v>
      </c>
      <c r="K1413" s="87" t="s">
        <v>89</v>
      </c>
      <c r="L1413" s="87" t="s">
        <v>90</v>
      </c>
      <c r="M1413" s="90">
        <f t="shared" si="135"/>
        <v>2485000000</v>
      </c>
      <c r="N1413" s="89">
        <f t="shared" si="136"/>
        <v>1646000000</v>
      </c>
      <c r="O1413" s="89">
        <f t="shared" si="137"/>
        <v>839000000</v>
      </c>
      <c r="P1413" s="87">
        <f t="shared" si="133"/>
        <v>0.30732600732600734</v>
      </c>
      <c r="Q1413" s="87">
        <f t="shared" si="134"/>
        <v>0.91025641025641024</v>
      </c>
    </row>
    <row r="1414" spans="1:17">
      <c r="A1414" s="83">
        <v>1475</v>
      </c>
      <c r="B1414" s="83" t="s">
        <v>500</v>
      </c>
      <c r="C1414" s="83" t="s">
        <v>21</v>
      </c>
      <c r="D1414" s="84">
        <v>42686</v>
      </c>
      <c r="E1414" s="85">
        <f t="shared" si="132"/>
        <v>2016</v>
      </c>
      <c r="F1414" s="86">
        <v>3371000000</v>
      </c>
      <c r="G1414" s="86">
        <v>328000000</v>
      </c>
      <c r="H1414" s="86">
        <v>1052000000</v>
      </c>
      <c r="I1414" s="86">
        <v>0</v>
      </c>
      <c r="J1414" s="86">
        <v>787000000</v>
      </c>
      <c r="K1414" s="83" t="s">
        <v>89</v>
      </c>
      <c r="L1414" s="83" t="s">
        <v>90</v>
      </c>
      <c r="M1414" s="91">
        <f t="shared" si="135"/>
        <v>3043000000</v>
      </c>
      <c r="N1414" s="86">
        <f t="shared" si="136"/>
        <v>1839000000</v>
      </c>
      <c r="O1414" s="86">
        <f t="shared" si="137"/>
        <v>1204000000</v>
      </c>
      <c r="P1414" s="83">
        <f t="shared" si="133"/>
        <v>0.3571640462770691</v>
      </c>
      <c r="Q1414" s="83">
        <f t="shared" si="134"/>
        <v>0.90269949569860575</v>
      </c>
    </row>
    <row r="1415" spans="1:17">
      <c r="A1415" s="87">
        <v>1476</v>
      </c>
      <c r="B1415" s="87" t="s">
        <v>500</v>
      </c>
      <c r="C1415" s="87" t="s">
        <v>22</v>
      </c>
      <c r="D1415" s="84">
        <v>42687</v>
      </c>
      <c r="E1415" s="85">
        <f t="shared" si="132"/>
        <v>2016</v>
      </c>
      <c r="F1415" s="89">
        <v>4038000000</v>
      </c>
      <c r="G1415" s="89">
        <v>427000000</v>
      </c>
      <c r="H1415" s="89">
        <v>1296000000</v>
      </c>
      <c r="I1415" s="89">
        <v>0</v>
      </c>
      <c r="J1415" s="89">
        <v>942000000</v>
      </c>
      <c r="K1415" s="87" t="s">
        <v>89</v>
      </c>
      <c r="L1415" s="87" t="s">
        <v>90</v>
      </c>
      <c r="M1415" s="90">
        <f t="shared" si="135"/>
        <v>3611000000</v>
      </c>
      <c r="N1415" s="89">
        <f t="shared" si="136"/>
        <v>2238000000</v>
      </c>
      <c r="O1415" s="89">
        <f t="shared" si="137"/>
        <v>1373000000</v>
      </c>
      <c r="P1415" s="87">
        <f t="shared" si="133"/>
        <v>0.34001981178801388</v>
      </c>
      <c r="Q1415" s="87">
        <f t="shared" si="134"/>
        <v>0.89425458147597825</v>
      </c>
    </row>
    <row r="1416" spans="1:17">
      <c r="A1416" s="83">
        <v>1477</v>
      </c>
      <c r="B1416" s="83" t="s">
        <v>500</v>
      </c>
      <c r="C1416" s="83" t="s">
        <v>23</v>
      </c>
      <c r="D1416" s="84">
        <v>42688</v>
      </c>
      <c r="E1416" s="85">
        <f t="shared" si="132"/>
        <v>2016</v>
      </c>
      <c r="F1416" s="86">
        <v>3133000000</v>
      </c>
      <c r="G1416" s="86">
        <v>689000000</v>
      </c>
      <c r="H1416" s="86">
        <v>1208000000</v>
      </c>
      <c r="I1416" s="86">
        <v>0</v>
      </c>
      <c r="J1416" s="86">
        <v>1091000000</v>
      </c>
      <c r="K1416" s="83" t="s">
        <v>89</v>
      </c>
      <c r="L1416" s="83" t="s">
        <v>90</v>
      </c>
      <c r="M1416" s="91">
        <f t="shared" si="135"/>
        <v>2444000000</v>
      </c>
      <c r="N1416" s="86">
        <f t="shared" si="136"/>
        <v>2299000000</v>
      </c>
      <c r="O1416" s="86">
        <f t="shared" si="137"/>
        <v>145000000</v>
      </c>
      <c r="P1416" s="83">
        <f t="shared" si="133"/>
        <v>4.6281519310564956E-2</v>
      </c>
      <c r="Q1416" s="83">
        <f t="shared" si="134"/>
        <v>0.78008298755186722</v>
      </c>
    </row>
    <row r="1417" spans="1:17">
      <c r="A1417" s="87">
        <v>1478</v>
      </c>
      <c r="B1417" s="87" t="s">
        <v>501</v>
      </c>
      <c r="C1417" s="87" t="s">
        <v>18</v>
      </c>
      <c r="D1417" s="84">
        <v>42689</v>
      </c>
      <c r="E1417" s="88">
        <f t="shared" si="132"/>
        <v>2016</v>
      </c>
      <c r="F1417" s="89">
        <v>10793000000</v>
      </c>
      <c r="G1417" s="89">
        <v>362000000</v>
      </c>
      <c r="H1417" s="89">
        <v>2123000000</v>
      </c>
      <c r="I1417" s="89">
        <v>0</v>
      </c>
      <c r="J1417" s="89">
        <v>4549000000</v>
      </c>
      <c r="K1417" s="87" t="s">
        <v>53</v>
      </c>
      <c r="L1417" s="87" t="s">
        <v>106</v>
      </c>
      <c r="M1417" s="90">
        <f t="shared" si="135"/>
        <v>10431000000</v>
      </c>
      <c r="N1417" s="89">
        <f t="shared" si="136"/>
        <v>6672000000</v>
      </c>
      <c r="O1417" s="89">
        <f t="shared" si="137"/>
        <v>3759000000</v>
      </c>
      <c r="P1417" s="87">
        <f t="shared" si="133"/>
        <v>0.34828129343092745</v>
      </c>
      <c r="Q1417" s="87">
        <f t="shared" si="134"/>
        <v>0.96645974242564625</v>
      </c>
    </row>
    <row r="1418" spans="1:17">
      <c r="A1418" s="83">
        <v>1479</v>
      </c>
      <c r="B1418" s="83" t="s">
        <v>501</v>
      </c>
      <c r="C1418" s="83" t="s">
        <v>21</v>
      </c>
      <c r="D1418" s="84">
        <v>42690</v>
      </c>
      <c r="E1418" s="85">
        <f t="shared" si="132"/>
        <v>2016</v>
      </c>
      <c r="F1418" s="86">
        <v>11813000000</v>
      </c>
      <c r="G1418" s="86">
        <v>374000000</v>
      </c>
      <c r="H1418" s="86">
        <v>2484000000</v>
      </c>
      <c r="I1418" s="86">
        <v>0</v>
      </c>
      <c r="J1418" s="86">
        <v>5445000000</v>
      </c>
      <c r="K1418" s="83" t="s">
        <v>53</v>
      </c>
      <c r="L1418" s="83" t="s">
        <v>106</v>
      </c>
      <c r="M1418" s="91">
        <f t="shared" si="135"/>
        <v>11439000000</v>
      </c>
      <c r="N1418" s="86">
        <f t="shared" si="136"/>
        <v>7929000000</v>
      </c>
      <c r="O1418" s="86">
        <f t="shared" si="137"/>
        <v>3510000000</v>
      </c>
      <c r="P1418" s="83">
        <f t="shared" si="133"/>
        <v>0.29713028019977988</v>
      </c>
      <c r="Q1418" s="83">
        <f t="shared" si="134"/>
        <v>0.96833996444594939</v>
      </c>
    </row>
    <row r="1419" spans="1:17">
      <c r="A1419" s="87">
        <v>1480</v>
      </c>
      <c r="B1419" s="87" t="s">
        <v>501</v>
      </c>
      <c r="C1419" s="87" t="s">
        <v>22</v>
      </c>
      <c r="D1419" s="84">
        <v>42691</v>
      </c>
      <c r="E1419" s="88">
        <f t="shared" si="132"/>
        <v>2016</v>
      </c>
      <c r="F1419" s="89">
        <v>12727000000</v>
      </c>
      <c r="G1419" s="89">
        <v>470000000</v>
      </c>
      <c r="H1419" s="89">
        <v>2927000000</v>
      </c>
      <c r="I1419" s="89">
        <v>0</v>
      </c>
      <c r="J1419" s="89">
        <v>5492000000</v>
      </c>
      <c r="K1419" s="87" t="s">
        <v>53</v>
      </c>
      <c r="L1419" s="87" t="s">
        <v>106</v>
      </c>
      <c r="M1419" s="90">
        <f t="shared" si="135"/>
        <v>12257000000</v>
      </c>
      <c r="N1419" s="89">
        <f t="shared" si="136"/>
        <v>8419000000</v>
      </c>
      <c r="O1419" s="89">
        <f t="shared" si="137"/>
        <v>3838000000</v>
      </c>
      <c r="P1419" s="87">
        <f t="shared" si="133"/>
        <v>0.30156360493439144</v>
      </c>
      <c r="Q1419" s="87">
        <f t="shared" si="134"/>
        <v>0.96307063722794062</v>
      </c>
    </row>
    <row r="1420" spans="1:17">
      <c r="A1420" s="83">
        <v>1481</v>
      </c>
      <c r="B1420" s="83" t="s">
        <v>501</v>
      </c>
      <c r="C1420" s="83" t="s">
        <v>23</v>
      </c>
      <c r="D1420" s="84">
        <v>42692</v>
      </c>
      <c r="E1420" s="85">
        <f t="shared" si="132"/>
        <v>2016</v>
      </c>
      <c r="F1420" s="86">
        <v>13620000000</v>
      </c>
      <c r="G1420" s="86">
        <v>607000000</v>
      </c>
      <c r="H1420" s="86">
        <v>3264000000</v>
      </c>
      <c r="I1420" s="86">
        <v>0</v>
      </c>
      <c r="J1420" s="86">
        <v>5690000000</v>
      </c>
      <c r="K1420" s="83" t="s">
        <v>53</v>
      </c>
      <c r="L1420" s="83" t="s">
        <v>106</v>
      </c>
      <c r="M1420" s="91">
        <f t="shared" si="135"/>
        <v>13013000000</v>
      </c>
      <c r="N1420" s="86">
        <f t="shared" si="136"/>
        <v>8954000000</v>
      </c>
      <c r="O1420" s="86">
        <f t="shared" si="137"/>
        <v>4059000000</v>
      </c>
      <c r="P1420" s="83">
        <f t="shared" si="133"/>
        <v>0.29801762114537445</v>
      </c>
      <c r="Q1420" s="83">
        <f t="shared" si="134"/>
        <v>0.95543318649045517</v>
      </c>
    </row>
    <row r="1421" spans="1:17">
      <c r="A1421" s="87">
        <v>1482</v>
      </c>
      <c r="B1421" s="87" t="s">
        <v>502</v>
      </c>
      <c r="C1421" s="87" t="s">
        <v>18</v>
      </c>
      <c r="D1421" s="84">
        <v>42693</v>
      </c>
      <c r="E1421" s="88">
        <f t="shared" si="132"/>
        <v>2016</v>
      </c>
      <c r="F1421" s="89">
        <v>9021000000</v>
      </c>
      <c r="G1421" s="89">
        <v>3002000000</v>
      </c>
      <c r="H1421" s="89">
        <v>4089000000</v>
      </c>
      <c r="I1421" s="89">
        <v>536000000</v>
      </c>
      <c r="J1421" s="89">
        <v>138000000</v>
      </c>
      <c r="K1421" s="87" t="s">
        <v>31</v>
      </c>
      <c r="L1421" s="87" t="s">
        <v>36</v>
      </c>
      <c r="M1421" s="90">
        <f t="shared" si="135"/>
        <v>6019000000</v>
      </c>
      <c r="N1421" s="89">
        <f t="shared" si="136"/>
        <v>4763000000</v>
      </c>
      <c r="O1421" s="89">
        <f t="shared" si="137"/>
        <v>1256000000</v>
      </c>
      <c r="P1421" s="87">
        <f t="shared" si="133"/>
        <v>0.13923068395964971</v>
      </c>
      <c r="Q1421" s="87">
        <f t="shared" si="134"/>
        <v>0.6672209289435761</v>
      </c>
    </row>
    <row r="1422" spans="1:17">
      <c r="A1422" s="83">
        <v>1483</v>
      </c>
      <c r="B1422" s="83" t="s">
        <v>502</v>
      </c>
      <c r="C1422" s="83" t="s">
        <v>21</v>
      </c>
      <c r="D1422" s="84">
        <v>42694</v>
      </c>
      <c r="E1422" s="85">
        <f t="shared" si="132"/>
        <v>2016</v>
      </c>
      <c r="F1422" s="86">
        <v>9675000000</v>
      </c>
      <c r="G1422" s="86">
        <v>3319000000</v>
      </c>
      <c r="H1422" s="86">
        <v>4308000000</v>
      </c>
      <c r="I1422" s="86">
        <v>614000000</v>
      </c>
      <c r="J1422" s="86">
        <v>188000000</v>
      </c>
      <c r="K1422" s="83" t="s">
        <v>31</v>
      </c>
      <c r="L1422" s="83" t="s">
        <v>36</v>
      </c>
      <c r="M1422" s="91">
        <f t="shared" si="135"/>
        <v>6356000000</v>
      </c>
      <c r="N1422" s="86">
        <f t="shared" si="136"/>
        <v>5110000000</v>
      </c>
      <c r="O1422" s="86">
        <f t="shared" si="137"/>
        <v>1246000000</v>
      </c>
      <c r="P1422" s="83">
        <f t="shared" si="133"/>
        <v>0.12878552971576226</v>
      </c>
      <c r="Q1422" s="83">
        <f t="shared" si="134"/>
        <v>0.65695090439276482</v>
      </c>
    </row>
    <row r="1423" spans="1:17">
      <c r="A1423" s="87">
        <v>1484</v>
      </c>
      <c r="B1423" s="87" t="s">
        <v>502</v>
      </c>
      <c r="C1423" s="87" t="s">
        <v>22</v>
      </c>
      <c r="D1423" s="84">
        <v>42695</v>
      </c>
      <c r="E1423" s="88">
        <f t="shared" si="132"/>
        <v>2016</v>
      </c>
      <c r="F1423" s="89">
        <v>9946000000</v>
      </c>
      <c r="G1423" s="89">
        <v>3344000000</v>
      </c>
      <c r="H1423" s="89">
        <v>3906000000</v>
      </c>
      <c r="I1423" s="89">
        <v>625000000</v>
      </c>
      <c r="J1423" s="89">
        <v>210000000</v>
      </c>
      <c r="K1423" s="87" t="s">
        <v>31</v>
      </c>
      <c r="L1423" s="87" t="s">
        <v>36</v>
      </c>
      <c r="M1423" s="90">
        <f t="shared" si="135"/>
        <v>6602000000</v>
      </c>
      <c r="N1423" s="89">
        <f t="shared" si="136"/>
        <v>4741000000</v>
      </c>
      <c r="O1423" s="89">
        <f t="shared" si="137"/>
        <v>1861000000</v>
      </c>
      <c r="P1423" s="87">
        <f t="shared" si="133"/>
        <v>0.18711039613915142</v>
      </c>
      <c r="Q1423" s="87">
        <f t="shared" si="134"/>
        <v>0.66378443595415249</v>
      </c>
    </row>
    <row r="1424" spans="1:17">
      <c r="A1424" s="83">
        <v>1485</v>
      </c>
      <c r="B1424" s="83" t="s">
        <v>502</v>
      </c>
      <c r="C1424" s="83" t="s">
        <v>23</v>
      </c>
      <c r="D1424" s="84">
        <v>42696</v>
      </c>
      <c r="E1424" s="85">
        <f t="shared" si="132"/>
        <v>2016</v>
      </c>
      <c r="F1424" s="86">
        <v>11325000000</v>
      </c>
      <c r="G1424" s="86">
        <v>3830000000</v>
      </c>
      <c r="H1424" s="86">
        <v>4295000000</v>
      </c>
      <c r="I1424" s="86">
        <v>715000000</v>
      </c>
      <c r="J1424" s="86">
        <v>319000000</v>
      </c>
      <c r="K1424" s="83" t="s">
        <v>31</v>
      </c>
      <c r="L1424" s="83" t="s">
        <v>36</v>
      </c>
      <c r="M1424" s="91">
        <f t="shared" si="135"/>
        <v>7495000000</v>
      </c>
      <c r="N1424" s="86">
        <f t="shared" si="136"/>
        <v>5329000000</v>
      </c>
      <c r="O1424" s="86">
        <f t="shared" si="137"/>
        <v>2166000000</v>
      </c>
      <c r="P1424" s="83">
        <f t="shared" si="133"/>
        <v>0.19125827814569538</v>
      </c>
      <c r="Q1424" s="83">
        <f t="shared" si="134"/>
        <v>0.66181015452538627</v>
      </c>
    </row>
    <row r="1425" spans="1:17">
      <c r="A1425" s="87">
        <v>1486</v>
      </c>
      <c r="B1425" s="87" t="s">
        <v>503</v>
      </c>
      <c r="C1425" s="87" t="s">
        <v>18</v>
      </c>
      <c r="D1425" s="84">
        <v>42697</v>
      </c>
      <c r="E1425" s="88">
        <f t="shared" si="132"/>
        <v>2016</v>
      </c>
      <c r="F1425" s="89">
        <v>6906000000</v>
      </c>
      <c r="G1425" s="89">
        <v>1175000000</v>
      </c>
      <c r="H1425" s="89">
        <v>3236000000</v>
      </c>
      <c r="I1425" s="89">
        <v>1026000000</v>
      </c>
      <c r="J1425" s="89">
        <v>286000000</v>
      </c>
      <c r="K1425" s="87" t="s">
        <v>28</v>
      </c>
      <c r="L1425" s="87" t="s">
        <v>38</v>
      </c>
      <c r="M1425" s="90">
        <f t="shared" si="135"/>
        <v>5731000000</v>
      </c>
      <c r="N1425" s="89">
        <f t="shared" si="136"/>
        <v>4548000000</v>
      </c>
      <c r="O1425" s="89">
        <f t="shared" si="137"/>
        <v>1183000000</v>
      </c>
      <c r="P1425" s="87">
        <f t="shared" si="133"/>
        <v>0.17130031856356792</v>
      </c>
      <c r="Q1425" s="87">
        <f t="shared" si="134"/>
        <v>0.82985809441065739</v>
      </c>
    </row>
    <row r="1426" spans="1:17">
      <c r="A1426" s="83">
        <v>1487</v>
      </c>
      <c r="B1426" s="83" t="s">
        <v>503</v>
      </c>
      <c r="C1426" s="83" t="s">
        <v>21</v>
      </c>
      <c r="D1426" s="84">
        <v>42698</v>
      </c>
      <c r="E1426" s="85">
        <f t="shared" si="132"/>
        <v>2016</v>
      </c>
      <c r="F1426" s="86">
        <v>4183000000</v>
      </c>
      <c r="G1426" s="86">
        <v>791000000</v>
      </c>
      <c r="H1426" s="86">
        <v>2186000000</v>
      </c>
      <c r="I1426" s="86">
        <v>722000000</v>
      </c>
      <c r="J1426" s="86">
        <v>93000000</v>
      </c>
      <c r="K1426" s="83" t="s">
        <v>28</v>
      </c>
      <c r="L1426" s="83" t="s">
        <v>38</v>
      </c>
      <c r="M1426" s="91">
        <f t="shared" si="135"/>
        <v>3392000000</v>
      </c>
      <c r="N1426" s="86">
        <f t="shared" si="136"/>
        <v>3001000000</v>
      </c>
      <c r="O1426" s="86">
        <f t="shared" si="137"/>
        <v>391000000</v>
      </c>
      <c r="P1426" s="83">
        <f t="shared" si="133"/>
        <v>9.3473583552474301E-2</v>
      </c>
      <c r="Q1426" s="83">
        <f t="shared" si="134"/>
        <v>0.81090126703322973</v>
      </c>
    </row>
    <row r="1427" spans="1:17">
      <c r="A1427" s="87">
        <v>1488</v>
      </c>
      <c r="B1427" s="87" t="s">
        <v>503</v>
      </c>
      <c r="C1427" s="87" t="s">
        <v>22</v>
      </c>
      <c r="D1427" s="84">
        <v>42699</v>
      </c>
      <c r="E1427" s="88">
        <f t="shared" si="132"/>
        <v>2016</v>
      </c>
      <c r="F1427" s="89">
        <v>3956000000</v>
      </c>
      <c r="G1427" s="89">
        <v>727000000</v>
      </c>
      <c r="H1427" s="89">
        <v>2012000000</v>
      </c>
      <c r="I1427" s="89">
        <v>812000000</v>
      </c>
      <c r="J1427" s="89">
        <v>87000000</v>
      </c>
      <c r="K1427" s="87" t="s">
        <v>28</v>
      </c>
      <c r="L1427" s="87" t="s">
        <v>38</v>
      </c>
      <c r="M1427" s="90">
        <f t="shared" si="135"/>
        <v>3229000000</v>
      </c>
      <c r="N1427" s="89">
        <f t="shared" si="136"/>
        <v>2911000000</v>
      </c>
      <c r="O1427" s="89">
        <f t="shared" si="137"/>
        <v>318000000</v>
      </c>
      <c r="P1427" s="87">
        <f t="shared" si="133"/>
        <v>8.0384226491405461E-2</v>
      </c>
      <c r="Q1427" s="87">
        <f t="shared" si="134"/>
        <v>0.8162285136501517</v>
      </c>
    </row>
    <row r="1428" spans="1:17">
      <c r="A1428" s="83">
        <v>1489</v>
      </c>
      <c r="B1428" s="83" t="s">
        <v>503</v>
      </c>
      <c r="C1428" s="83" t="s">
        <v>23</v>
      </c>
      <c r="D1428" s="84">
        <v>42700</v>
      </c>
      <c r="E1428" s="85">
        <f t="shared" si="132"/>
        <v>2016</v>
      </c>
      <c r="F1428" s="86">
        <v>3600000000</v>
      </c>
      <c r="G1428" s="86">
        <v>615000000</v>
      </c>
      <c r="H1428" s="86">
        <v>1587000000</v>
      </c>
      <c r="I1428" s="86">
        <v>748000000</v>
      </c>
      <c r="J1428" s="86">
        <v>57000000</v>
      </c>
      <c r="K1428" s="83" t="s">
        <v>28</v>
      </c>
      <c r="L1428" s="83" t="s">
        <v>38</v>
      </c>
      <c r="M1428" s="91">
        <f t="shared" si="135"/>
        <v>2985000000</v>
      </c>
      <c r="N1428" s="86">
        <f t="shared" si="136"/>
        <v>2392000000</v>
      </c>
      <c r="O1428" s="86">
        <f t="shared" si="137"/>
        <v>593000000</v>
      </c>
      <c r="P1428" s="83">
        <f t="shared" si="133"/>
        <v>0.16472222222222221</v>
      </c>
      <c r="Q1428" s="83">
        <f t="shared" si="134"/>
        <v>0.82916666666666661</v>
      </c>
    </row>
    <row r="1429" spans="1:17">
      <c r="A1429" s="87">
        <v>1490</v>
      </c>
      <c r="B1429" s="87" t="s">
        <v>504</v>
      </c>
      <c r="C1429" s="87" t="s">
        <v>18</v>
      </c>
      <c r="D1429" s="84">
        <v>42701</v>
      </c>
      <c r="E1429" s="88">
        <f t="shared" si="132"/>
        <v>2016</v>
      </c>
      <c r="F1429" s="89">
        <v>44411233000</v>
      </c>
      <c r="G1429" s="89">
        <v>36414626000</v>
      </c>
      <c r="H1429" s="89">
        <v>6338129000</v>
      </c>
      <c r="I1429" s="89">
        <v>0</v>
      </c>
      <c r="J1429" s="89">
        <v>0</v>
      </c>
      <c r="K1429" s="87" t="s">
        <v>42</v>
      </c>
      <c r="L1429" s="87" t="s">
        <v>505</v>
      </c>
      <c r="M1429" s="90">
        <f t="shared" si="135"/>
        <v>7996607000</v>
      </c>
      <c r="N1429" s="89">
        <f t="shared" si="136"/>
        <v>6338129000</v>
      </c>
      <c r="O1429" s="89">
        <f t="shared" si="137"/>
        <v>1658478000</v>
      </c>
      <c r="P1429" s="87">
        <f t="shared" si="133"/>
        <v>3.7343660330259237E-2</v>
      </c>
      <c r="Q1429" s="87">
        <f t="shared" si="134"/>
        <v>0.18005820734587574</v>
      </c>
    </row>
    <row r="1430" spans="1:17">
      <c r="A1430" s="83">
        <v>1491</v>
      </c>
      <c r="B1430" s="83" t="s">
        <v>504</v>
      </c>
      <c r="C1430" s="83" t="s">
        <v>21</v>
      </c>
      <c r="D1430" s="84">
        <v>42702</v>
      </c>
      <c r="E1430" s="85">
        <f t="shared" si="132"/>
        <v>2016</v>
      </c>
      <c r="F1430" s="86">
        <v>46516712000</v>
      </c>
      <c r="G1430" s="86">
        <v>38335677000</v>
      </c>
      <c r="H1430" s="86">
        <v>0</v>
      </c>
      <c r="I1430" s="86">
        <v>0</v>
      </c>
      <c r="J1430" s="86">
        <v>0</v>
      </c>
      <c r="K1430" s="83" t="s">
        <v>42</v>
      </c>
      <c r="L1430" s="83" t="s">
        <v>505</v>
      </c>
      <c r="M1430" s="91">
        <f t="shared" si="135"/>
        <v>8181035000</v>
      </c>
      <c r="N1430" s="86">
        <f t="shared" si="136"/>
        <v>0</v>
      </c>
      <c r="O1430" s="86">
        <f t="shared" si="137"/>
        <v>8181035000</v>
      </c>
      <c r="P1430" s="83">
        <f t="shared" si="133"/>
        <v>0.17587302817103667</v>
      </c>
      <c r="Q1430" s="83">
        <f t="shared" si="134"/>
        <v>0.17587302817103667</v>
      </c>
    </row>
    <row r="1431" spans="1:17">
      <c r="A1431" s="87">
        <v>1492</v>
      </c>
      <c r="B1431" s="87" t="s">
        <v>504</v>
      </c>
      <c r="C1431" s="87" t="s">
        <v>22</v>
      </c>
      <c r="D1431" s="84">
        <v>42703</v>
      </c>
      <c r="E1431" s="88">
        <f t="shared" si="132"/>
        <v>2016</v>
      </c>
      <c r="F1431" s="89">
        <v>48680752000</v>
      </c>
      <c r="G1431" s="89">
        <v>40129236000</v>
      </c>
      <c r="H1431" s="89">
        <v>0</v>
      </c>
      <c r="I1431" s="89">
        <v>0</v>
      </c>
      <c r="J1431" s="89">
        <v>0</v>
      </c>
      <c r="K1431" s="87" t="s">
        <v>42</v>
      </c>
      <c r="L1431" s="87" t="s">
        <v>505</v>
      </c>
      <c r="M1431" s="90">
        <f t="shared" si="135"/>
        <v>8551516000</v>
      </c>
      <c r="N1431" s="89">
        <f t="shared" si="136"/>
        <v>0</v>
      </c>
      <c r="O1431" s="89">
        <f t="shared" si="137"/>
        <v>8551516000</v>
      </c>
      <c r="P1431" s="87">
        <f t="shared" si="133"/>
        <v>0.17566524033975481</v>
      </c>
      <c r="Q1431" s="87">
        <f t="shared" si="134"/>
        <v>0.17566524033975484</v>
      </c>
    </row>
    <row r="1432" spans="1:17">
      <c r="A1432" s="83">
        <v>1493</v>
      </c>
      <c r="B1432" s="83" t="s">
        <v>504</v>
      </c>
      <c r="C1432" s="83" t="s">
        <v>23</v>
      </c>
      <c r="D1432" s="84">
        <v>42704</v>
      </c>
      <c r="E1432" s="85">
        <f t="shared" si="132"/>
        <v>2016</v>
      </c>
      <c r="F1432" s="86">
        <v>50366919000</v>
      </c>
      <c r="G1432" s="86">
        <v>41326447000</v>
      </c>
      <c r="H1432" s="86">
        <v>0</v>
      </c>
      <c r="I1432" s="86">
        <v>0</v>
      </c>
      <c r="J1432" s="86">
        <v>0</v>
      </c>
      <c r="K1432" s="83" t="s">
        <v>42</v>
      </c>
      <c r="L1432" s="83" t="s">
        <v>505</v>
      </c>
      <c r="M1432" s="91">
        <f t="shared" si="135"/>
        <v>9040472000</v>
      </c>
      <c r="N1432" s="86">
        <f t="shared" si="136"/>
        <v>0</v>
      </c>
      <c r="O1432" s="86">
        <f t="shared" si="137"/>
        <v>9040472000</v>
      </c>
      <c r="P1432" s="83">
        <f t="shared" si="133"/>
        <v>0.17949225760662471</v>
      </c>
      <c r="Q1432" s="83">
        <f t="shared" si="134"/>
        <v>0.17949225760662468</v>
      </c>
    </row>
    <row r="1433" spans="1:17">
      <c r="A1433" s="87">
        <v>1494</v>
      </c>
      <c r="B1433" s="87" t="s">
        <v>506</v>
      </c>
      <c r="C1433" s="87" t="s">
        <v>18</v>
      </c>
      <c r="D1433" s="84">
        <v>42705</v>
      </c>
      <c r="E1433" s="88">
        <f t="shared" si="132"/>
        <v>2016</v>
      </c>
      <c r="F1433" s="89">
        <v>127434000000</v>
      </c>
      <c r="G1433" s="89">
        <v>55228000000</v>
      </c>
      <c r="H1433" s="89">
        <v>41066000000</v>
      </c>
      <c r="I1433" s="89">
        <v>0</v>
      </c>
      <c r="J1433" s="89">
        <v>18143000000</v>
      </c>
      <c r="K1433" s="87" t="s">
        <v>188</v>
      </c>
      <c r="L1433" s="87" t="s">
        <v>189</v>
      </c>
      <c r="M1433" s="90">
        <f t="shared" si="135"/>
        <v>72206000000</v>
      </c>
      <c r="N1433" s="89">
        <f t="shared" si="136"/>
        <v>59209000000</v>
      </c>
      <c r="O1433" s="89">
        <f t="shared" si="137"/>
        <v>12997000000</v>
      </c>
      <c r="P1433" s="87">
        <f t="shared" si="133"/>
        <v>0.10199004975124377</v>
      </c>
      <c r="Q1433" s="87">
        <f t="shared" si="134"/>
        <v>0.56661487515105857</v>
      </c>
    </row>
    <row r="1434" spans="1:17">
      <c r="A1434" s="83">
        <v>1495</v>
      </c>
      <c r="B1434" s="83" t="s">
        <v>506</v>
      </c>
      <c r="C1434" s="83" t="s">
        <v>21</v>
      </c>
      <c r="D1434" s="84">
        <v>42706</v>
      </c>
      <c r="E1434" s="85">
        <f t="shared" si="132"/>
        <v>2016</v>
      </c>
      <c r="F1434" s="86">
        <v>128752000000</v>
      </c>
      <c r="G1434" s="86">
        <v>51191000000</v>
      </c>
      <c r="H1434" s="86">
        <v>28414000000</v>
      </c>
      <c r="I1434" s="86">
        <v>0</v>
      </c>
      <c r="J1434" s="86">
        <v>18395000000</v>
      </c>
      <c r="K1434" s="83" t="s">
        <v>188</v>
      </c>
      <c r="L1434" s="83" t="s">
        <v>189</v>
      </c>
      <c r="M1434" s="91">
        <f t="shared" si="135"/>
        <v>77561000000</v>
      </c>
      <c r="N1434" s="86">
        <f t="shared" si="136"/>
        <v>46809000000</v>
      </c>
      <c r="O1434" s="86">
        <f t="shared" si="137"/>
        <v>30752000000</v>
      </c>
      <c r="P1434" s="83">
        <f t="shared" si="133"/>
        <v>0.23884677519572511</v>
      </c>
      <c r="Q1434" s="83">
        <f t="shared" si="134"/>
        <v>0.60240617621473835</v>
      </c>
    </row>
    <row r="1435" spans="1:17">
      <c r="A1435" s="87">
        <v>1496</v>
      </c>
      <c r="B1435" s="87" t="s">
        <v>506</v>
      </c>
      <c r="C1435" s="87" t="s">
        <v>22</v>
      </c>
      <c r="D1435" s="84">
        <v>42707</v>
      </c>
      <c r="E1435" s="88">
        <f t="shared" si="132"/>
        <v>2016</v>
      </c>
      <c r="F1435" s="89">
        <v>132447000000</v>
      </c>
      <c r="G1435" s="89">
        <v>60145000000</v>
      </c>
      <c r="H1435" s="89">
        <v>41817000000</v>
      </c>
      <c r="I1435" s="89">
        <v>0</v>
      </c>
      <c r="J1435" s="89">
        <v>18273000000</v>
      </c>
      <c r="K1435" s="87" t="s">
        <v>188</v>
      </c>
      <c r="L1435" s="87" t="s">
        <v>189</v>
      </c>
      <c r="M1435" s="90">
        <f t="shared" si="135"/>
        <v>72302000000</v>
      </c>
      <c r="N1435" s="89">
        <f t="shared" si="136"/>
        <v>60090000000</v>
      </c>
      <c r="O1435" s="89">
        <f t="shared" si="137"/>
        <v>12212000000</v>
      </c>
      <c r="P1435" s="87">
        <f t="shared" si="133"/>
        <v>9.2202918903410425E-2</v>
      </c>
      <c r="Q1435" s="87">
        <f t="shared" si="134"/>
        <v>0.54589382922980512</v>
      </c>
    </row>
    <row r="1436" spans="1:17">
      <c r="A1436" s="83">
        <v>1497</v>
      </c>
      <c r="B1436" s="83" t="s">
        <v>506</v>
      </c>
      <c r="C1436" s="83" t="s">
        <v>23</v>
      </c>
      <c r="D1436" s="84">
        <v>42708</v>
      </c>
      <c r="E1436" s="85">
        <f t="shared" si="132"/>
        <v>2016</v>
      </c>
      <c r="F1436" s="86">
        <v>146801000000</v>
      </c>
      <c r="G1436" s="86">
        <v>67046000000</v>
      </c>
      <c r="H1436" s="86">
        <v>32954000000</v>
      </c>
      <c r="I1436" s="86">
        <v>0</v>
      </c>
      <c r="J1436" s="86">
        <v>22016000000</v>
      </c>
      <c r="K1436" s="83" t="s">
        <v>188</v>
      </c>
      <c r="L1436" s="83" t="s">
        <v>189</v>
      </c>
      <c r="M1436" s="91">
        <f t="shared" si="135"/>
        <v>79755000000</v>
      </c>
      <c r="N1436" s="86">
        <f t="shared" si="136"/>
        <v>54970000000</v>
      </c>
      <c r="O1436" s="86">
        <f t="shared" si="137"/>
        <v>24785000000</v>
      </c>
      <c r="P1436" s="83">
        <f t="shared" si="133"/>
        <v>0.16883399976839394</v>
      </c>
      <c r="Q1436" s="83">
        <f t="shared" si="134"/>
        <v>0.54328648987404726</v>
      </c>
    </row>
    <row r="1437" spans="1:17">
      <c r="A1437" s="87">
        <v>1498</v>
      </c>
      <c r="B1437" s="87" t="s">
        <v>507</v>
      </c>
      <c r="C1437" s="87" t="s">
        <v>18</v>
      </c>
      <c r="D1437" s="84">
        <v>42709</v>
      </c>
      <c r="E1437" s="88">
        <f t="shared" si="132"/>
        <v>2016</v>
      </c>
      <c r="F1437" s="89">
        <v>4206100000</v>
      </c>
      <c r="G1437" s="89">
        <v>2545600000</v>
      </c>
      <c r="H1437" s="89">
        <v>1193800000</v>
      </c>
      <c r="I1437" s="89">
        <v>0</v>
      </c>
      <c r="J1437" s="89">
        <v>0</v>
      </c>
      <c r="K1437" s="87" t="s">
        <v>42</v>
      </c>
      <c r="L1437" s="87" t="s">
        <v>508</v>
      </c>
      <c r="M1437" s="90">
        <f t="shared" si="135"/>
        <v>1660500000</v>
      </c>
      <c r="N1437" s="89">
        <f t="shared" si="136"/>
        <v>1193800000</v>
      </c>
      <c r="O1437" s="89">
        <f t="shared" si="137"/>
        <v>466700000</v>
      </c>
      <c r="P1437" s="87">
        <f t="shared" si="133"/>
        <v>0.11095789448657901</v>
      </c>
      <c r="Q1437" s="87">
        <f t="shared" si="134"/>
        <v>0.39478376643446422</v>
      </c>
    </row>
    <row r="1438" spans="1:17">
      <c r="A1438" s="83">
        <v>1499</v>
      </c>
      <c r="B1438" s="83" t="s">
        <v>507</v>
      </c>
      <c r="C1438" s="83" t="s">
        <v>21</v>
      </c>
      <c r="D1438" s="84">
        <v>42710</v>
      </c>
      <c r="E1438" s="85">
        <f t="shared" si="132"/>
        <v>2016</v>
      </c>
      <c r="F1438" s="86">
        <v>4146300000</v>
      </c>
      <c r="G1438" s="86">
        <v>2493300000</v>
      </c>
      <c r="H1438" s="86">
        <v>1163900000</v>
      </c>
      <c r="I1438" s="86">
        <v>0</v>
      </c>
      <c r="J1438" s="86">
        <v>0</v>
      </c>
      <c r="K1438" s="83" t="s">
        <v>42</v>
      </c>
      <c r="L1438" s="83" t="s">
        <v>508</v>
      </c>
      <c r="M1438" s="91">
        <f t="shared" si="135"/>
        <v>1653000000</v>
      </c>
      <c r="N1438" s="86">
        <f t="shared" si="136"/>
        <v>1163900000</v>
      </c>
      <c r="O1438" s="86">
        <f t="shared" si="137"/>
        <v>489100000</v>
      </c>
      <c r="P1438" s="83">
        <f t="shared" si="133"/>
        <v>0.11796059137061959</v>
      </c>
      <c r="Q1438" s="83">
        <f t="shared" si="134"/>
        <v>0.39866869256927862</v>
      </c>
    </row>
    <row r="1439" spans="1:17">
      <c r="A1439" s="87">
        <v>1500</v>
      </c>
      <c r="B1439" s="87" t="s">
        <v>507</v>
      </c>
      <c r="C1439" s="87" t="s">
        <v>22</v>
      </c>
      <c r="D1439" s="84">
        <v>42711</v>
      </c>
      <c r="E1439" s="88">
        <f t="shared" si="132"/>
        <v>2016</v>
      </c>
      <c r="F1439" s="89">
        <v>3567500000</v>
      </c>
      <c r="G1439" s="89">
        <v>2163500000</v>
      </c>
      <c r="H1439" s="89">
        <v>1051800000</v>
      </c>
      <c r="I1439" s="89">
        <v>0</v>
      </c>
      <c r="J1439" s="89">
        <v>0</v>
      </c>
      <c r="K1439" s="87" t="s">
        <v>42</v>
      </c>
      <c r="L1439" s="87" t="s">
        <v>508</v>
      </c>
      <c r="M1439" s="90">
        <f t="shared" si="135"/>
        <v>1404000000</v>
      </c>
      <c r="N1439" s="89">
        <f t="shared" si="136"/>
        <v>1051800000</v>
      </c>
      <c r="O1439" s="89">
        <f t="shared" si="137"/>
        <v>352200000</v>
      </c>
      <c r="P1439" s="87">
        <f t="shared" si="133"/>
        <v>9.8724597056762439E-2</v>
      </c>
      <c r="Q1439" s="87">
        <f t="shared" si="134"/>
        <v>0.39355290819901889</v>
      </c>
    </row>
    <row r="1440" spans="1:17">
      <c r="A1440" s="83">
        <v>1501</v>
      </c>
      <c r="B1440" s="83" t="s">
        <v>507</v>
      </c>
      <c r="C1440" s="83" t="s">
        <v>23</v>
      </c>
      <c r="D1440" s="84">
        <v>42712</v>
      </c>
      <c r="E1440" s="85">
        <f t="shared" si="132"/>
        <v>2016</v>
      </c>
      <c r="F1440" s="86">
        <v>4885000000</v>
      </c>
      <c r="G1440" s="86">
        <v>3003100000</v>
      </c>
      <c r="H1440" s="86">
        <v>1597300000</v>
      </c>
      <c r="I1440" s="86">
        <v>0</v>
      </c>
      <c r="J1440" s="86">
        <v>0</v>
      </c>
      <c r="K1440" s="83" t="s">
        <v>42</v>
      </c>
      <c r="L1440" s="83" t="s">
        <v>508</v>
      </c>
      <c r="M1440" s="91">
        <f t="shared" si="135"/>
        <v>1881900000</v>
      </c>
      <c r="N1440" s="86">
        <f t="shared" si="136"/>
        <v>1597300000</v>
      </c>
      <c r="O1440" s="86">
        <f t="shared" si="137"/>
        <v>284600000</v>
      </c>
      <c r="P1440" s="83">
        <f t="shared" si="133"/>
        <v>5.8259979529170933E-2</v>
      </c>
      <c r="Q1440" s="83">
        <f t="shared" si="134"/>
        <v>0.38524053224155574</v>
      </c>
    </row>
    <row r="1441" spans="1:17">
      <c r="A1441" s="87">
        <v>1502</v>
      </c>
      <c r="B1441" s="87" t="s">
        <v>509</v>
      </c>
      <c r="C1441" s="87" t="s">
        <v>18</v>
      </c>
      <c r="D1441" s="84">
        <v>42713</v>
      </c>
      <c r="E1441" s="88">
        <f t="shared" si="132"/>
        <v>2016</v>
      </c>
      <c r="F1441" s="89">
        <v>2665000000</v>
      </c>
      <c r="G1441" s="89">
        <v>1174000000</v>
      </c>
      <c r="H1441" s="89">
        <v>728000000</v>
      </c>
      <c r="I1441" s="89">
        <v>183000000</v>
      </c>
      <c r="J1441" s="89">
        <v>0</v>
      </c>
      <c r="K1441" s="87" t="s">
        <v>28</v>
      </c>
      <c r="L1441" s="87" t="s">
        <v>38</v>
      </c>
      <c r="M1441" s="90">
        <f t="shared" si="135"/>
        <v>1491000000</v>
      </c>
      <c r="N1441" s="89">
        <f t="shared" si="136"/>
        <v>911000000</v>
      </c>
      <c r="O1441" s="89">
        <f t="shared" si="137"/>
        <v>580000000</v>
      </c>
      <c r="P1441" s="87">
        <f t="shared" si="133"/>
        <v>0.2176360225140713</v>
      </c>
      <c r="Q1441" s="87">
        <f t="shared" si="134"/>
        <v>0.55947467166979359</v>
      </c>
    </row>
    <row r="1442" spans="1:17">
      <c r="A1442" s="83">
        <v>1503</v>
      </c>
      <c r="B1442" s="83" t="s">
        <v>509</v>
      </c>
      <c r="C1442" s="83" t="s">
        <v>21</v>
      </c>
      <c r="D1442" s="84">
        <v>42714</v>
      </c>
      <c r="E1442" s="85">
        <f t="shared" si="132"/>
        <v>2016</v>
      </c>
      <c r="F1442" s="86">
        <v>2692000000</v>
      </c>
      <c r="G1442" s="86">
        <v>1219000000</v>
      </c>
      <c r="H1442" s="86">
        <v>757000000</v>
      </c>
      <c r="I1442" s="86">
        <v>184000000</v>
      </c>
      <c r="J1442" s="86">
        <v>0</v>
      </c>
      <c r="K1442" s="83" t="s">
        <v>28</v>
      </c>
      <c r="L1442" s="83" t="s">
        <v>38</v>
      </c>
      <c r="M1442" s="91">
        <f t="shared" si="135"/>
        <v>1473000000</v>
      </c>
      <c r="N1442" s="86">
        <f t="shared" si="136"/>
        <v>941000000</v>
      </c>
      <c r="O1442" s="86">
        <f t="shared" si="137"/>
        <v>532000000</v>
      </c>
      <c r="P1442" s="83">
        <f t="shared" si="133"/>
        <v>0.1976225854383358</v>
      </c>
      <c r="Q1442" s="83">
        <f t="shared" si="134"/>
        <v>0.54717682020802383</v>
      </c>
    </row>
    <row r="1443" spans="1:17">
      <c r="A1443" s="87">
        <v>1504</v>
      </c>
      <c r="B1443" s="87" t="s">
        <v>509</v>
      </c>
      <c r="C1443" s="87" t="s">
        <v>22</v>
      </c>
      <c r="D1443" s="84">
        <v>42715</v>
      </c>
      <c r="E1443" s="88">
        <f t="shared" si="132"/>
        <v>2016</v>
      </c>
      <c r="F1443" s="89">
        <v>2732000000</v>
      </c>
      <c r="G1443" s="89">
        <v>1253000000</v>
      </c>
      <c r="H1443" s="89">
        <v>770000000</v>
      </c>
      <c r="I1443" s="89">
        <v>206000000</v>
      </c>
      <c r="J1443" s="89">
        <v>0</v>
      </c>
      <c r="K1443" s="87" t="s">
        <v>28</v>
      </c>
      <c r="L1443" s="87" t="s">
        <v>38</v>
      </c>
      <c r="M1443" s="90">
        <f t="shared" si="135"/>
        <v>1479000000</v>
      </c>
      <c r="N1443" s="89">
        <f t="shared" si="136"/>
        <v>976000000</v>
      </c>
      <c r="O1443" s="89">
        <f t="shared" si="137"/>
        <v>503000000</v>
      </c>
      <c r="P1443" s="87">
        <f t="shared" si="133"/>
        <v>0.18411420204978038</v>
      </c>
      <c r="Q1443" s="87">
        <f t="shared" si="134"/>
        <v>0.54136163982430452</v>
      </c>
    </row>
    <row r="1444" spans="1:17">
      <c r="A1444" s="83">
        <v>1505</v>
      </c>
      <c r="B1444" s="83" t="s">
        <v>509</v>
      </c>
      <c r="C1444" s="83" t="s">
        <v>23</v>
      </c>
      <c r="D1444" s="84">
        <v>42716</v>
      </c>
      <c r="E1444" s="85">
        <f t="shared" si="132"/>
        <v>2016</v>
      </c>
      <c r="F1444" s="86">
        <v>2530000000</v>
      </c>
      <c r="G1444" s="86">
        <v>1254000000</v>
      </c>
      <c r="H1444" s="86">
        <v>765000000</v>
      </c>
      <c r="I1444" s="86">
        <v>228000000</v>
      </c>
      <c r="J1444" s="86">
        <v>0</v>
      </c>
      <c r="K1444" s="83" t="s">
        <v>28</v>
      </c>
      <c r="L1444" s="83" t="s">
        <v>38</v>
      </c>
      <c r="M1444" s="91">
        <f t="shared" si="135"/>
        <v>1276000000</v>
      </c>
      <c r="N1444" s="86">
        <f t="shared" si="136"/>
        <v>993000000</v>
      </c>
      <c r="O1444" s="86">
        <f t="shared" si="137"/>
        <v>283000000</v>
      </c>
      <c r="P1444" s="83">
        <f t="shared" si="133"/>
        <v>0.11185770750988143</v>
      </c>
      <c r="Q1444" s="83">
        <f t="shared" si="134"/>
        <v>0.5043478260869565</v>
      </c>
    </row>
    <row r="1445" spans="1:17">
      <c r="A1445" s="87">
        <v>1506</v>
      </c>
      <c r="B1445" s="87" t="s">
        <v>510</v>
      </c>
      <c r="C1445" s="87" t="s">
        <v>18</v>
      </c>
      <c r="D1445" s="84">
        <v>42717</v>
      </c>
      <c r="E1445" s="88">
        <f t="shared" si="132"/>
        <v>2016</v>
      </c>
      <c r="F1445" s="89">
        <v>1924400000</v>
      </c>
      <c r="G1445" s="89">
        <v>874838000</v>
      </c>
      <c r="H1445" s="89">
        <v>254468000</v>
      </c>
      <c r="I1445" s="89">
        <v>0</v>
      </c>
      <c r="J1445" s="89">
        <v>45639000</v>
      </c>
      <c r="K1445" s="87" t="s">
        <v>19</v>
      </c>
      <c r="L1445" s="87" t="s">
        <v>97</v>
      </c>
      <c r="M1445" s="90">
        <f t="shared" si="135"/>
        <v>1049562000</v>
      </c>
      <c r="N1445" s="89">
        <f t="shared" si="136"/>
        <v>300107000</v>
      </c>
      <c r="O1445" s="89">
        <f t="shared" si="137"/>
        <v>749455000</v>
      </c>
      <c r="P1445" s="87">
        <f t="shared" si="133"/>
        <v>0.3894486593223862</v>
      </c>
      <c r="Q1445" s="87">
        <f t="shared" si="134"/>
        <v>0.54539700685928083</v>
      </c>
    </row>
    <row r="1446" spans="1:17">
      <c r="A1446" s="83">
        <v>1507</v>
      </c>
      <c r="B1446" s="83" t="s">
        <v>510</v>
      </c>
      <c r="C1446" s="83" t="s">
        <v>21</v>
      </c>
      <c r="D1446" s="84">
        <v>42718</v>
      </c>
      <c r="E1446" s="85">
        <f t="shared" si="132"/>
        <v>2016</v>
      </c>
      <c r="F1446" s="86">
        <v>2372906000</v>
      </c>
      <c r="G1446" s="86">
        <v>1105032000</v>
      </c>
      <c r="H1446" s="86">
        <v>276446000</v>
      </c>
      <c r="I1446" s="86">
        <v>0</v>
      </c>
      <c r="J1446" s="86">
        <v>63608000</v>
      </c>
      <c r="K1446" s="83" t="s">
        <v>19</v>
      </c>
      <c r="L1446" s="83" t="s">
        <v>97</v>
      </c>
      <c r="M1446" s="91">
        <f t="shared" si="135"/>
        <v>1267874000</v>
      </c>
      <c r="N1446" s="86">
        <f t="shared" si="136"/>
        <v>340054000</v>
      </c>
      <c r="O1446" s="86">
        <f t="shared" si="137"/>
        <v>927820000</v>
      </c>
      <c r="P1446" s="83">
        <f t="shared" si="133"/>
        <v>0.39100579626837306</v>
      </c>
      <c r="Q1446" s="83">
        <f t="shared" si="134"/>
        <v>0.53431277935156296</v>
      </c>
    </row>
    <row r="1447" spans="1:17">
      <c r="A1447" s="87">
        <v>1508</v>
      </c>
      <c r="B1447" s="87" t="s">
        <v>510</v>
      </c>
      <c r="C1447" s="87" t="s">
        <v>22</v>
      </c>
      <c r="D1447" s="84">
        <v>42719</v>
      </c>
      <c r="E1447" s="88">
        <f t="shared" si="132"/>
        <v>2016</v>
      </c>
      <c r="F1447" s="89">
        <v>2707115000</v>
      </c>
      <c r="G1447" s="89">
        <v>1257270000</v>
      </c>
      <c r="H1447" s="89">
        <v>321624000</v>
      </c>
      <c r="I1447" s="89">
        <v>0</v>
      </c>
      <c r="J1447" s="89">
        <v>54219000</v>
      </c>
      <c r="K1447" s="87" t="s">
        <v>19</v>
      </c>
      <c r="L1447" s="87" t="s">
        <v>97</v>
      </c>
      <c r="M1447" s="90">
        <f t="shared" si="135"/>
        <v>1449845000</v>
      </c>
      <c r="N1447" s="89">
        <f t="shared" si="136"/>
        <v>375843000</v>
      </c>
      <c r="O1447" s="89">
        <f t="shared" si="137"/>
        <v>1074002000</v>
      </c>
      <c r="P1447" s="87">
        <f t="shared" si="133"/>
        <v>0.39673305345358434</v>
      </c>
      <c r="Q1447" s="87">
        <f t="shared" si="134"/>
        <v>0.5355683079588418</v>
      </c>
    </row>
    <row r="1448" spans="1:17">
      <c r="A1448" s="83">
        <v>1509</v>
      </c>
      <c r="B1448" s="83" t="s">
        <v>510</v>
      </c>
      <c r="C1448" s="83" t="s">
        <v>23</v>
      </c>
      <c r="D1448" s="84">
        <v>42720</v>
      </c>
      <c r="E1448" s="85">
        <f t="shared" si="132"/>
        <v>2016</v>
      </c>
      <c r="F1448" s="86">
        <v>3171411000</v>
      </c>
      <c r="G1448" s="86">
        <v>1443348000</v>
      </c>
      <c r="H1448" s="86">
        <v>382858000</v>
      </c>
      <c r="I1448" s="86">
        <v>0</v>
      </c>
      <c r="J1448" s="86">
        <v>77445000</v>
      </c>
      <c r="K1448" s="83" t="s">
        <v>19</v>
      </c>
      <c r="L1448" s="83" t="s">
        <v>97</v>
      </c>
      <c r="M1448" s="91">
        <f t="shared" si="135"/>
        <v>1728063000</v>
      </c>
      <c r="N1448" s="86">
        <f t="shared" si="136"/>
        <v>460303000</v>
      </c>
      <c r="O1448" s="86">
        <f t="shared" si="137"/>
        <v>1267760000</v>
      </c>
      <c r="P1448" s="83">
        <f t="shared" si="133"/>
        <v>0.39974635895505189</v>
      </c>
      <c r="Q1448" s="83">
        <f t="shared" si="134"/>
        <v>0.54488774870239154</v>
      </c>
    </row>
    <row r="1449" spans="1:17">
      <c r="A1449" s="87">
        <v>1510</v>
      </c>
      <c r="B1449" s="87" t="s">
        <v>511</v>
      </c>
      <c r="C1449" s="87" t="s">
        <v>18</v>
      </c>
      <c r="D1449" s="84">
        <v>42721</v>
      </c>
      <c r="E1449" s="88">
        <f t="shared" si="132"/>
        <v>2016</v>
      </c>
      <c r="F1449" s="89">
        <v>11390000000</v>
      </c>
      <c r="G1449" s="89">
        <v>7739000000</v>
      </c>
      <c r="H1449" s="89">
        <v>1440000000</v>
      </c>
      <c r="I1449" s="89">
        <v>590000000</v>
      </c>
      <c r="J1449" s="89">
        <v>0</v>
      </c>
      <c r="K1449" s="87" t="s">
        <v>28</v>
      </c>
      <c r="L1449" s="87" t="s">
        <v>512</v>
      </c>
      <c r="M1449" s="90">
        <f t="shared" si="135"/>
        <v>3651000000</v>
      </c>
      <c r="N1449" s="89">
        <f t="shared" si="136"/>
        <v>2030000000</v>
      </c>
      <c r="O1449" s="89">
        <f t="shared" si="137"/>
        <v>1621000000</v>
      </c>
      <c r="P1449" s="87">
        <f t="shared" si="133"/>
        <v>0.14231782265144863</v>
      </c>
      <c r="Q1449" s="87">
        <f t="shared" si="134"/>
        <v>0.32054433713784025</v>
      </c>
    </row>
    <row r="1450" spans="1:17">
      <c r="A1450" s="83">
        <v>1511</v>
      </c>
      <c r="B1450" s="83" t="s">
        <v>511</v>
      </c>
      <c r="C1450" s="83" t="s">
        <v>21</v>
      </c>
      <c r="D1450" s="84">
        <v>42722</v>
      </c>
      <c r="E1450" s="85">
        <f t="shared" si="132"/>
        <v>2016</v>
      </c>
      <c r="F1450" s="86">
        <v>11973000000</v>
      </c>
      <c r="G1450" s="86">
        <v>8001000000</v>
      </c>
      <c r="H1450" s="86">
        <v>1534000000</v>
      </c>
      <c r="I1450" s="86">
        <v>583000000</v>
      </c>
      <c r="J1450" s="86">
        <v>0</v>
      </c>
      <c r="K1450" s="83" t="s">
        <v>28</v>
      </c>
      <c r="L1450" s="83" t="s">
        <v>512</v>
      </c>
      <c r="M1450" s="91">
        <f t="shared" si="135"/>
        <v>3972000000</v>
      </c>
      <c r="N1450" s="86">
        <f t="shared" si="136"/>
        <v>2117000000</v>
      </c>
      <c r="O1450" s="86">
        <f t="shared" si="137"/>
        <v>1855000000</v>
      </c>
      <c r="P1450" s="83">
        <f t="shared" si="133"/>
        <v>0.15493193017622986</v>
      </c>
      <c r="Q1450" s="83">
        <f t="shared" si="134"/>
        <v>0.33174642946629918</v>
      </c>
    </row>
    <row r="1451" spans="1:17">
      <c r="A1451" s="87">
        <v>1512</v>
      </c>
      <c r="B1451" s="87" t="s">
        <v>511</v>
      </c>
      <c r="C1451" s="87" t="s">
        <v>22</v>
      </c>
      <c r="D1451" s="84">
        <v>42723</v>
      </c>
      <c r="E1451" s="88">
        <f t="shared" si="132"/>
        <v>2016</v>
      </c>
      <c r="F1451" s="89">
        <v>12233000000</v>
      </c>
      <c r="G1451" s="89">
        <v>8146000000</v>
      </c>
      <c r="H1451" s="89">
        <v>1504000000</v>
      </c>
      <c r="I1451" s="89">
        <v>627000000</v>
      </c>
      <c r="J1451" s="89">
        <v>0</v>
      </c>
      <c r="K1451" s="87" t="s">
        <v>28</v>
      </c>
      <c r="L1451" s="87" t="s">
        <v>512</v>
      </c>
      <c r="M1451" s="90">
        <f t="shared" si="135"/>
        <v>4087000000</v>
      </c>
      <c r="N1451" s="89">
        <f t="shared" si="136"/>
        <v>2131000000</v>
      </c>
      <c r="O1451" s="89">
        <f t="shared" si="137"/>
        <v>1956000000</v>
      </c>
      <c r="P1451" s="87">
        <f t="shared" si="133"/>
        <v>0.15989536499632143</v>
      </c>
      <c r="Q1451" s="87">
        <f t="shared" si="134"/>
        <v>0.33409629690182296</v>
      </c>
    </row>
    <row r="1452" spans="1:17">
      <c r="A1452" s="83">
        <v>1513</v>
      </c>
      <c r="B1452" s="83" t="s">
        <v>511</v>
      </c>
      <c r="C1452" s="83" t="s">
        <v>23</v>
      </c>
      <c r="D1452" s="84">
        <v>42724</v>
      </c>
      <c r="E1452" s="85">
        <f t="shared" si="132"/>
        <v>2016</v>
      </c>
      <c r="F1452" s="86">
        <v>12238000000</v>
      </c>
      <c r="G1452" s="86">
        <v>8205000000</v>
      </c>
      <c r="H1452" s="86">
        <v>1463000000</v>
      </c>
      <c r="I1452" s="86">
        <v>644000000</v>
      </c>
      <c r="J1452" s="86">
        <v>0</v>
      </c>
      <c r="K1452" s="83" t="s">
        <v>28</v>
      </c>
      <c r="L1452" s="83" t="s">
        <v>512</v>
      </c>
      <c r="M1452" s="91">
        <f t="shared" si="135"/>
        <v>4033000000</v>
      </c>
      <c r="N1452" s="86">
        <f t="shared" si="136"/>
        <v>2107000000</v>
      </c>
      <c r="O1452" s="86">
        <f t="shared" si="137"/>
        <v>1926000000</v>
      </c>
      <c r="P1452" s="83">
        <f t="shared" si="133"/>
        <v>0.15737865664324235</v>
      </c>
      <c r="Q1452" s="83">
        <f t="shared" si="134"/>
        <v>0.32954731165223072</v>
      </c>
    </row>
    <row r="1453" spans="1:17">
      <c r="A1453" s="87">
        <v>1514</v>
      </c>
      <c r="B1453" s="87" t="s">
        <v>513</v>
      </c>
      <c r="C1453" s="87" t="s">
        <v>18</v>
      </c>
      <c r="D1453" s="84">
        <v>42725</v>
      </c>
      <c r="E1453" s="88">
        <f t="shared" si="132"/>
        <v>2016</v>
      </c>
      <c r="F1453" s="89">
        <v>5353197000</v>
      </c>
      <c r="G1453" s="89">
        <v>2943847000</v>
      </c>
      <c r="H1453" s="89">
        <v>1303427000</v>
      </c>
      <c r="I1453" s="89">
        <v>0</v>
      </c>
      <c r="J1453" s="89">
        <v>194039000</v>
      </c>
      <c r="K1453" s="87" t="s">
        <v>25</v>
      </c>
      <c r="L1453" s="87" t="s">
        <v>514</v>
      </c>
      <c r="M1453" s="90">
        <f t="shared" si="135"/>
        <v>2409350000</v>
      </c>
      <c r="N1453" s="89">
        <f t="shared" si="136"/>
        <v>1497466000</v>
      </c>
      <c r="O1453" s="89">
        <f t="shared" si="137"/>
        <v>911884000</v>
      </c>
      <c r="P1453" s="87">
        <f t="shared" si="133"/>
        <v>0.17034381510712196</v>
      </c>
      <c r="Q1453" s="87">
        <f t="shared" si="134"/>
        <v>0.45007684193202679</v>
      </c>
    </row>
    <row r="1454" spans="1:17">
      <c r="A1454" s="83">
        <v>1515</v>
      </c>
      <c r="B1454" s="83" t="s">
        <v>513</v>
      </c>
      <c r="C1454" s="83" t="s">
        <v>21</v>
      </c>
      <c r="D1454" s="84">
        <v>42726</v>
      </c>
      <c r="E1454" s="85">
        <f t="shared" si="132"/>
        <v>2016</v>
      </c>
      <c r="F1454" s="86">
        <v>1603123000</v>
      </c>
      <c r="G1454" s="86">
        <v>662769000</v>
      </c>
      <c r="H1454" s="86">
        <v>531932000</v>
      </c>
      <c r="I1454" s="86">
        <v>0</v>
      </c>
      <c r="J1454" s="86">
        <v>74833000</v>
      </c>
      <c r="K1454" s="83" t="s">
        <v>25</v>
      </c>
      <c r="L1454" s="83" t="s">
        <v>514</v>
      </c>
      <c r="M1454" s="91">
        <f t="shared" si="135"/>
        <v>940354000</v>
      </c>
      <c r="N1454" s="86">
        <f t="shared" si="136"/>
        <v>606765000</v>
      </c>
      <c r="O1454" s="86">
        <f t="shared" si="137"/>
        <v>333589000</v>
      </c>
      <c r="P1454" s="83">
        <f t="shared" si="133"/>
        <v>0.2080869652546935</v>
      </c>
      <c r="Q1454" s="83">
        <f t="shared" si="134"/>
        <v>0.58657632633303869</v>
      </c>
    </row>
    <row r="1455" spans="1:17">
      <c r="A1455" s="87">
        <v>1516</v>
      </c>
      <c r="B1455" s="87" t="s">
        <v>513</v>
      </c>
      <c r="C1455" s="87" t="s">
        <v>22</v>
      </c>
      <c r="D1455" s="84">
        <v>42727</v>
      </c>
      <c r="E1455" s="88">
        <f t="shared" si="132"/>
        <v>2016</v>
      </c>
      <c r="F1455" s="89">
        <v>2626141000</v>
      </c>
      <c r="G1455" s="89">
        <v>954990000</v>
      </c>
      <c r="H1455" s="89">
        <v>766854000</v>
      </c>
      <c r="I1455" s="89">
        <v>0</v>
      </c>
      <c r="J1455" s="89">
        <v>151837000</v>
      </c>
      <c r="K1455" s="87" t="s">
        <v>25</v>
      </c>
      <c r="L1455" s="87" t="s">
        <v>514</v>
      </c>
      <c r="M1455" s="90">
        <f t="shared" si="135"/>
        <v>1671151000</v>
      </c>
      <c r="N1455" s="89">
        <f t="shared" si="136"/>
        <v>918691000</v>
      </c>
      <c r="O1455" s="89">
        <f t="shared" si="137"/>
        <v>752460000</v>
      </c>
      <c r="P1455" s="87">
        <f t="shared" si="133"/>
        <v>0.28652688488546502</v>
      </c>
      <c r="Q1455" s="87">
        <f t="shared" si="134"/>
        <v>0.63635235122561973</v>
      </c>
    </row>
    <row r="1456" spans="1:17">
      <c r="A1456" s="83">
        <v>1517</v>
      </c>
      <c r="B1456" s="83" t="s">
        <v>513</v>
      </c>
      <c r="C1456" s="83" t="s">
        <v>23</v>
      </c>
      <c r="D1456" s="84">
        <v>42728</v>
      </c>
      <c r="E1456" s="85">
        <f t="shared" si="132"/>
        <v>2016</v>
      </c>
      <c r="F1456" s="86">
        <v>3050945000</v>
      </c>
      <c r="G1456" s="86">
        <v>923336000</v>
      </c>
      <c r="H1456" s="86">
        <v>1068221000</v>
      </c>
      <c r="I1456" s="86">
        <v>0</v>
      </c>
      <c r="J1456" s="86">
        <v>205087000</v>
      </c>
      <c r="K1456" s="83" t="s">
        <v>25</v>
      </c>
      <c r="L1456" s="83" t="s">
        <v>514</v>
      </c>
      <c r="M1456" s="91">
        <f t="shared" si="135"/>
        <v>2127609000</v>
      </c>
      <c r="N1456" s="86">
        <f t="shared" si="136"/>
        <v>1273308000</v>
      </c>
      <c r="O1456" s="86">
        <f t="shared" si="137"/>
        <v>854301000</v>
      </c>
      <c r="P1456" s="83">
        <f t="shared" si="133"/>
        <v>0.28001193072965919</v>
      </c>
      <c r="Q1456" s="83">
        <f t="shared" si="134"/>
        <v>0.69736065383020673</v>
      </c>
    </row>
    <row r="1457" spans="1:17">
      <c r="A1457" s="87">
        <v>1518</v>
      </c>
      <c r="B1457" s="87" t="s">
        <v>515</v>
      </c>
      <c r="C1457" s="87" t="s">
        <v>18</v>
      </c>
      <c r="D1457" s="84">
        <v>42729</v>
      </c>
      <c r="E1457" s="88">
        <f t="shared" si="132"/>
        <v>2016</v>
      </c>
      <c r="F1457" s="89">
        <v>73301000000</v>
      </c>
      <c r="G1457" s="89">
        <v>50568000000</v>
      </c>
      <c r="H1457" s="89">
        <v>15110000000</v>
      </c>
      <c r="I1457" s="89">
        <v>0</v>
      </c>
      <c r="J1457" s="89">
        <v>2044000000</v>
      </c>
      <c r="K1457" s="87" t="s">
        <v>25</v>
      </c>
      <c r="L1457" s="87" t="s">
        <v>203</v>
      </c>
      <c r="M1457" s="90">
        <f t="shared" si="135"/>
        <v>22733000000</v>
      </c>
      <c r="N1457" s="89">
        <f t="shared" si="136"/>
        <v>17154000000</v>
      </c>
      <c r="O1457" s="89">
        <f t="shared" si="137"/>
        <v>5579000000</v>
      </c>
      <c r="P1457" s="87">
        <f t="shared" si="133"/>
        <v>7.6110830684438135E-2</v>
      </c>
      <c r="Q1457" s="87">
        <f t="shared" si="134"/>
        <v>0.31013219464945907</v>
      </c>
    </row>
    <row r="1458" spans="1:17">
      <c r="A1458" s="83">
        <v>1519</v>
      </c>
      <c r="B1458" s="83" t="s">
        <v>515</v>
      </c>
      <c r="C1458" s="83" t="s">
        <v>21</v>
      </c>
      <c r="D1458" s="84">
        <v>42730</v>
      </c>
      <c r="E1458" s="85">
        <f t="shared" si="132"/>
        <v>2016</v>
      </c>
      <c r="F1458" s="86">
        <v>71279000000</v>
      </c>
      <c r="G1458" s="86">
        <v>50039000000</v>
      </c>
      <c r="H1458" s="86">
        <v>14465000000</v>
      </c>
      <c r="I1458" s="86">
        <v>0</v>
      </c>
      <c r="J1458" s="86">
        <v>1996000000</v>
      </c>
      <c r="K1458" s="83" t="s">
        <v>25</v>
      </c>
      <c r="L1458" s="83" t="s">
        <v>203</v>
      </c>
      <c r="M1458" s="91">
        <f t="shared" si="135"/>
        <v>21240000000</v>
      </c>
      <c r="N1458" s="86">
        <f t="shared" si="136"/>
        <v>16461000000</v>
      </c>
      <c r="O1458" s="86">
        <f t="shared" si="137"/>
        <v>4779000000</v>
      </c>
      <c r="P1458" s="83">
        <f t="shared" si="133"/>
        <v>6.7046395151447127E-2</v>
      </c>
      <c r="Q1458" s="83">
        <f t="shared" si="134"/>
        <v>0.2979839784508761</v>
      </c>
    </row>
    <row r="1459" spans="1:17">
      <c r="A1459" s="87">
        <v>1520</v>
      </c>
      <c r="B1459" s="87" t="s">
        <v>515</v>
      </c>
      <c r="C1459" s="87" t="s">
        <v>22</v>
      </c>
      <c r="D1459" s="84">
        <v>42731</v>
      </c>
      <c r="E1459" s="88">
        <f t="shared" si="132"/>
        <v>2016</v>
      </c>
      <c r="F1459" s="89">
        <v>72618000000</v>
      </c>
      <c r="G1459" s="89">
        <v>51278000000</v>
      </c>
      <c r="H1459" s="89">
        <v>14676000000</v>
      </c>
      <c r="I1459" s="89">
        <v>0</v>
      </c>
      <c r="J1459" s="89">
        <v>2129000000</v>
      </c>
      <c r="K1459" s="87" t="s">
        <v>25</v>
      </c>
      <c r="L1459" s="87" t="s">
        <v>203</v>
      </c>
      <c r="M1459" s="90">
        <f t="shared" si="135"/>
        <v>21340000000</v>
      </c>
      <c r="N1459" s="89">
        <f t="shared" si="136"/>
        <v>16805000000</v>
      </c>
      <c r="O1459" s="89">
        <f t="shared" si="137"/>
        <v>4535000000</v>
      </c>
      <c r="P1459" s="87">
        <f t="shared" si="133"/>
        <v>6.2450081247073727E-2</v>
      </c>
      <c r="Q1459" s="87">
        <f t="shared" si="134"/>
        <v>0.29386653446803823</v>
      </c>
    </row>
    <row r="1460" spans="1:17">
      <c r="A1460" s="83">
        <v>1521</v>
      </c>
      <c r="B1460" s="83" t="s">
        <v>515</v>
      </c>
      <c r="C1460" s="83" t="s">
        <v>23</v>
      </c>
      <c r="D1460" s="84">
        <v>42732</v>
      </c>
      <c r="E1460" s="85">
        <f t="shared" si="132"/>
        <v>2016</v>
      </c>
      <c r="F1460" s="86">
        <v>73785000000</v>
      </c>
      <c r="G1460" s="86">
        <v>51997000000</v>
      </c>
      <c r="H1460" s="86">
        <v>14665000000</v>
      </c>
      <c r="I1460" s="86">
        <v>0</v>
      </c>
      <c r="J1460" s="86">
        <v>2213000000</v>
      </c>
      <c r="K1460" s="83" t="s">
        <v>25</v>
      </c>
      <c r="L1460" s="83" t="s">
        <v>203</v>
      </c>
      <c r="M1460" s="91">
        <f t="shared" si="135"/>
        <v>21788000000</v>
      </c>
      <c r="N1460" s="86">
        <f t="shared" si="136"/>
        <v>16878000000</v>
      </c>
      <c r="O1460" s="86">
        <f t="shared" si="137"/>
        <v>4910000000</v>
      </c>
      <c r="P1460" s="83">
        <f t="shared" si="133"/>
        <v>6.6544690655282235E-2</v>
      </c>
      <c r="Q1460" s="83">
        <f t="shared" si="134"/>
        <v>0.29529037067154573</v>
      </c>
    </row>
    <row r="1461" spans="1:17">
      <c r="A1461" s="87">
        <v>1522</v>
      </c>
      <c r="B1461" s="87" t="s">
        <v>516</v>
      </c>
      <c r="C1461" s="87" t="s">
        <v>18</v>
      </c>
      <c r="D1461" s="84">
        <v>42733</v>
      </c>
      <c r="E1461" s="88">
        <f t="shared" si="132"/>
        <v>2016</v>
      </c>
      <c r="F1461" s="89">
        <v>3794249000</v>
      </c>
      <c r="G1461" s="89">
        <v>1630965000</v>
      </c>
      <c r="H1461" s="89">
        <v>1466067000</v>
      </c>
      <c r="I1461" s="89">
        <v>0</v>
      </c>
      <c r="J1461" s="89">
        <v>0</v>
      </c>
      <c r="K1461" s="87" t="s">
        <v>25</v>
      </c>
      <c r="L1461" s="87" t="s">
        <v>295</v>
      </c>
      <c r="M1461" s="90">
        <f t="shared" si="135"/>
        <v>2163284000</v>
      </c>
      <c r="N1461" s="89">
        <f t="shared" si="136"/>
        <v>1466067000</v>
      </c>
      <c r="O1461" s="89">
        <f t="shared" si="137"/>
        <v>697217000</v>
      </c>
      <c r="P1461" s="87">
        <f t="shared" si="133"/>
        <v>0.18375625848488067</v>
      </c>
      <c r="Q1461" s="87">
        <f t="shared" si="134"/>
        <v>0.57014813735208203</v>
      </c>
    </row>
    <row r="1462" spans="1:17">
      <c r="A1462" s="83">
        <v>1523</v>
      </c>
      <c r="B1462" s="83" t="s">
        <v>516</v>
      </c>
      <c r="C1462" s="83" t="s">
        <v>21</v>
      </c>
      <c r="D1462" s="84">
        <v>42734</v>
      </c>
      <c r="E1462" s="85">
        <f t="shared" si="132"/>
        <v>2016</v>
      </c>
      <c r="F1462" s="86">
        <v>4031100000</v>
      </c>
      <c r="G1462" s="86">
        <v>1690700000</v>
      </c>
      <c r="H1462" s="86">
        <v>2036100000</v>
      </c>
      <c r="I1462" s="86">
        <v>0</v>
      </c>
      <c r="J1462" s="86">
        <v>0</v>
      </c>
      <c r="K1462" s="83" t="s">
        <v>25</v>
      </c>
      <c r="L1462" s="83" t="s">
        <v>295</v>
      </c>
      <c r="M1462" s="91">
        <f t="shared" si="135"/>
        <v>2340400000</v>
      </c>
      <c r="N1462" s="86">
        <f t="shared" si="136"/>
        <v>2036100000</v>
      </c>
      <c r="O1462" s="86">
        <f t="shared" si="137"/>
        <v>304300000</v>
      </c>
      <c r="P1462" s="83">
        <f t="shared" si="133"/>
        <v>7.5488080176626726E-2</v>
      </c>
      <c r="Q1462" s="83">
        <f t="shared" si="134"/>
        <v>0.58058594428319821</v>
      </c>
    </row>
    <row r="1463" spans="1:17">
      <c r="A1463" s="87">
        <v>1524</v>
      </c>
      <c r="B1463" s="87" t="s">
        <v>516</v>
      </c>
      <c r="C1463" s="87" t="s">
        <v>22</v>
      </c>
      <c r="D1463" s="84">
        <v>42735</v>
      </c>
      <c r="E1463" s="88">
        <f t="shared" si="132"/>
        <v>2016</v>
      </c>
      <c r="F1463" s="89">
        <v>4249900000</v>
      </c>
      <c r="G1463" s="89">
        <v>1712700000</v>
      </c>
      <c r="H1463" s="89">
        <v>1645800000</v>
      </c>
      <c r="I1463" s="89">
        <v>0</v>
      </c>
      <c r="J1463" s="89">
        <v>0</v>
      </c>
      <c r="K1463" s="87" t="s">
        <v>25</v>
      </c>
      <c r="L1463" s="87" t="s">
        <v>295</v>
      </c>
      <c r="M1463" s="90">
        <f t="shared" si="135"/>
        <v>2537200000</v>
      </c>
      <c r="N1463" s="89">
        <f t="shared" si="136"/>
        <v>1645800000</v>
      </c>
      <c r="O1463" s="89">
        <f t="shared" si="137"/>
        <v>891400000</v>
      </c>
      <c r="P1463" s="87">
        <f t="shared" si="133"/>
        <v>0.20974611167321583</v>
      </c>
      <c r="Q1463" s="87">
        <f t="shared" si="134"/>
        <v>0.59700228240664488</v>
      </c>
    </row>
    <row r="1464" spans="1:17">
      <c r="A1464" s="83">
        <v>1525</v>
      </c>
      <c r="B1464" s="83" t="s">
        <v>516</v>
      </c>
      <c r="C1464" s="83" t="s">
        <v>23</v>
      </c>
      <c r="D1464" s="84">
        <v>42736</v>
      </c>
      <c r="E1464" s="85">
        <f t="shared" si="132"/>
        <v>2017</v>
      </c>
      <c r="F1464" s="86">
        <v>4104900000</v>
      </c>
      <c r="G1464" s="86">
        <v>1613600000</v>
      </c>
      <c r="H1464" s="86">
        <v>1731200000</v>
      </c>
      <c r="I1464" s="86">
        <v>0</v>
      </c>
      <c r="J1464" s="86">
        <v>0</v>
      </c>
      <c r="K1464" s="83" t="s">
        <v>25</v>
      </c>
      <c r="L1464" s="83" t="s">
        <v>295</v>
      </c>
      <c r="M1464" s="91">
        <f t="shared" si="135"/>
        <v>2491300000</v>
      </c>
      <c r="N1464" s="86">
        <f t="shared" si="136"/>
        <v>1731200000</v>
      </c>
      <c r="O1464" s="86">
        <f t="shared" si="137"/>
        <v>760100000</v>
      </c>
      <c r="P1464" s="83">
        <f t="shared" si="133"/>
        <v>0.18516894443226389</v>
      </c>
      <c r="Q1464" s="83">
        <f t="shared" si="134"/>
        <v>0.60690881629272331</v>
      </c>
    </row>
    <row r="1465" spans="1:17">
      <c r="A1465" s="87">
        <v>1526</v>
      </c>
      <c r="B1465" s="87" t="s">
        <v>517</v>
      </c>
      <c r="C1465" s="87" t="s">
        <v>18</v>
      </c>
      <c r="D1465" s="84">
        <v>42737</v>
      </c>
      <c r="E1465" s="88">
        <f t="shared" si="132"/>
        <v>2017</v>
      </c>
      <c r="F1465" s="89">
        <v>25878372000</v>
      </c>
      <c r="G1465" s="89">
        <v>18521400000</v>
      </c>
      <c r="H1465" s="89">
        <v>4250446000</v>
      </c>
      <c r="I1465" s="89">
        <v>0</v>
      </c>
      <c r="J1465" s="89">
        <v>0</v>
      </c>
      <c r="K1465" s="87" t="s">
        <v>25</v>
      </c>
      <c r="L1465" s="87" t="s">
        <v>263</v>
      </c>
      <c r="M1465" s="90">
        <f t="shared" si="135"/>
        <v>7356972000</v>
      </c>
      <c r="N1465" s="89">
        <f t="shared" si="136"/>
        <v>4250446000</v>
      </c>
      <c r="O1465" s="89">
        <f t="shared" si="137"/>
        <v>3106526000</v>
      </c>
      <c r="P1465" s="87">
        <f t="shared" si="133"/>
        <v>0.1200433319375732</v>
      </c>
      <c r="Q1465" s="87">
        <f t="shared" si="134"/>
        <v>0.28429037189820128</v>
      </c>
    </row>
    <row r="1466" spans="1:17">
      <c r="A1466" s="83">
        <v>1527</v>
      </c>
      <c r="B1466" s="83" t="s">
        <v>517</v>
      </c>
      <c r="C1466" s="83" t="s">
        <v>21</v>
      </c>
      <c r="D1466" s="84">
        <v>42738</v>
      </c>
      <c r="E1466" s="85">
        <f t="shared" si="132"/>
        <v>2017</v>
      </c>
      <c r="F1466" s="86">
        <v>27422696000</v>
      </c>
      <c r="G1466" s="86">
        <v>19605037000</v>
      </c>
      <c r="H1466" s="86">
        <v>4467089000</v>
      </c>
      <c r="I1466" s="86">
        <v>0</v>
      </c>
      <c r="J1466" s="86">
        <v>0</v>
      </c>
      <c r="K1466" s="83" t="s">
        <v>25</v>
      </c>
      <c r="L1466" s="83" t="s">
        <v>263</v>
      </c>
      <c r="M1466" s="91">
        <f t="shared" si="135"/>
        <v>7817659000</v>
      </c>
      <c r="N1466" s="86">
        <f t="shared" si="136"/>
        <v>4467089000</v>
      </c>
      <c r="O1466" s="86">
        <f t="shared" si="137"/>
        <v>3350570000</v>
      </c>
      <c r="P1466" s="83">
        <f t="shared" si="133"/>
        <v>0.12218237039859246</v>
      </c>
      <c r="Q1466" s="83">
        <f t="shared" si="134"/>
        <v>0.2850798841951937</v>
      </c>
    </row>
    <row r="1467" spans="1:17">
      <c r="A1467" s="87">
        <v>1528</v>
      </c>
      <c r="B1467" s="87" t="s">
        <v>517</v>
      </c>
      <c r="C1467" s="87" t="s">
        <v>22</v>
      </c>
      <c r="D1467" s="84">
        <v>42739</v>
      </c>
      <c r="E1467" s="88">
        <f t="shared" si="132"/>
        <v>2017</v>
      </c>
      <c r="F1467" s="89">
        <v>29078407000</v>
      </c>
      <c r="G1467" s="89">
        <v>20776522000</v>
      </c>
      <c r="H1467" s="89">
        <v>4695384000</v>
      </c>
      <c r="I1467" s="89">
        <v>0</v>
      </c>
      <c r="J1467" s="89">
        <v>0</v>
      </c>
      <c r="K1467" s="87" t="s">
        <v>25</v>
      </c>
      <c r="L1467" s="87" t="s">
        <v>263</v>
      </c>
      <c r="M1467" s="90">
        <f t="shared" si="135"/>
        <v>8301885000</v>
      </c>
      <c r="N1467" s="89">
        <f t="shared" si="136"/>
        <v>4695384000</v>
      </c>
      <c r="O1467" s="89">
        <f t="shared" si="137"/>
        <v>3606501000</v>
      </c>
      <c r="P1467" s="87">
        <f t="shared" si="133"/>
        <v>0.1240267735436814</v>
      </c>
      <c r="Q1467" s="87">
        <f t="shared" si="134"/>
        <v>0.28549999317362884</v>
      </c>
    </row>
    <row r="1468" spans="1:17">
      <c r="A1468" s="83">
        <v>1529</v>
      </c>
      <c r="B1468" s="83" t="s">
        <v>517</v>
      </c>
      <c r="C1468" s="83" t="s">
        <v>23</v>
      </c>
      <c r="D1468" s="84">
        <v>42740</v>
      </c>
      <c r="E1468" s="85">
        <f t="shared" si="132"/>
        <v>2017</v>
      </c>
      <c r="F1468" s="86">
        <v>30944938000</v>
      </c>
      <c r="G1468" s="86">
        <v>22034523000</v>
      </c>
      <c r="H1468" s="86">
        <v>5205715000</v>
      </c>
      <c r="I1468" s="86">
        <v>0</v>
      </c>
      <c r="J1468" s="86">
        <v>0</v>
      </c>
      <c r="K1468" s="83" t="s">
        <v>25</v>
      </c>
      <c r="L1468" s="83" t="s">
        <v>263</v>
      </c>
      <c r="M1468" s="91">
        <f t="shared" si="135"/>
        <v>8910415000</v>
      </c>
      <c r="N1468" s="86">
        <f t="shared" si="136"/>
        <v>5205715000</v>
      </c>
      <c r="O1468" s="86">
        <f t="shared" si="137"/>
        <v>3704700000</v>
      </c>
      <c r="P1468" s="83">
        <f t="shared" si="133"/>
        <v>0.11971909589865716</v>
      </c>
      <c r="Q1468" s="83">
        <f t="shared" si="134"/>
        <v>0.28794418654191523</v>
      </c>
    </row>
    <row r="1469" spans="1:17">
      <c r="A1469" s="87">
        <v>1530</v>
      </c>
      <c r="B1469" s="87" t="s">
        <v>518</v>
      </c>
      <c r="C1469" s="87" t="s">
        <v>18</v>
      </c>
      <c r="D1469" s="84">
        <v>42741</v>
      </c>
      <c r="E1469" s="88">
        <f t="shared" si="132"/>
        <v>2017</v>
      </c>
      <c r="F1469" s="89">
        <v>3589516000</v>
      </c>
      <c r="G1469" s="89">
        <v>1955682000</v>
      </c>
      <c r="H1469" s="89">
        <v>0</v>
      </c>
      <c r="I1469" s="89">
        <v>0</v>
      </c>
      <c r="J1469" s="89">
        <v>787329000</v>
      </c>
      <c r="K1469" s="87" t="s">
        <v>53</v>
      </c>
      <c r="L1469" s="87" t="s">
        <v>54</v>
      </c>
      <c r="M1469" s="90">
        <f t="shared" si="135"/>
        <v>1633834000</v>
      </c>
      <c r="N1469" s="89">
        <f t="shared" si="136"/>
        <v>787329000</v>
      </c>
      <c r="O1469" s="89">
        <f t="shared" si="137"/>
        <v>846505000</v>
      </c>
      <c r="P1469" s="87">
        <f t="shared" si="133"/>
        <v>0.23582705857837102</v>
      </c>
      <c r="Q1469" s="87">
        <f t="shared" si="134"/>
        <v>0.45516832910063643</v>
      </c>
    </row>
    <row r="1470" spans="1:17">
      <c r="A1470" s="83">
        <v>1531</v>
      </c>
      <c r="B1470" s="83" t="s">
        <v>518</v>
      </c>
      <c r="C1470" s="83" t="s">
        <v>21</v>
      </c>
      <c r="D1470" s="84">
        <v>42742</v>
      </c>
      <c r="E1470" s="85">
        <f t="shared" si="132"/>
        <v>2017</v>
      </c>
      <c r="F1470" s="86">
        <v>3494253000</v>
      </c>
      <c r="G1470" s="86">
        <v>1838766000</v>
      </c>
      <c r="H1470" s="86">
        <v>0</v>
      </c>
      <c r="I1470" s="86">
        <v>0</v>
      </c>
      <c r="J1470" s="86">
        <v>819711000</v>
      </c>
      <c r="K1470" s="83" t="s">
        <v>53</v>
      </c>
      <c r="L1470" s="83" t="s">
        <v>54</v>
      </c>
      <c r="M1470" s="91">
        <f t="shared" si="135"/>
        <v>1655487000</v>
      </c>
      <c r="N1470" s="86">
        <f t="shared" si="136"/>
        <v>819711000</v>
      </c>
      <c r="O1470" s="86">
        <f t="shared" si="137"/>
        <v>835776000</v>
      </c>
      <c r="P1470" s="83">
        <f t="shared" si="133"/>
        <v>0.23918588608208965</v>
      </c>
      <c r="Q1470" s="83">
        <f t="shared" si="134"/>
        <v>0.47377422298843275</v>
      </c>
    </row>
    <row r="1471" spans="1:17">
      <c r="A1471" s="87">
        <v>1532</v>
      </c>
      <c r="B1471" s="87" t="s">
        <v>518</v>
      </c>
      <c r="C1471" s="87" t="s">
        <v>22</v>
      </c>
      <c r="D1471" s="84">
        <v>42743</v>
      </c>
      <c r="E1471" s="88">
        <f t="shared" ref="E1471:E1534" si="138">YEAR(D1471)</f>
        <v>2017</v>
      </c>
      <c r="F1471" s="89">
        <v>3620095000</v>
      </c>
      <c r="G1471" s="89">
        <v>1903384000</v>
      </c>
      <c r="H1471" s="89">
        <v>0</v>
      </c>
      <c r="I1471" s="89">
        <v>0</v>
      </c>
      <c r="J1471" s="89">
        <v>855908000</v>
      </c>
      <c r="K1471" s="87" t="s">
        <v>53</v>
      </c>
      <c r="L1471" s="87" t="s">
        <v>54</v>
      </c>
      <c r="M1471" s="90">
        <f t="shared" si="135"/>
        <v>1716711000</v>
      </c>
      <c r="N1471" s="89">
        <f t="shared" si="136"/>
        <v>855908000</v>
      </c>
      <c r="O1471" s="89">
        <f t="shared" si="137"/>
        <v>860803000</v>
      </c>
      <c r="P1471" s="87">
        <f t="shared" si="133"/>
        <v>0.23778464377316064</v>
      </c>
      <c r="Q1471" s="87">
        <f t="shared" si="134"/>
        <v>0.47421711308681125</v>
      </c>
    </row>
    <row r="1472" spans="1:17">
      <c r="A1472" s="83">
        <v>1533</v>
      </c>
      <c r="B1472" s="83" t="s">
        <v>518</v>
      </c>
      <c r="C1472" s="83" t="s">
        <v>23</v>
      </c>
      <c r="D1472" s="84">
        <v>42744</v>
      </c>
      <c r="E1472" s="85">
        <f t="shared" si="138"/>
        <v>2017</v>
      </c>
      <c r="F1472" s="86">
        <v>3766065000</v>
      </c>
      <c r="G1472" s="86">
        <v>2016212000</v>
      </c>
      <c r="H1472" s="86">
        <v>0</v>
      </c>
      <c r="I1472" s="86">
        <v>0</v>
      </c>
      <c r="J1472" s="86">
        <v>907024000</v>
      </c>
      <c r="K1472" s="83" t="s">
        <v>53</v>
      </c>
      <c r="L1472" s="83" t="s">
        <v>54</v>
      </c>
      <c r="M1472" s="91">
        <f t="shared" si="135"/>
        <v>1749853000</v>
      </c>
      <c r="N1472" s="86">
        <f t="shared" si="136"/>
        <v>907024000</v>
      </c>
      <c r="O1472" s="86">
        <f t="shared" si="137"/>
        <v>842829000</v>
      </c>
      <c r="P1472" s="83">
        <f t="shared" si="133"/>
        <v>0.22379565939515117</v>
      </c>
      <c r="Q1472" s="83">
        <f t="shared" si="134"/>
        <v>0.46463696192179371</v>
      </c>
    </row>
    <row r="1473" spans="1:17">
      <c r="A1473" s="87">
        <v>1534</v>
      </c>
      <c r="B1473" s="87" t="s">
        <v>519</v>
      </c>
      <c r="C1473" s="87" t="s">
        <v>18</v>
      </c>
      <c r="D1473" s="84">
        <v>42745</v>
      </c>
      <c r="E1473" s="88">
        <f t="shared" si="138"/>
        <v>2017</v>
      </c>
      <c r="F1473" s="89">
        <v>12509900000</v>
      </c>
      <c r="G1473" s="89">
        <v>7214400000</v>
      </c>
      <c r="H1473" s="89">
        <v>3354900000</v>
      </c>
      <c r="I1473" s="89">
        <v>376400000</v>
      </c>
      <c r="J1473" s="89">
        <v>0</v>
      </c>
      <c r="K1473" s="87" t="s">
        <v>31</v>
      </c>
      <c r="L1473" s="87" t="s">
        <v>36</v>
      </c>
      <c r="M1473" s="90">
        <f t="shared" si="135"/>
        <v>5295500000</v>
      </c>
      <c r="N1473" s="89">
        <f t="shared" si="136"/>
        <v>3731300000</v>
      </c>
      <c r="O1473" s="89">
        <f t="shared" si="137"/>
        <v>1564200000</v>
      </c>
      <c r="P1473" s="87">
        <f t="shared" si="133"/>
        <v>0.1250369707191904</v>
      </c>
      <c r="Q1473" s="87">
        <f t="shared" si="134"/>
        <v>0.42330474264382612</v>
      </c>
    </row>
    <row r="1474" spans="1:17">
      <c r="A1474" s="83">
        <v>1535</v>
      </c>
      <c r="B1474" s="83" t="s">
        <v>519</v>
      </c>
      <c r="C1474" s="83" t="s">
        <v>21</v>
      </c>
      <c r="D1474" s="84">
        <v>42746</v>
      </c>
      <c r="E1474" s="85">
        <f t="shared" si="138"/>
        <v>2017</v>
      </c>
      <c r="F1474" s="86">
        <v>13090300000</v>
      </c>
      <c r="G1474" s="86">
        <v>7561200000</v>
      </c>
      <c r="H1474" s="86">
        <v>3446300000</v>
      </c>
      <c r="I1474" s="86">
        <v>395500000</v>
      </c>
      <c r="J1474" s="86">
        <v>0</v>
      </c>
      <c r="K1474" s="83" t="s">
        <v>31</v>
      </c>
      <c r="L1474" s="83" t="s">
        <v>36</v>
      </c>
      <c r="M1474" s="91">
        <f t="shared" si="135"/>
        <v>5529100000</v>
      </c>
      <c r="N1474" s="86">
        <f t="shared" si="136"/>
        <v>3841800000</v>
      </c>
      <c r="O1474" s="86">
        <f t="shared" si="137"/>
        <v>1687300000</v>
      </c>
      <c r="P1474" s="83">
        <f t="shared" ref="P1474:P1537" si="139">O1474/F1474</f>
        <v>0.1288969695117759</v>
      </c>
      <c r="Q1474" s="83">
        <f t="shared" ref="Q1474:Q1537" si="140">1-G1474/F1474</f>
        <v>0.422381458026172</v>
      </c>
    </row>
    <row r="1475" spans="1:17">
      <c r="A1475" s="87">
        <v>1536</v>
      </c>
      <c r="B1475" s="87" t="s">
        <v>519</v>
      </c>
      <c r="C1475" s="87" t="s">
        <v>22</v>
      </c>
      <c r="D1475" s="84">
        <v>42747</v>
      </c>
      <c r="E1475" s="88">
        <f t="shared" si="138"/>
        <v>2017</v>
      </c>
      <c r="F1475" s="89">
        <v>16889600000</v>
      </c>
      <c r="G1475" s="89">
        <v>9397600000</v>
      </c>
      <c r="H1475" s="89">
        <v>4896100000</v>
      </c>
      <c r="I1475" s="89">
        <v>691100000</v>
      </c>
      <c r="J1475" s="89">
        <v>0</v>
      </c>
      <c r="K1475" s="87" t="s">
        <v>31</v>
      </c>
      <c r="L1475" s="87" t="s">
        <v>36</v>
      </c>
      <c r="M1475" s="90">
        <f t="shared" ref="M1475:M1538" si="141">F1475-G1475</f>
        <v>7492000000</v>
      </c>
      <c r="N1475" s="89">
        <f t="shared" ref="N1475:N1538" si="142">H1475+I1475+J1475</f>
        <v>5587200000</v>
      </c>
      <c r="O1475" s="89">
        <f t="shared" ref="O1475:O1538" si="143">M1475-N1475</f>
        <v>1904800000</v>
      </c>
      <c r="P1475" s="87">
        <f t="shared" si="139"/>
        <v>0.11277946191739295</v>
      </c>
      <c r="Q1475" s="87">
        <f t="shared" si="140"/>
        <v>0.44358658582796517</v>
      </c>
    </row>
    <row r="1476" spans="1:17">
      <c r="A1476" s="83">
        <v>1537</v>
      </c>
      <c r="B1476" s="83" t="s">
        <v>519</v>
      </c>
      <c r="C1476" s="83" t="s">
        <v>23</v>
      </c>
      <c r="D1476" s="84">
        <v>42748</v>
      </c>
      <c r="E1476" s="85">
        <f t="shared" si="138"/>
        <v>2017</v>
      </c>
      <c r="F1476" s="86">
        <v>16965400000</v>
      </c>
      <c r="G1476" s="86">
        <v>9209500000</v>
      </c>
      <c r="H1476" s="86">
        <v>4612100000</v>
      </c>
      <c r="I1476" s="86">
        <v>692300000</v>
      </c>
      <c r="J1476" s="86">
        <v>0</v>
      </c>
      <c r="K1476" s="83" t="s">
        <v>31</v>
      </c>
      <c r="L1476" s="83" t="s">
        <v>36</v>
      </c>
      <c r="M1476" s="91">
        <f t="shared" si="141"/>
        <v>7755900000</v>
      </c>
      <c r="N1476" s="86">
        <f t="shared" si="142"/>
        <v>5304400000</v>
      </c>
      <c r="O1476" s="86">
        <f t="shared" si="143"/>
        <v>2451500000</v>
      </c>
      <c r="P1476" s="83">
        <f t="shared" si="139"/>
        <v>0.14449998231695096</v>
      </c>
      <c r="Q1476" s="83">
        <f t="shared" si="140"/>
        <v>0.45715986655192331</v>
      </c>
    </row>
    <row r="1477" spans="1:17">
      <c r="A1477" s="87">
        <v>1538</v>
      </c>
      <c r="B1477" s="87" t="s">
        <v>520</v>
      </c>
      <c r="C1477" s="87" t="s">
        <v>18</v>
      </c>
      <c r="D1477" s="84">
        <v>42749</v>
      </c>
      <c r="E1477" s="88">
        <f t="shared" si="138"/>
        <v>2017</v>
      </c>
      <c r="F1477" s="89">
        <v>763000000</v>
      </c>
      <c r="G1477" s="89">
        <v>12000000</v>
      </c>
      <c r="H1477" s="89">
        <v>429000000</v>
      </c>
      <c r="I1477" s="89">
        <v>0</v>
      </c>
      <c r="J1477" s="89">
        <v>26000000</v>
      </c>
      <c r="K1477" s="87" t="s">
        <v>25</v>
      </c>
      <c r="L1477" s="87" t="s">
        <v>83</v>
      </c>
      <c r="M1477" s="90">
        <f t="shared" si="141"/>
        <v>751000000</v>
      </c>
      <c r="N1477" s="89">
        <f t="shared" si="142"/>
        <v>455000000</v>
      </c>
      <c r="O1477" s="89">
        <f t="shared" si="143"/>
        <v>296000000</v>
      </c>
      <c r="P1477" s="87">
        <f t="shared" si="139"/>
        <v>0.38794233289646135</v>
      </c>
      <c r="Q1477" s="87">
        <f t="shared" si="140"/>
        <v>0.98427260812581918</v>
      </c>
    </row>
    <row r="1478" spans="1:17">
      <c r="A1478" s="83">
        <v>1539</v>
      </c>
      <c r="B1478" s="83" t="s">
        <v>520</v>
      </c>
      <c r="C1478" s="83" t="s">
        <v>21</v>
      </c>
      <c r="D1478" s="84">
        <v>42750</v>
      </c>
      <c r="E1478" s="85">
        <f t="shared" si="138"/>
        <v>2017</v>
      </c>
      <c r="F1478" s="86">
        <v>945000000</v>
      </c>
      <c r="G1478" s="86">
        <v>18000000</v>
      </c>
      <c r="H1478" s="86">
        <v>597000000</v>
      </c>
      <c r="I1478" s="86">
        <v>0</v>
      </c>
      <c r="J1478" s="86">
        <v>36000000</v>
      </c>
      <c r="K1478" s="83" t="s">
        <v>25</v>
      </c>
      <c r="L1478" s="83" t="s">
        <v>83</v>
      </c>
      <c r="M1478" s="91">
        <f t="shared" si="141"/>
        <v>927000000</v>
      </c>
      <c r="N1478" s="86">
        <f t="shared" si="142"/>
        <v>633000000</v>
      </c>
      <c r="O1478" s="86">
        <f t="shared" si="143"/>
        <v>294000000</v>
      </c>
      <c r="P1478" s="83">
        <f t="shared" si="139"/>
        <v>0.31111111111111112</v>
      </c>
      <c r="Q1478" s="83">
        <f t="shared" si="140"/>
        <v>0.98095238095238091</v>
      </c>
    </row>
    <row r="1479" spans="1:17">
      <c r="A1479" s="87">
        <v>1540</v>
      </c>
      <c r="B1479" s="87" t="s">
        <v>520</v>
      </c>
      <c r="C1479" s="87" t="s">
        <v>22</v>
      </c>
      <c r="D1479" s="84">
        <v>42751</v>
      </c>
      <c r="E1479" s="88">
        <f t="shared" si="138"/>
        <v>2017</v>
      </c>
      <c r="F1479" s="89">
        <v>1246000000</v>
      </c>
      <c r="G1479" s="89">
        <v>40000000</v>
      </c>
      <c r="H1479" s="89">
        <v>801000000</v>
      </c>
      <c r="I1479" s="89">
        <v>0</v>
      </c>
      <c r="J1479" s="89">
        <v>65000000</v>
      </c>
      <c r="K1479" s="87" t="s">
        <v>25</v>
      </c>
      <c r="L1479" s="87" t="s">
        <v>83</v>
      </c>
      <c r="M1479" s="90">
        <f t="shared" si="141"/>
        <v>1206000000</v>
      </c>
      <c r="N1479" s="89">
        <f t="shared" si="142"/>
        <v>866000000</v>
      </c>
      <c r="O1479" s="89">
        <f t="shared" si="143"/>
        <v>340000000</v>
      </c>
      <c r="P1479" s="87">
        <f t="shared" si="139"/>
        <v>0.27287319422150885</v>
      </c>
      <c r="Q1479" s="87">
        <f t="shared" si="140"/>
        <v>0.9678972712680578</v>
      </c>
    </row>
    <row r="1480" spans="1:17">
      <c r="A1480" s="83">
        <v>1541</v>
      </c>
      <c r="B1480" s="83" t="s">
        <v>520</v>
      </c>
      <c r="C1480" s="83" t="s">
        <v>23</v>
      </c>
      <c r="D1480" s="84">
        <v>42752</v>
      </c>
      <c r="E1480" s="85">
        <f t="shared" si="138"/>
        <v>2017</v>
      </c>
      <c r="F1480" s="86">
        <v>1492000000</v>
      </c>
      <c r="G1480" s="86">
        <v>58000000</v>
      </c>
      <c r="H1480" s="86">
        <v>1109000000</v>
      </c>
      <c r="I1480" s="86">
        <v>0</v>
      </c>
      <c r="J1480" s="86">
        <v>93000000</v>
      </c>
      <c r="K1480" s="83" t="s">
        <v>25</v>
      </c>
      <c r="L1480" s="83" t="s">
        <v>83</v>
      </c>
      <c r="M1480" s="91">
        <f t="shared" si="141"/>
        <v>1434000000</v>
      </c>
      <c r="N1480" s="86">
        <f t="shared" si="142"/>
        <v>1202000000</v>
      </c>
      <c r="O1480" s="86">
        <f t="shared" si="143"/>
        <v>232000000</v>
      </c>
      <c r="P1480" s="83">
        <f t="shared" si="139"/>
        <v>0.15549597855227881</v>
      </c>
      <c r="Q1480" s="83">
        <f t="shared" si="140"/>
        <v>0.96112600536193027</v>
      </c>
    </row>
    <row r="1481" spans="1:17">
      <c r="A1481" s="87">
        <v>1542</v>
      </c>
      <c r="B1481" s="87" t="s">
        <v>521</v>
      </c>
      <c r="C1481" s="87" t="s">
        <v>18</v>
      </c>
      <c r="D1481" s="84">
        <v>42753</v>
      </c>
      <c r="E1481" s="88">
        <f t="shared" si="138"/>
        <v>2017</v>
      </c>
      <c r="F1481" s="89">
        <v>26191000000</v>
      </c>
      <c r="G1481" s="89">
        <v>13307000000</v>
      </c>
      <c r="H1481" s="89">
        <v>3757000000</v>
      </c>
      <c r="I1481" s="89">
        <v>0</v>
      </c>
      <c r="J1481" s="89">
        <v>3821000000</v>
      </c>
      <c r="K1481" s="87" t="s">
        <v>53</v>
      </c>
      <c r="L1481" s="87" t="s">
        <v>56</v>
      </c>
      <c r="M1481" s="90">
        <f t="shared" si="141"/>
        <v>12884000000</v>
      </c>
      <c r="N1481" s="89">
        <f t="shared" si="142"/>
        <v>7578000000</v>
      </c>
      <c r="O1481" s="89">
        <f t="shared" si="143"/>
        <v>5306000000</v>
      </c>
      <c r="P1481" s="87">
        <f t="shared" si="139"/>
        <v>0.2025886754992173</v>
      </c>
      <c r="Q1481" s="87">
        <f t="shared" si="140"/>
        <v>0.49192470696040624</v>
      </c>
    </row>
    <row r="1482" spans="1:17">
      <c r="A1482" s="83">
        <v>1543</v>
      </c>
      <c r="B1482" s="83" t="s">
        <v>521</v>
      </c>
      <c r="C1482" s="83" t="s">
        <v>21</v>
      </c>
      <c r="D1482" s="84">
        <v>42754</v>
      </c>
      <c r="E1482" s="85">
        <f t="shared" si="138"/>
        <v>2017</v>
      </c>
      <c r="F1482" s="86">
        <v>27174000000</v>
      </c>
      <c r="G1482" s="86">
        <v>13870000000</v>
      </c>
      <c r="H1482" s="86">
        <v>3964000000</v>
      </c>
      <c r="I1482" s="86">
        <v>0</v>
      </c>
      <c r="J1482" s="86">
        <v>3882000000</v>
      </c>
      <c r="K1482" s="83" t="s">
        <v>53</v>
      </c>
      <c r="L1482" s="83" t="s">
        <v>56</v>
      </c>
      <c r="M1482" s="91">
        <f t="shared" si="141"/>
        <v>13304000000</v>
      </c>
      <c r="N1482" s="86">
        <f t="shared" si="142"/>
        <v>7846000000</v>
      </c>
      <c r="O1482" s="86">
        <f t="shared" si="143"/>
        <v>5458000000</v>
      </c>
      <c r="P1482" s="83">
        <f t="shared" si="139"/>
        <v>0.20085375726797675</v>
      </c>
      <c r="Q1482" s="83">
        <f t="shared" si="140"/>
        <v>0.48958563332597338</v>
      </c>
    </row>
    <row r="1483" spans="1:17">
      <c r="A1483" s="87">
        <v>1544</v>
      </c>
      <c r="B1483" s="87" t="s">
        <v>521</v>
      </c>
      <c r="C1483" s="87" t="s">
        <v>22</v>
      </c>
      <c r="D1483" s="84">
        <v>42755</v>
      </c>
      <c r="E1483" s="88">
        <f t="shared" si="138"/>
        <v>2017</v>
      </c>
      <c r="F1483" s="89">
        <v>26815000000</v>
      </c>
      <c r="G1483" s="89">
        <v>13723000000</v>
      </c>
      <c r="H1483" s="89">
        <v>4094000000</v>
      </c>
      <c r="I1483" s="89">
        <v>0</v>
      </c>
      <c r="J1483" s="89">
        <v>3885000000</v>
      </c>
      <c r="K1483" s="87" t="s">
        <v>53</v>
      </c>
      <c r="L1483" s="87" t="s">
        <v>56</v>
      </c>
      <c r="M1483" s="90">
        <f t="shared" si="141"/>
        <v>13092000000</v>
      </c>
      <c r="N1483" s="89">
        <f t="shared" si="142"/>
        <v>7979000000</v>
      </c>
      <c r="O1483" s="89">
        <f t="shared" si="143"/>
        <v>5113000000</v>
      </c>
      <c r="P1483" s="87">
        <f t="shared" si="139"/>
        <v>0.19067685996643668</v>
      </c>
      <c r="Q1483" s="87">
        <f t="shared" si="140"/>
        <v>0.48823419727764306</v>
      </c>
    </row>
    <row r="1484" spans="1:17">
      <c r="A1484" s="83">
        <v>1545</v>
      </c>
      <c r="B1484" s="83" t="s">
        <v>521</v>
      </c>
      <c r="C1484" s="83" t="s">
        <v>23</v>
      </c>
      <c r="D1484" s="84">
        <v>42756</v>
      </c>
      <c r="E1484" s="85">
        <f t="shared" si="138"/>
        <v>2017</v>
      </c>
      <c r="F1484" s="86">
        <v>27625000000</v>
      </c>
      <c r="G1484" s="86">
        <v>15070000000</v>
      </c>
      <c r="H1484" s="86">
        <v>4154000000</v>
      </c>
      <c r="I1484" s="86">
        <v>0</v>
      </c>
      <c r="J1484" s="86">
        <v>3985000000</v>
      </c>
      <c r="K1484" s="83" t="s">
        <v>53</v>
      </c>
      <c r="L1484" s="83" t="s">
        <v>56</v>
      </c>
      <c r="M1484" s="91">
        <f t="shared" si="141"/>
        <v>12555000000</v>
      </c>
      <c r="N1484" s="86">
        <f t="shared" si="142"/>
        <v>8139000000</v>
      </c>
      <c r="O1484" s="86">
        <f t="shared" si="143"/>
        <v>4416000000</v>
      </c>
      <c r="P1484" s="83">
        <f t="shared" si="139"/>
        <v>0.15985520361990951</v>
      </c>
      <c r="Q1484" s="83">
        <f t="shared" si="140"/>
        <v>0.45447963800904978</v>
      </c>
    </row>
    <row r="1485" spans="1:17">
      <c r="A1485" s="87">
        <v>1546</v>
      </c>
      <c r="B1485" s="87" t="s">
        <v>522</v>
      </c>
      <c r="C1485" s="87" t="s">
        <v>18</v>
      </c>
      <c r="D1485" s="84">
        <v>42757</v>
      </c>
      <c r="E1485" s="88">
        <f t="shared" si="138"/>
        <v>2017</v>
      </c>
      <c r="F1485" s="89">
        <v>4664120000</v>
      </c>
      <c r="G1485" s="89">
        <v>3098066000</v>
      </c>
      <c r="H1485" s="89">
        <v>1040287000</v>
      </c>
      <c r="I1485" s="89">
        <v>0</v>
      </c>
      <c r="J1485" s="89">
        <v>88975000</v>
      </c>
      <c r="K1485" s="87" t="s">
        <v>25</v>
      </c>
      <c r="L1485" s="87" t="s">
        <v>523</v>
      </c>
      <c r="M1485" s="90">
        <f t="shared" si="141"/>
        <v>1566054000</v>
      </c>
      <c r="N1485" s="89">
        <f t="shared" si="142"/>
        <v>1129262000</v>
      </c>
      <c r="O1485" s="89">
        <f t="shared" si="143"/>
        <v>436792000</v>
      </c>
      <c r="P1485" s="87">
        <f t="shared" si="139"/>
        <v>9.3649391525089401E-2</v>
      </c>
      <c r="Q1485" s="87">
        <f t="shared" si="140"/>
        <v>0.33576623242969739</v>
      </c>
    </row>
    <row r="1486" spans="1:17">
      <c r="A1486" s="83">
        <v>1547</v>
      </c>
      <c r="B1486" s="83" t="s">
        <v>522</v>
      </c>
      <c r="C1486" s="83" t="s">
        <v>21</v>
      </c>
      <c r="D1486" s="84">
        <v>42758</v>
      </c>
      <c r="E1486" s="85">
        <f t="shared" si="138"/>
        <v>2017</v>
      </c>
      <c r="F1486" s="86">
        <v>5164784000</v>
      </c>
      <c r="G1486" s="86">
        <v>3411175000</v>
      </c>
      <c r="H1486" s="86">
        <v>1138934000</v>
      </c>
      <c r="I1486" s="86">
        <v>0</v>
      </c>
      <c r="J1486" s="86">
        <v>100025000</v>
      </c>
      <c r="K1486" s="83" t="s">
        <v>25</v>
      </c>
      <c r="L1486" s="83" t="s">
        <v>523</v>
      </c>
      <c r="M1486" s="91">
        <f t="shared" si="141"/>
        <v>1753609000</v>
      </c>
      <c r="N1486" s="86">
        <f t="shared" si="142"/>
        <v>1238959000</v>
      </c>
      <c r="O1486" s="86">
        <f t="shared" si="143"/>
        <v>514650000</v>
      </c>
      <c r="P1486" s="83">
        <f t="shared" si="139"/>
        <v>9.9645987131310815E-2</v>
      </c>
      <c r="Q1486" s="83">
        <f t="shared" si="140"/>
        <v>0.33953191459700927</v>
      </c>
    </row>
    <row r="1487" spans="1:17">
      <c r="A1487" s="87">
        <v>1548</v>
      </c>
      <c r="B1487" s="87" t="s">
        <v>522</v>
      </c>
      <c r="C1487" s="87" t="s">
        <v>22</v>
      </c>
      <c r="D1487" s="84">
        <v>42759</v>
      </c>
      <c r="E1487" s="88">
        <f t="shared" si="138"/>
        <v>2017</v>
      </c>
      <c r="F1487" s="89">
        <v>5711715000</v>
      </c>
      <c r="G1487" s="89">
        <v>3761300000</v>
      </c>
      <c r="H1487" s="89">
        <v>1246308000</v>
      </c>
      <c r="I1487" s="89">
        <v>0</v>
      </c>
      <c r="J1487" s="89">
        <v>114635000</v>
      </c>
      <c r="K1487" s="87" t="s">
        <v>25</v>
      </c>
      <c r="L1487" s="87" t="s">
        <v>523</v>
      </c>
      <c r="M1487" s="90">
        <f t="shared" si="141"/>
        <v>1950415000</v>
      </c>
      <c r="N1487" s="89">
        <f t="shared" si="142"/>
        <v>1360943000</v>
      </c>
      <c r="O1487" s="89">
        <f t="shared" si="143"/>
        <v>589472000</v>
      </c>
      <c r="P1487" s="87">
        <f t="shared" si="139"/>
        <v>0.10320402891250702</v>
      </c>
      <c r="Q1487" s="87">
        <f t="shared" si="140"/>
        <v>0.34147624662645104</v>
      </c>
    </row>
    <row r="1488" spans="1:17">
      <c r="A1488" s="83">
        <v>1549</v>
      </c>
      <c r="B1488" s="83" t="s">
        <v>522</v>
      </c>
      <c r="C1488" s="83" t="s">
        <v>23</v>
      </c>
      <c r="D1488" s="84">
        <v>42760</v>
      </c>
      <c r="E1488" s="85">
        <f t="shared" si="138"/>
        <v>2017</v>
      </c>
      <c r="F1488" s="86">
        <v>6226507000</v>
      </c>
      <c r="G1488" s="86">
        <v>4083333000</v>
      </c>
      <c r="H1488" s="86">
        <v>1369097000</v>
      </c>
      <c r="I1488" s="86">
        <v>0</v>
      </c>
      <c r="J1488" s="86">
        <v>123569000</v>
      </c>
      <c r="K1488" s="83" t="s">
        <v>25</v>
      </c>
      <c r="L1488" s="83" t="s">
        <v>523</v>
      </c>
      <c r="M1488" s="91">
        <f t="shared" si="141"/>
        <v>2143174000</v>
      </c>
      <c r="N1488" s="86">
        <f t="shared" si="142"/>
        <v>1492666000</v>
      </c>
      <c r="O1488" s="86">
        <f t="shared" si="143"/>
        <v>650508000</v>
      </c>
      <c r="P1488" s="83">
        <f t="shared" si="139"/>
        <v>0.10447398517338854</v>
      </c>
      <c r="Q1488" s="83">
        <f t="shared" si="140"/>
        <v>0.34420165270833225</v>
      </c>
    </row>
    <row r="1489" spans="1:17">
      <c r="A1489" s="87">
        <v>1550</v>
      </c>
      <c r="B1489" s="87" t="s">
        <v>524</v>
      </c>
      <c r="C1489" s="87" t="s">
        <v>18</v>
      </c>
      <c r="D1489" s="84">
        <v>42761</v>
      </c>
      <c r="E1489" s="88">
        <f t="shared" si="138"/>
        <v>2017</v>
      </c>
      <c r="F1489" s="89">
        <v>34374000000</v>
      </c>
      <c r="G1489" s="89">
        <v>32016000000</v>
      </c>
      <c r="H1489" s="89">
        <v>983000000</v>
      </c>
      <c r="I1489" s="89">
        <v>0</v>
      </c>
      <c r="J1489" s="89">
        <v>0</v>
      </c>
      <c r="K1489" s="87" t="s">
        <v>42</v>
      </c>
      <c r="L1489" s="87" t="s">
        <v>130</v>
      </c>
      <c r="M1489" s="90">
        <f t="shared" si="141"/>
        <v>2358000000</v>
      </c>
      <c r="N1489" s="89">
        <f t="shared" si="142"/>
        <v>983000000</v>
      </c>
      <c r="O1489" s="89">
        <f t="shared" si="143"/>
        <v>1375000000</v>
      </c>
      <c r="P1489" s="87">
        <f t="shared" si="139"/>
        <v>4.0001163670215861E-2</v>
      </c>
      <c r="Q1489" s="87">
        <f t="shared" si="140"/>
        <v>6.8598359224995686E-2</v>
      </c>
    </row>
    <row r="1490" spans="1:17">
      <c r="A1490" s="83">
        <v>1551</v>
      </c>
      <c r="B1490" s="83" t="s">
        <v>524</v>
      </c>
      <c r="C1490" s="83" t="s">
        <v>21</v>
      </c>
      <c r="D1490" s="84">
        <v>42762</v>
      </c>
      <c r="E1490" s="85">
        <f t="shared" si="138"/>
        <v>2017</v>
      </c>
      <c r="F1490" s="86">
        <v>37580000000</v>
      </c>
      <c r="G1490" s="86">
        <v>34895000000</v>
      </c>
      <c r="H1490" s="86">
        <v>1255000000</v>
      </c>
      <c r="I1490" s="86">
        <v>0</v>
      </c>
      <c r="J1490" s="86">
        <v>0</v>
      </c>
      <c r="K1490" s="83" t="s">
        <v>42</v>
      </c>
      <c r="L1490" s="83" t="s">
        <v>130</v>
      </c>
      <c r="M1490" s="91">
        <f t="shared" si="141"/>
        <v>2685000000</v>
      </c>
      <c r="N1490" s="86">
        <f t="shared" si="142"/>
        <v>1255000000</v>
      </c>
      <c r="O1490" s="86">
        <f t="shared" si="143"/>
        <v>1430000000</v>
      </c>
      <c r="P1490" s="83">
        <f t="shared" si="139"/>
        <v>3.8052155401809472E-2</v>
      </c>
      <c r="Q1490" s="83">
        <f t="shared" si="140"/>
        <v>7.1447578499201692E-2</v>
      </c>
    </row>
    <row r="1491" spans="1:17">
      <c r="A1491" s="87">
        <v>1552</v>
      </c>
      <c r="B1491" s="87" t="s">
        <v>524</v>
      </c>
      <c r="C1491" s="87" t="s">
        <v>22</v>
      </c>
      <c r="D1491" s="84">
        <v>42763</v>
      </c>
      <c r="E1491" s="88">
        <f t="shared" si="138"/>
        <v>2017</v>
      </c>
      <c r="F1491" s="89">
        <v>41373000000</v>
      </c>
      <c r="G1491" s="89">
        <v>37456000000</v>
      </c>
      <c r="H1491" s="89">
        <v>1748000000</v>
      </c>
      <c r="I1491" s="89">
        <v>0</v>
      </c>
      <c r="J1491" s="89">
        <v>0</v>
      </c>
      <c r="K1491" s="87" t="s">
        <v>42</v>
      </c>
      <c r="L1491" s="87" t="s">
        <v>130</v>
      </c>
      <c r="M1491" s="90">
        <f t="shared" si="141"/>
        <v>3917000000</v>
      </c>
      <c r="N1491" s="89">
        <f t="shared" si="142"/>
        <v>1748000000</v>
      </c>
      <c r="O1491" s="89">
        <f t="shared" si="143"/>
        <v>2169000000</v>
      </c>
      <c r="P1491" s="87">
        <f t="shared" si="139"/>
        <v>5.2425494887970416E-2</v>
      </c>
      <c r="Q1491" s="87">
        <f t="shared" si="140"/>
        <v>9.4675271312208431E-2</v>
      </c>
    </row>
    <row r="1492" spans="1:17">
      <c r="A1492" s="83">
        <v>1553</v>
      </c>
      <c r="B1492" s="83" t="s">
        <v>524</v>
      </c>
      <c r="C1492" s="83" t="s">
        <v>23</v>
      </c>
      <c r="D1492" s="84">
        <v>42764</v>
      </c>
      <c r="E1492" s="85">
        <f t="shared" si="138"/>
        <v>2017</v>
      </c>
      <c r="F1492" s="86">
        <v>36881000000</v>
      </c>
      <c r="G1492" s="86">
        <v>32184000000</v>
      </c>
      <c r="H1492" s="86">
        <v>1864000000</v>
      </c>
      <c r="I1492" s="86">
        <v>0</v>
      </c>
      <c r="J1492" s="86">
        <v>0</v>
      </c>
      <c r="K1492" s="83" t="s">
        <v>42</v>
      </c>
      <c r="L1492" s="83" t="s">
        <v>130</v>
      </c>
      <c r="M1492" s="91">
        <f t="shared" si="141"/>
        <v>4697000000</v>
      </c>
      <c r="N1492" s="86">
        <f t="shared" si="142"/>
        <v>1864000000</v>
      </c>
      <c r="O1492" s="86">
        <f t="shared" si="143"/>
        <v>2833000000</v>
      </c>
      <c r="P1492" s="83">
        <f t="shared" si="139"/>
        <v>7.6814619994034869E-2</v>
      </c>
      <c r="Q1492" s="83">
        <f t="shared" si="140"/>
        <v>0.12735554892763212</v>
      </c>
    </row>
    <row r="1493" spans="1:17">
      <c r="A1493" s="87">
        <v>1554</v>
      </c>
      <c r="B1493" s="87" t="s">
        <v>525</v>
      </c>
      <c r="C1493" s="87" t="s">
        <v>18</v>
      </c>
      <c r="D1493" s="84">
        <v>42765</v>
      </c>
      <c r="E1493" s="88">
        <f t="shared" si="138"/>
        <v>2017</v>
      </c>
      <c r="F1493" s="89">
        <v>29809000000</v>
      </c>
      <c r="G1493" s="89">
        <v>26045000000</v>
      </c>
      <c r="H1493" s="89">
        <v>1702000000</v>
      </c>
      <c r="I1493" s="89">
        <v>0</v>
      </c>
      <c r="J1493" s="89">
        <v>418000000</v>
      </c>
      <c r="K1493" s="87" t="s">
        <v>89</v>
      </c>
      <c r="L1493" s="87" t="s">
        <v>347</v>
      </c>
      <c r="M1493" s="90">
        <f t="shared" si="141"/>
        <v>3764000000</v>
      </c>
      <c r="N1493" s="89">
        <f t="shared" si="142"/>
        <v>2120000000</v>
      </c>
      <c r="O1493" s="89">
        <f t="shared" si="143"/>
        <v>1644000000</v>
      </c>
      <c r="P1493" s="87">
        <f t="shared" si="139"/>
        <v>5.5151128853701901E-2</v>
      </c>
      <c r="Q1493" s="87">
        <f t="shared" si="140"/>
        <v>0.12627058941930291</v>
      </c>
    </row>
    <row r="1494" spans="1:17">
      <c r="A1494" s="83">
        <v>1555</v>
      </c>
      <c r="B1494" s="83" t="s">
        <v>525</v>
      </c>
      <c r="C1494" s="83" t="s">
        <v>21</v>
      </c>
      <c r="D1494" s="84">
        <v>42766</v>
      </c>
      <c r="E1494" s="85">
        <f t="shared" si="138"/>
        <v>2017</v>
      </c>
      <c r="F1494" s="86">
        <v>37601000000</v>
      </c>
      <c r="G1494" s="86">
        <v>34085000000</v>
      </c>
      <c r="H1494" s="86">
        <v>2248000000</v>
      </c>
      <c r="I1494" s="86">
        <v>0</v>
      </c>
      <c r="J1494" s="86">
        <v>489000000</v>
      </c>
      <c r="K1494" s="83" t="s">
        <v>89</v>
      </c>
      <c r="L1494" s="83" t="s">
        <v>347</v>
      </c>
      <c r="M1494" s="91">
        <f t="shared" si="141"/>
        <v>3516000000</v>
      </c>
      <c r="N1494" s="86">
        <f t="shared" si="142"/>
        <v>2737000000</v>
      </c>
      <c r="O1494" s="86">
        <f t="shared" si="143"/>
        <v>779000000</v>
      </c>
      <c r="P1494" s="83">
        <f t="shared" si="139"/>
        <v>2.0717534108135423E-2</v>
      </c>
      <c r="Q1494" s="83">
        <f t="shared" si="140"/>
        <v>9.3508151378952742E-2</v>
      </c>
    </row>
    <row r="1495" spans="1:17">
      <c r="A1495" s="87">
        <v>1556</v>
      </c>
      <c r="B1495" s="87" t="s">
        <v>525</v>
      </c>
      <c r="C1495" s="87" t="s">
        <v>22</v>
      </c>
      <c r="D1495" s="84">
        <v>42767</v>
      </c>
      <c r="E1495" s="88">
        <f t="shared" si="138"/>
        <v>2017</v>
      </c>
      <c r="F1495" s="89">
        <v>40633000000</v>
      </c>
      <c r="G1495" s="89">
        <v>35673000000</v>
      </c>
      <c r="H1495" s="89">
        <v>2762000000</v>
      </c>
      <c r="I1495" s="89">
        <v>0</v>
      </c>
      <c r="J1495" s="89">
        <v>562000000</v>
      </c>
      <c r="K1495" s="87" t="s">
        <v>89</v>
      </c>
      <c r="L1495" s="87" t="s">
        <v>347</v>
      </c>
      <c r="M1495" s="90">
        <f t="shared" si="141"/>
        <v>4960000000</v>
      </c>
      <c r="N1495" s="89">
        <f t="shared" si="142"/>
        <v>3324000000</v>
      </c>
      <c r="O1495" s="89">
        <f t="shared" si="143"/>
        <v>1636000000</v>
      </c>
      <c r="P1495" s="87">
        <f t="shared" si="139"/>
        <v>4.0262840548322791E-2</v>
      </c>
      <c r="Q1495" s="87">
        <f t="shared" si="140"/>
        <v>0.12206826963305684</v>
      </c>
    </row>
    <row r="1496" spans="1:17">
      <c r="A1496" s="83">
        <v>1557</v>
      </c>
      <c r="B1496" s="83" t="s">
        <v>525</v>
      </c>
      <c r="C1496" s="83" t="s">
        <v>23</v>
      </c>
      <c r="D1496" s="84">
        <v>42768</v>
      </c>
      <c r="E1496" s="85">
        <f t="shared" si="138"/>
        <v>2017</v>
      </c>
      <c r="F1496" s="86">
        <v>28711000000</v>
      </c>
      <c r="G1496" s="86">
        <v>22466000000</v>
      </c>
      <c r="H1496" s="86">
        <v>2620000000</v>
      </c>
      <c r="I1496" s="86">
        <v>0</v>
      </c>
      <c r="J1496" s="86">
        <v>756000000</v>
      </c>
      <c r="K1496" s="83" t="s">
        <v>89</v>
      </c>
      <c r="L1496" s="83" t="s">
        <v>347</v>
      </c>
      <c r="M1496" s="91">
        <f t="shared" si="141"/>
        <v>6245000000</v>
      </c>
      <c r="N1496" s="86">
        <f t="shared" si="142"/>
        <v>3376000000</v>
      </c>
      <c r="O1496" s="86">
        <f t="shared" si="143"/>
        <v>2869000000</v>
      </c>
      <c r="P1496" s="83">
        <f t="shared" si="139"/>
        <v>9.9926857302079342E-2</v>
      </c>
      <c r="Q1496" s="83">
        <f t="shared" si="140"/>
        <v>0.21751245167357458</v>
      </c>
    </row>
    <row r="1497" spans="1:17">
      <c r="A1497" s="87">
        <v>1558</v>
      </c>
      <c r="B1497" s="87" t="s">
        <v>526</v>
      </c>
      <c r="C1497" s="87" t="s">
        <v>18</v>
      </c>
      <c r="D1497" s="84">
        <v>42769</v>
      </c>
      <c r="E1497" s="88">
        <f t="shared" si="138"/>
        <v>2017</v>
      </c>
      <c r="F1497" s="89">
        <v>1793557000</v>
      </c>
      <c r="G1497" s="89">
        <v>1189341000</v>
      </c>
      <c r="H1497" s="89">
        <v>247597000</v>
      </c>
      <c r="I1497" s="89">
        <v>0</v>
      </c>
      <c r="J1497" s="89">
        <v>0</v>
      </c>
      <c r="K1497" s="87" t="s">
        <v>28</v>
      </c>
      <c r="L1497" s="87" t="s">
        <v>63</v>
      </c>
      <c r="M1497" s="90">
        <f t="shared" si="141"/>
        <v>604216000</v>
      </c>
      <c r="N1497" s="89">
        <f t="shared" si="142"/>
        <v>247597000</v>
      </c>
      <c r="O1497" s="89">
        <f t="shared" si="143"/>
        <v>356619000</v>
      </c>
      <c r="P1497" s="87">
        <f t="shared" si="139"/>
        <v>0.19883337970301473</v>
      </c>
      <c r="Q1497" s="87">
        <f t="shared" si="140"/>
        <v>0.33688140382491327</v>
      </c>
    </row>
    <row r="1498" spans="1:17">
      <c r="A1498" s="83">
        <v>1559</v>
      </c>
      <c r="B1498" s="83" t="s">
        <v>526</v>
      </c>
      <c r="C1498" s="83" t="s">
        <v>21</v>
      </c>
      <c r="D1498" s="84">
        <v>42770</v>
      </c>
      <c r="E1498" s="85">
        <f t="shared" si="138"/>
        <v>2017</v>
      </c>
      <c r="F1498" s="86">
        <v>2064305000</v>
      </c>
      <c r="G1498" s="86">
        <v>1369438000</v>
      </c>
      <c r="H1498" s="86">
        <v>312367000</v>
      </c>
      <c r="I1498" s="86">
        <v>0</v>
      </c>
      <c r="J1498" s="86">
        <v>0</v>
      </c>
      <c r="K1498" s="83" t="s">
        <v>28</v>
      </c>
      <c r="L1498" s="83" t="s">
        <v>63</v>
      </c>
      <c r="M1498" s="91">
        <f t="shared" si="141"/>
        <v>694867000</v>
      </c>
      <c r="N1498" s="86">
        <f t="shared" si="142"/>
        <v>312367000</v>
      </c>
      <c r="O1498" s="86">
        <f t="shared" si="143"/>
        <v>382500000</v>
      </c>
      <c r="P1498" s="83">
        <f t="shared" si="139"/>
        <v>0.18529238654171742</v>
      </c>
      <c r="Q1498" s="83">
        <f t="shared" si="140"/>
        <v>0.33661062682113352</v>
      </c>
    </row>
    <row r="1499" spans="1:17">
      <c r="A1499" s="87">
        <v>1560</v>
      </c>
      <c r="B1499" s="87" t="s">
        <v>526</v>
      </c>
      <c r="C1499" s="87" t="s">
        <v>22</v>
      </c>
      <c r="D1499" s="84">
        <v>42771</v>
      </c>
      <c r="E1499" s="88">
        <f t="shared" si="138"/>
        <v>2017</v>
      </c>
      <c r="F1499" s="89">
        <v>2446877000</v>
      </c>
      <c r="G1499" s="89">
        <v>1668892000</v>
      </c>
      <c r="H1499" s="89">
        <v>346345000</v>
      </c>
      <c r="I1499" s="89">
        <v>0</v>
      </c>
      <c r="J1499" s="89">
        <v>0</v>
      </c>
      <c r="K1499" s="87" t="s">
        <v>28</v>
      </c>
      <c r="L1499" s="87" t="s">
        <v>63</v>
      </c>
      <c r="M1499" s="90">
        <f t="shared" si="141"/>
        <v>777985000</v>
      </c>
      <c r="N1499" s="89">
        <f t="shared" si="142"/>
        <v>346345000</v>
      </c>
      <c r="O1499" s="89">
        <f t="shared" si="143"/>
        <v>431640000</v>
      </c>
      <c r="P1499" s="87">
        <f t="shared" si="139"/>
        <v>0.17640445351360121</v>
      </c>
      <c r="Q1499" s="87">
        <f t="shared" si="140"/>
        <v>0.31795018711606671</v>
      </c>
    </row>
    <row r="1500" spans="1:17">
      <c r="A1500" s="83">
        <v>1561</v>
      </c>
      <c r="B1500" s="83" t="s">
        <v>526</v>
      </c>
      <c r="C1500" s="83" t="s">
        <v>23</v>
      </c>
      <c r="D1500" s="84">
        <v>42772</v>
      </c>
      <c r="E1500" s="85">
        <f t="shared" si="138"/>
        <v>2017</v>
      </c>
      <c r="F1500" s="86">
        <v>2779541000</v>
      </c>
      <c r="G1500" s="86">
        <v>1855181000</v>
      </c>
      <c r="H1500" s="86">
        <v>390253000</v>
      </c>
      <c r="I1500" s="86">
        <v>0</v>
      </c>
      <c r="J1500" s="86">
        <v>0</v>
      </c>
      <c r="K1500" s="83" t="s">
        <v>28</v>
      </c>
      <c r="L1500" s="83" t="s">
        <v>63</v>
      </c>
      <c r="M1500" s="91">
        <f t="shared" si="141"/>
        <v>924360000</v>
      </c>
      <c r="N1500" s="86">
        <f t="shared" si="142"/>
        <v>390253000</v>
      </c>
      <c r="O1500" s="86">
        <f t="shared" si="143"/>
        <v>534107000</v>
      </c>
      <c r="P1500" s="83">
        <f t="shared" si="139"/>
        <v>0.1921565467104101</v>
      </c>
      <c r="Q1500" s="83">
        <f t="shared" si="140"/>
        <v>0.33255850516326257</v>
      </c>
    </row>
    <row r="1501" spans="1:17">
      <c r="A1501" s="87">
        <v>1562</v>
      </c>
      <c r="B1501" s="87" t="s">
        <v>527</v>
      </c>
      <c r="C1501" s="87" t="s">
        <v>18</v>
      </c>
      <c r="D1501" s="84">
        <v>42773</v>
      </c>
      <c r="E1501" s="88">
        <f t="shared" si="138"/>
        <v>2017</v>
      </c>
      <c r="F1501" s="89">
        <v>12825000000</v>
      </c>
      <c r="G1501" s="89">
        <v>6457000000</v>
      </c>
      <c r="H1501" s="89">
        <v>1804000000</v>
      </c>
      <c r="I1501" s="89">
        <v>1877000000</v>
      </c>
      <c r="J1501" s="89">
        <v>0</v>
      </c>
      <c r="K1501" s="87" t="s">
        <v>28</v>
      </c>
      <c r="L1501" s="87" t="s">
        <v>40</v>
      </c>
      <c r="M1501" s="90">
        <f t="shared" si="141"/>
        <v>6368000000</v>
      </c>
      <c r="N1501" s="89">
        <f t="shared" si="142"/>
        <v>3681000000</v>
      </c>
      <c r="O1501" s="89">
        <f t="shared" si="143"/>
        <v>2687000000</v>
      </c>
      <c r="P1501" s="87">
        <f t="shared" si="139"/>
        <v>0.20951267056530215</v>
      </c>
      <c r="Q1501" s="87">
        <f t="shared" si="140"/>
        <v>0.49653021442495127</v>
      </c>
    </row>
    <row r="1502" spans="1:17">
      <c r="A1502" s="83">
        <v>1563</v>
      </c>
      <c r="B1502" s="83" t="s">
        <v>527</v>
      </c>
      <c r="C1502" s="83" t="s">
        <v>21</v>
      </c>
      <c r="D1502" s="84">
        <v>42774</v>
      </c>
      <c r="E1502" s="85">
        <f t="shared" si="138"/>
        <v>2017</v>
      </c>
      <c r="F1502" s="86">
        <v>12205000000</v>
      </c>
      <c r="G1502" s="86">
        <v>5841000000</v>
      </c>
      <c r="H1502" s="86">
        <v>1858000000</v>
      </c>
      <c r="I1502" s="86">
        <v>1522000000</v>
      </c>
      <c r="J1502" s="86">
        <v>0</v>
      </c>
      <c r="K1502" s="83" t="s">
        <v>28</v>
      </c>
      <c r="L1502" s="83" t="s">
        <v>40</v>
      </c>
      <c r="M1502" s="91">
        <f t="shared" si="141"/>
        <v>6364000000</v>
      </c>
      <c r="N1502" s="86">
        <f t="shared" si="142"/>
        <v>3380000000</v>
      </c>
      <c r="O1502" s="86">
        <f t="shared" si="143"/>
        <v>2984000000</v>
      </c>
      <c r="P1502" s="83">
        <f t="shared" si="139"/>
        <v>0.24448996312986482</v>
      </c>
      <c r="Q1502" s="83">
        <f t="shared" si="140"/>
        <v>0.52142564522736579</v>
      </c>
    </row>
    <row r="1503" spans="1:17">
      <c r="A1503" s="87">
        <v>1564</v>
      </c>
      <c r="B1503" s="87" t="s">
        <v>527</v>
      </c>
      <c r="C1503" s="87" t="s">
        <v>22</v>
      </c>
      <c r="D1503" s="84">
        <v>42775</v>
      </c>
      <c r="E1503" s="88">
        <f t="shared" si="138"/>
        <v>2017</v>
      </c>
      <c r="F1503" s="89">
        <v>13045000000</v>
      </c>
      <c r="G1503" s="89">
        <v>5618000000</v>
      </c>
      <c r="H1503" s="89">
        <v>1843000000</v>
      </c>
      <c r="I1503" s="89">
        <v>1358000000</v>
      </c>
      <c r="J1503" s="89">
        <v>0</v>
      </c>
      <c r="K1503" s="87" t="s">
        <v>28</v>
      </c>
      <c r="L1503" s="87" t="s">
        <v>40</v>
      </c>
      <c r="M1503" s="90">
        <f t="shared" si="141"/>
        <v>7427000000</v>
      </c>
      <c r="N1503" s="89">
        <f t="shared" si="142"/>
        <v>3201000000</v>
      </c>
      <c r="O1503" s="89">
        <f t="shared" si="143"/>
        <v>4226000000</v>
      </c>
      <c r="P1503" s="87">
        <f t="shared" si="139"/>
        <v>0.32395553852050596</v>
      </c>
      <c r="Q1503" s="87">
        <f t="shared" si="140"/>
        <v>0.56933691069375247</v>
      </c>
    </row>
    <row r="1504" spans="1:17">
      <c r="A1504" s="83">
        <v>1565</v>
      </c>
      <c r="B1504" s="83" t="s">
        <v>527</v>
      </c>
      <c r="C1504" s="83" t="s">
        <v>23</v>
      </c>
      <c r="D1504" s="84">
        <v>42776</v>
      </c>
      <c r="E1504" s="85">
        <f t="shared" si="138"/>
        <v>2017</v>
      </c>
      <c r="F1504" s="86">
        <v>13000000000</v>
      </c>
      <c r="G1504" s="86">
        <v>5440000000</v>
      </c>
      <c r="H1504" s="86">
        <v>1748000000</v>
      </c>
      <c r="I1504" s="86">
        <v>1280000000</v>
      </c>
      <c r="J1504" s="86">
        <v>0</v>
      </c>
      <c r="K1504" s="83" t="s">
        <v>28</v>
      </c>
      <c r="L1504" s="83" t="s">
        <v>40</v>
      </c>
      <c r="M1504" s="91">
        <f t="shared" si="141"/>
        <v>7560000000</v>
      </c>
      <c r="N1504" s="86">
        <f t="shared" si="142"/>
        <v>3028000000</v>
      </c>
      <c r="O1504" s="86">
        <f t="shared" si="143"/>
        <v>4532000000</v>
      </c>
      <c r="P1504" s="83">
        <f t="shared" si="139"/>
        <v>0.3486153846153846</v>
      </c>
      <c r="Q1504" s="83">
        <f t="shared" si="140"/>
        <v>0.58153846153846156</v>
      </c>
    </row>
    <row r="1505" spans="1:17">
      <c r="A1505" s="87">
        <v>1566</v>
      </c>
      <c r="B1505" s="87" t="s">
        <v>528</v>
      </c>
      <c r="C1505" s="87" t="s">
        <v>18</v>
      </c>
      <c r="D1505" s="84">
        <v>42777</v>
      </c>
      <c r="E1505" s="88">
        <f t="shared" si="138"/>
        <v>2017</v>
      </c>
      <c r="F1505" s="89">
        <v>12237000000</v>
      </c>
      <c r="G1505" s="89">
        <v>10019000000</v>
      </c>
      <c r="H1505" s="89">
        <v>1165000000</v>
      </c>
      <c r="I1505" s="89">
        <v>0</v>
      </c>
      <c r="J1505" s="89">
        <v>0</v>
      </c>
      <c r="K1505" s="87" t="s">
        <v>19</v>
      </c>
      <c r="L1505" s="87" t="s">
        <v>170</v>
      </c>
      <c r="M1505" s="90">
        <f t="shared" si="141"/>
        <v>2218000000</v>
      </c>
      <c r="N1505" s="89">
        <f t="shared" si="142"/>
        <v>1165000000</v>
      </c>
      <c r="O1505" s="89">
        <f t="shared" si="143"/>
        <v>1053000000</v>
      </c>
      <c r="P1505" s="87">
        <f t="shared" si="139"/>
        <v>8.6050502574160331E-2</v>
      </c>
      <c r="Q1505" s="87">
        <f t="shared" si="140"/>
        <v>0.18125357522268526</v>
      </c>
    </row>
    <row r="1506" spans="1:17">
      <c r="A1506" s="83">
        <v>1567</v>
      </c>
      <c r="B1506" s="83" t="s">
        <v>528</v>
      </c>
      <c r="C1506" s="83" t="s">
        <v>21</v>
      </c>
      <c r="D1506" s="84">
        <v>42778</v>
      </c>
      <c r="E1506" s="85">
        <f t="shared" si="138"/>
        <v>2017</v>
      </c>
      <c r="F1506" s="86">
        <v>12104000000</v>
      </c>
      <c r="G1506" s="86">
        <v>10131000000</v>
      </c>
      <c r="H1506" s="86">
        <v>1126000000</v>
      </c>
      <c r="I1506" s="86">
        <v>0</v>
      </c>
      <c r="J1506" s="86">
        <v>0</v>
      </c>
      <c r="K1506" s="83" t="s">
        <v>19</v>
      </c>
      <c r="L1506" s="83" t="s">
        <v>170</v>
      </c>
      <c r="M1506" s="91">
        <f t="shared" si="141"/>
        <v>1973000000</v>
      </c>
      <c r="N1506" s="86">
        <f t="shared" si="142"/>
        <v>1126000000</v>
      </c>
      <c r="O1506" s="86">
        <f t="shared" si="143"/>
        <v>847000000</v>
      </c>
      <c r="P1506" s="83">
        <f t="shared" si="139"/>
        <v>6.9976867151354927E-2</v>
      </c>
      <c r="Q1506" s="83">
        <f t="shared" si="140"/>
        <v>0.16300396563119635</v>
      </c>
    </row>
    <row r="1507" spans="1:17">
      <c r="A1507" s="87">
        <v>1568</v>
      </c>
      <c r="B1507" s="87" t="s">
        <v>528</v>
      </c>
      <c r="C1507" s="87" t="s">
        <v>22</v>
      </c>
      <c r="D1507" s="84">
        <v>42779</v>
      </c>
      <c r="E1507" s="88">
        <f t="shared" si="138"/>
        <v>2017</v>
      </c>
      <c r="F1507" s="89">
        <v>13878000000</v>
      </c>
      <c r="G1507" s="89">
        <v>11421000000</v>
      </c>
      <c r="H1507" s="89">
        <v>1361000000</v>
      </c>
      <c r="I1507" s="89">
        <v>0</v>
      </c>
      <c r="J1507" s="89">
        <v>0</v>
      </c>
      <c r="K1507" s="87" t="s">
        <v>19</v>
      </c>
      <c r="L1507" s="87" t="s">
        <v>170</v>
      </c>
      <c r="M1507" s="90">
        <f t="shared" si="141"/>
        <v>2457000000</v>
      </c>
      <c r="N1507" s="89">
        <f t="shared" si="142"/>
        <v>1361000000</v>
      </c>
      <c r="O1507" s="89">
        <f t="shared" si="143"/>
        <v>1096000000</v>
      </c>
      <c r="P1507" s="87">
        <f t="shared" si="139"/>
        <v>7.8973915549791038E-2</v>
      </c>
      <c r="Q1507" s="87">
        <f t="shared" si="140"/>
        <v>0.17704280155642027</v>
      </c>
    </row>
    <row r="1508" spans="1:17">
      <c r="A1508" s="83">
        <v>1569</v>
      </c>
      <c r="B1508" s="83" t="s">
        <v>528</v>
      </c>
      <c r="C1508" s="83" t="s">
        <v>23</v>
      </c>
      <c r="D1508" s="84">
        <v>42780</v>
      </c>
      <c r="E1508" s="85">
        <f t="shared" si="138"/>
        <v>2017</v>
      </c>
      <c r="F1508" s="86">
        <v>13423000000</v>
      </c>
      <c r="G1508" s="86">
        <v>10979000000</v>
      </c>
      <c r="H1508" s="86">
        <v>1304000000</v>
      </c>
      <c r="I1508" s="86">
        <v>0</v>
      </c>
      <c r="J1508" s="86">
        <v>0</v>
      </c>
      <c r="K1508" s="83" t="s">
        <v>19</v>
      </c>
      <c r="L1508" s="83" t="s">
        <v>170</v>
      </c>
      <c r="M1508" s="91">
        <f t="shared" si="141"/>
        <v>2444000000</v>
      </c>
      <c r="N1508" s="86">
        <f t="shared" si="142"/>
        <v>1304000000</v>
      </c>
      <c r="O1508" s="86">
        <f t="shared" si="143"/>
        <v>1140000000</v>
      </c>
      <c r="P1508" s="83">
        <f t="shared" si="139"/>
        <v>8.4928853460478279E-2</v>
      </c>
      <c r="Q1508" s="83">
        <f t="shared" si="140"/>
        <v>0.18207554198018328</v>
      </c>
    </row>
    <row r="1509" spans="1:17">
      <c r="A1509" s="87">
        <v>1570</v>
      </c>
      <c r="B1509" s="87" t="s">
        <v>529</v>
      </c>
      <c r="C1509" s="87" t="s">
        <v>18</v>
      </c>
      <c r="D1509" s="84">
        <v>42781</v>
      </c>
      <c r="E1509" s="88">
        <f t="shared" si="138"/>
        <v>2017</v>
      </c>
      <c r="F1509" s="89">
        <v>1834921000</v>
      </c>
      <c r="G1509" s="89">
        <v>955624000</v>
      </c>
      <c r="H1509" s="89">
        <v>670602000</v>
      </c>
      <c r="I1509" s="89">
        <v>0</v>
      </c>
      <c r="J1509" s="89">
        <v>0</v>
      </c>
      <c r="K1509" s="87" t="s">
        <v>25</v>
      </c>
      <c r="L1509" s="87" t="s">
        <v>295</v>
      </c>
      <c r="M1509" s="90">
        <f t="shared" si="141"/>
        <v>879297000</v>
      </c>
      <c r="N1509" s="89">
        <f t="shared" si="142"/>
        <v>670602000</v>
      </c>
      <c r="O1509" s="89">
        <f t="shared" si="143"/>
        <v>208695000</v>
      </c>
      <c r="P1509" s="87">
        <f t="shared" si="139"/>
        <v>0.11373514173089741</v>
      </c>
      <c r="Q1509" s="87">
        <f t="shared" si="140"/>
        <v>0.47920155690626465</v>
      </c>
    </row>
    <row r="1510" spans="1:17">
      <c r="A1510" s="83">
        <v>1571</v>
      </c>
      <c r="B1510" s="83" t="s">
        <v>529</v>
      </c>
      <c r="C1510" s="83" t="s">
        <v>21</v>
      </c>
      <c r="D1510" s="84">
        <v>42782</v>
      </c>
      <c r="E1510" s="85">
        <f t="shared" si="138"/>
        <v>2017</v>
      </c>
      <c r="F1510" s="86">
        <v>2332051000</v>
      </c>
      <c r="G1510" s="86">
        <v>1195381000</v>
      </c>
      <c r="H1510" s="86">
        <v>871572000</v>
      </c>
      <c r="I1510" s="86">
        <v>0</v>
      </c>
      <c r="J1510" s="86">
        <v>0</v>
      </c>
      <c r="K1510" s="83" t="s">
        <v>25</v>
      </c>
      <c r="L1510" s="83" t="s">
        <v>295</v>
      </c>
      <c r="M1510" s="91">
        <f t="shared" si="141"/>
        <v>1136670000</v>
      </c>
      <c r="N1510" s="86">
        <f t="shared" si="142"/>
        <v>871572000</v>
      </c>
      <c r="O1510" s="86">
        <f t="shared" si="143"/>
        <v>265098000</v>
      </c>
      <c r="P1510" s="83">
        <f t="shared" si="139"/>
        <v>0.11367590159906452</v>
      </c>
      <c r="Q1510" s="83">
        <f t="shared" si="140"/>
        <v>0.4874121535077921</v>
      </c>
    </row>
    <row r="1511" spans="1:17">
      <c r="A1511" s="87">
        <v>1572</v>
      </c>
      <c r="B1511" s="87" t="s">
        <v>529</v>
      </c>
      <c r="C1511" s="87" t="s">
        <v>22</v>
      </c>
      <c r="D1511" s="84">
        <v>42783</v>
      </c>
      <c r="E1511" s="88">
        <f t="shared" si="138"/>
        <v>2017</v>
      </c>
      <c r="F1511" s="89">
        <v>3084370000</v>
      </c>
      <c r="G1511" s="89">
        <v>1572164000</v>
      </c>
      <c r="H1511" s="89">
        <v>1158251000</v>
      </c>
      <c r="I1511" s="89">
        <v>0</v>
      </c>
      <c r="J1511" s="89">
        <v>0</v>
      </c>
      <c r="K1511" s="87" t="s">
        <v>25</v>
      </c>
      <c r="L1511" s="87" t="s">
        <v>295</v>
      </c>
      <c r="M1511" s="90">
        <f t="shared" si="141"/>
        <v>1512206000</v>
      </c>
      <c r="N1511" s="89">
        <f t="shared" si="142"/>
        <v>1158251000</v>
      </c>
      <c r="O1511" s="89">
        <f t="shared" si="143"/>
        <v>353955000</v>
      </c>
      <c r="P1511" s="87">
        <f t="shared" si="139"/>
        <v>0.11475763283912112</v>
      </c>
      <c r="Q1511" s="87">
        <f t="shared" si="140"/>
        <v>0.49028034898536821</v>
      </c>
    </row>
    <row r="1512" spans="1:17">
      <c r="A1512" s="83">
        <v>1573</v>
      </c>
      <c r="B1512" s="83" t="s">
        <v>529</v>
      </c>
      <c r="C1512" s="83" t="s">
        <v>23</v>
      </c>
      <c r="D1512" s="84">
        <v>42784</v>
      </c>
      <c r="E1512" s="85">
        <f t="shared" si="138"/>
        <v>2017</v>
      </c>
      <c r="F1512" s="86">
        <v>3963313000</v>
      </c>
      <c r="G1512" s="86">
        <v>2057766000</v>
      </c>
      <c r="H1512" s="86">
        <v>1497000000</v>
      </c>
      <c r="I1512" s="86">
        <v>0</v>
      </c>
      <c r="J1512" s="86">
        <v>0</v>
      </c>
      <c r="K1512" s="83" t="s">
        <v>25</v>
      </c>
      <c r="L1512" s="83" t="s">
        <v>295</v>
      </c>
      <c r="M1512" s="91">
        <f t="shared" si="141"/>
        <v>1905547000</v>
      </c>
      <c r="N1512" s="86">
        <f t="shared" si="142"/>
        <v>1497000000</v>
      </c>
      <c r="O1512" s="86">
        <f t="shared" si="143"/>
        <v>408547000</v>
      </c>
      <c r="P1512" s="83">
        <f t="shared" si="139"/>
        <v>0.10308219411386384</v>
      </c>
      <c r="Q1512" s="83">
        <f t="shared" si="140"/>
        <v>0.48079649525535828</v>
      </c>
    </row>
    <row r="1513" spans="1:17">
      <c r="A1513" s="87">
        <v>1574</v>
      </c>
      <c r="B1513" s="87" t="s">
        <v>530</v>
      </c>
      <c r="C1513" s="87" t="s">
        <v>18</v>
      </c>
      <c r="D1513" s="84">
        <v>42785</v>
      </c>
      <c r="E1513" s="88">
        <f t="shared" si="138"/>
        <v>2017</v>
      </c>
      <c r="F1513" s="89">
        <v>1834921000</v>
      </c>
      <c r="G1513" s="89">
        <v>955624000</v>
      </c>
      <c r="H1513" s="89">
        <v>670602000</v>
      </c>
      <c r="I1513" s="89">
        <v>0</v>
      </c>
      <c r="J1513" s="89">
        <v>0</v>
      </c>
      <c r="K1513" s="87" t="s">
        <v>25</v>
      </c>
      <c r="L1513" s="87" t="s">
        <v>295</v>
      </c>
      <c r="M1513" s="90">
        <f t="shared" si="141"/>
        <v>879297000</v>
      </c>
      <c r="N1513" s="89">
        <f t="shared" si="142"/>
        <v>670602000</v>
      </c>
      <c r="O1513" s="89">
        <f t="shared" si="143"/>
        <v>208695000</v>
      </c>
      <c r="P1513" s="87">
        <f t="shared" si="139"/>
        <v>0.11373514173089741</v>
      </c>
      <c r="Q1513" s="87">
        <f t="shared" si="140"/>
        <v>0.47920155690626465</v>
      </c>
    </row>
    <row r="1514" spans="1:17">
      <c r="A1514" s="83">
        <v>1575</v>
      </c>
      <c r="B1514" s="83" t="s">
        <v>530</v>
      </c>
      <c r="C1514" s="83" t="s">
        <v>21</v>
      </c>
      <c r="D1514" s="84">
        <v>42786</v>
      </c>
      <c r="E1514" s="85">
        <f t="shared" si="138"/>
        <v>2017</v>
      </c>
      <c r="F1514" s="86">
        <v>2332051000</v>
      </c>
      <c r="G1514" s="86">
        <v>1195381000</v>
      </c>
      <c r="H1514" s="86">
        <v>871572000</v>
      </c>
      <c r="I1514" s="86">
        <v>0</v>
      </c>
      <c r="J1514" s="86">
        <v>0</v>
      </c>
      <c r="K1514" s="83" t="s">
        <v>25</v>
      </c>
      <c r="L1514" s="83" t="s">
        <v>295</v>
      </c>
      <c r="M1514" s="91">
        <f t="shared" si="141"/>
        <v>1136670000</v>
      </c>
      <c r="N1514" s="86">
        <f t="shared" si="142"/>
        <v>871572000</v>
      </c>
      <c r="O1514" s="86">
        <f t="shared" si="143"/>
        <v>265098000</v>
      </c>
      <c r="P1514" s="83">
        <f t="shared" si="139"/>
        <v>0.11367590159906452</v>
      </c>
      <c r="Q1514" s="83">
        <f t="shared" si="140"/>
        <v>0.4874121535077921</v>
      </c>
    </row>
    <row r="1515" spans="1:17">
      <c r="A1515" s="87">
        <v>1576</v>
      </c>
      <c r="B1515" s="87" t="s">
        <v>530</v>
      </c>
      <c r="C1515" s="87" t="s">
        <v>22</v>
      </c>
      <c r="D1515" s="84">
        <v>42787</v>
      </c>
      <c r="E1515" s="88">
        <f t="shared" si="138"/>
        <v>2017</v>
      </c>
      <c r="F1515" s="89">
        <v>3084370000</v>
      </c>
      <c r="G1515" s="89">
        <v>1572164000</v>
      </c>
      <c r="H1515" s="89">
        <v>1158251000</v>
      </c>
      <c r="I1515" s="89">
        <v>0</v>
      </c>
      <c r="J1515" s="89">
        <v>0</v>
      </c>
      <c r="K1515" s="87" t="s">
        <v>25</v>
      </c>
      <c r="L1515" s="87" t="s">
        <v>295</v>
      </c>
      <c r="M1515" s="90">
        <f t="shared" si="141"/>
        <v>1512206000</v>
      </c>
      <c r="N1515" s="89">
        <f t="shared" si="142"/>
        <v>1158251000</v>
      </c>
      <c r="O1515" s="89">
        <f t="shared" si="143"/>
        <v>353955000</v>
      </c>
      <c r="P1515" s="87">
        <f t="shared" si="139"/>
        <v>0.11475763283912112</v>
      </c>
      <c r="Q1515" s="87">
        <f t="shared" si="140"/>
        <v>0.49028034898536821</v>
      </c>
    </row>
    <row r="1516" spans="1:17">
      <c r="A1516" s="83">
        <v>1577</v>
      </c>
      <c r="B1516" s="83" t="s">
        <v>530</v>
      </c>
      <c r="C1516" s="83" t="s">
        <v>23</v>
      </c>
      <c r="D1516" s="84">
        <v>42788</v>
      </c>
      <c r="E1516" s="85">
        <f t="shared" si="138"/>
        <v>2017</v>
      </c>
      <c r="F1516" s="86">
        <v>3963313000</v>
      </c>
      <c r="G1516" s="86">
        <v>2057766000</v>
      </c>
      <c r="H1516" s="86">
        <v>1497000000</v>
      </c>
      <c r="I1516" s="86">
        <v>0</v>
      </c>
      <c r="J1516" s="86">
        <v>0</v>
      </c>
      <c r="K1516" s="83" t="s">
        <v>25</v>
      </c>
      <c r="L1516" s="83" t="s">
        <v>295</v>
      </c>
      <c r="M1516" s="91">
        <f t="shared" si="141"/>
        <v>1905547000</v>
      </c>
      <c r="N1516" s="86">
        <f t="shared" si="142"/>
        <v>1497000000</v>
      </c>
      <c r="O1516" s="86">
        <f t="shared" si="143"/>
        <v>408547000</v>
      </c>
      <c r="P1516" s="83">
        <f t="shared" si="139"/>
        <v>0.10308219411386384</v>
      </c>
      <c r="Q1516" s="83">
        <f t="shared" si="140"/>
        <v>0.48079649525535828</v>
      </c>
    </row>
    <row r="1517" spans="1:17">
      <c r="A1517" s="87">
        <v>1578</v>
      </c>
      <c r="B1517" s="87" t="s">
        <v>531</v>
      </c>
      <c r="C1517" s="87" t="s">
        <v>18</v>
      </c>
      <c r="D1517" s="84">
        <v>42789</v>
      </c>
      <c r="E1517" s="88">
        <f t="shared" si="138"/>
        <v>2017</v>
      </c>
      <c r="F1517" s="89">
        <v>37152000000</v>
      </c>
      <c r="G1517" s="89">
        <v>17820000000</v>
      </c>
      <c r="H1517" s="89">
        <v>16448000000</v>
      </c>
      <c r="I1517" s="89">
        <v>0</v>
      </c>
      <c r="J1517" s="89">
        <v>1522000000</v>
      </c>
      <c r="K1517" s="87" t="s">
        <v>19</v>
      </c>
      <c r="L1517" s="87" t="s">
        <v>20</v>
      </c>
      <c r="M1517" s="90">
        <f t="shared" si="141"/>
        <v>19332000000</v>
      </c>
      <c r="N1517" s="89">
        <f t="shared" si="142"/>
        <v>17970000000</v>
      </c>
      <c r="O1517" s="89">
        <f t="shared" si="143"/>
        <v>1362000000</v>
      </c>
      <c r="P1517" s="87">
        <f t="shared" si="139"/>
        <v>3.6660206718346251E-2</v>
      </c>
      <c r="Q1517" s="87">
        <f t="shared" si="140"/>
        <v>0.52034883720930236</v>
      </c>
    </row>
    <row r="1518" spans="1:17">
      <c r="A1518" s="83">
        <v>1579</v>
      </c>
      <c r="B1518" s="83" t="s">
        <v>531</v>
      </c>
      <c r="C1518" s="83" t="s">
        <v>21</v>
      </c>
      <c r="D1518" s="84">
        <v>42790</v>
      </c>
      <c r="E1518" s="85">
        <f t="shared" si="138"/>
        <v>2017</v>
      </c>
      <c r="F1518" s="86">
        <v>38279000000</v>
      </c>
      <c r="G1518" s="86">
        <v>17192000000</v>
      </c>
      <c r="H1518" s="86">
        <v>17629000000</v>
      </c>
      <c r="I1518" s="86">
        <v>0</v>
      </c>
      <c r="J1518" s="86">
        <v>1689000000</v>
      </c>
      <c r="K1518" s="83" t="s">
        <v>19</v>
      </c>
      <c r="L1518" s="83" t="s">
        <v>20</v>
      </c>
      <c r="M1518" s="91">
        <f t="shared" si="141"/>
        <v>21087000000</v>
      </c>
      <c r="N1518" s="86">
        <f t="shared" si="142"/>
        <v>19318000000</v>
      </c>
      <c r="O1518" s="86">
        <f t="shared" si="143"/>
        <v>1769000000</v>
      </c>
      <c r="P1518" s="83">
        <f t="shared" si="139"/>
        <v>4.6213328456856238E-2</v>
      </c>
      <c r="Q1518" s="83">
        <f t="shared" si="140"/>
        <v>0.5508764596776301</v>
      </c>
    </row>
    <row r="1519" spans="1:17">
      <c r="A1519" s="87">
        <v>1580</v>
      </c>
      <c r="B1519" s="87" t="s">
        <v>531</v>
      </c>
      <c r="C1519" s="87" t="s">
        <v>22</v>
      </c>
      <c r="D1519" s="84">
        <v>42791</v>
      </c>
      <c r="E1519" s="88">
        <f t="shared" si="138"/>
        <v>2017</v>
      </c>
      <c r="F1519" s="89">
        <v>38901000000</v>
      </c>
      <c r="G1519" s="89">
        <v>16611000000</v>
      </c>
      <c r="H1519" s="89">
        <v>17795000000</v>
      </c>
      <c r="I1519" s="89">
        <v>0</v>
      </c>
      <c r="J1519" s="89">
        <v>1679000000</v>
      </c>
      <c r="K1519" s="87" t="s">
        <v>19</v>
      </c>
      <c r="L1519" s="87" t="s">
        <v>20</v>
      </c>
      <c r="M1519" s="90">
        <f t="shared" si="141"/>
        <v>22290000000</v>
      </c>
      <c r="N1519" s="89">
        <f t="shared" si="142"/>
        <v>19474000000</v>
      </c>
      <c r="O1519" s="89">
        <f t="shared" si="143"/>
        <v>2816000000</v>
      </c>
      <c r="P1519" s="87">
        <f t="shared" si="139"/>
        <v>7.2388884604508888E-2</v>
      </c>
      <c r="Q1519" s="87">
        <f t="shared" si="140"/>
        <v>0.57299298218554795</v>
      </c>
    </row>
    <row r="1520" spans="1:17">
      <c r="A1520" s="83">
        <v>1581</v>
      </c>
      <c r="B1520" s="83" t="s">
        <v>531</v>
      </c>
      <c r="C1520" s="83" t="s">
        <v>23</v>
      </c>
      <c r="D1520" s="84">
        <v>42792</v>
      </c>
      <c r="E1520" s="85">
        <f t="shared" si="138"/>
        <v>2017</v>
      </c>
      <c r="F1520" s="86">
        <v>37864000000</v>
      </c>
      <c r="G1520" s="86">
        <v>12130000000</v>
      </c>
      <c r="H1520" s="86">
        <v>18423000000</v>
      </c>
      <c r="I1520" s="86">
        <v>0</v>
      </c>
      <c r="J1520" s="86">
        <v>1819000000</v>
      </c>
      <c r="K1520" s="83" t="s">
        <v>19</v>
      </c>
      <c r="L1520" s="83" t="s">
        <v>20</v>
      </c>
      <c r="M1520" s="91">
        <f t="shared" si="141"/>
        <v>25734000000</v>
      </c>
      <c r="N1520" s="86">
        <f t="shared" si="142"/>
        <v>20242000000</v>
      </c>
      <c r="O1520" s="86">
        <f t="shared" si="143"/>
        <v>5492000000</v>
      </c>
      <c r="P1520" s="83">
        <f t="shared" si="139"/>
        <v>0.14504542573420665</v>
      </c>
      <c r="Q1520" s="83">
        <f t="shared" si="140"/>
        <v>0.67964293260088737</v>
      </c>
    </row>
    <row r="1521" spans="1:17">
      <c r="A1521" s="87">
        <v>1582</v>
      </c>
      <c r="B1521" s="87" t="s">
        <v>532</v>
      </c>
      <c r="C1521" s="87" t="s">
        <v>18</v>
      </c>
      <c r="D1521" s="84">
        <v>42793</v>
      </c>
      <c r="E1521" s="88">
        <f t="shared" si="138"/>
        <v>2017</v>
      </c>
      <c r="F1521" s="89">
        <v>716612000</v>
      </c>
      <c r="G1521" s="89">
        <v>245316000</v>
      </c>
      <c r="H1521" s="89">
        <v>58005000</v>
      </c>
      <c r="I1521" s="89">
        <v>0</v>
      </c>
      <c r="J1521" s="89">
        <v>346031000</v>
      </c>
      <c r="K1521" s="87" t="s">
        <v>58</v>
      </c>
      <c r="L1521" s="87" t="s">
        <v>240</v>
      </c>
      <c r="M1521" s="90">
        <f t="shared" si="141"/>
        <v>471296000</v>
      </c>
      <c r="N1521" s="89">
        <f t="shared" si="142"/>
        <v>404036000</v>
      </c>
      <c r="O1521" s="89">
        <f t="shared" si="143"/>
        <v>67260000</v>
      </c>
      <c r="P1521" s="87">
        <f t="shared" si="139"/>
        <v>9.3858322216206255E-2</v>
      </c>
      <c r="Q1521" s="87">
        <f t="shared" si="140"/>
        <v>0.65767249222731405</v>
      </c>
    </row>
    <row r="1522" spans="1:17">
      <c r="A1522" s="83">
        <v>1583</v>
      </c>
      <c r="B1522" s="83" t="s">
        <v>532</v>
      </c>
      <c r="C1522" s="83" t="s">
        <v>21</v>
      </c>
      <c r="D1522" s="84">
        <v>42794</v>
      </c>
      <c r="E1522" s="85">
        <f t="shared" si="138"/>
        <v>2017</v>
      </c>
      <c r="F1522" s="86">
        <v>758926000</v>
      </c>
      <c r="G1522" s="86">
        <v>258612000</v>
      </c>
      <c r="H1522" s="86">
        <v>37121000</v>
      </c>
      <c r="I1522" s="86">
        <v>0</v>
      </c>
      <c r="J1522" s="86">
        <v>346273000</v>
      </c>
      <c r="K1522" s="83" t="s">
        <v>58</v>
      </c>
      <c r="L1522" s="83" t="s">
        <v>240</v>
      </c>
      <c r="M1522" s="91">
        <f t="shared" si="141"/>
        <v>500314000</v>
      </c>
      <c r="N1522" s="86">
        <f t="shared" si="142"/>
        <v>383394000</v>
      </c>
      <c r="O1522" s="86">
        <f t="shared" si="143"/>
        <v>116920000</v>
      </c>
      <c r="P1522" s="83">
        <f t="shared" si="139"/>
        <v>0.1540598161085534</v>
      </c>
      <c r="Q1522" s="83">
        <f t="shared" si="140"/>
        <v>0.6592395042467909</v>
      </c>
    </row>
    <row r="1523" spans="1:17">
      <c r="A1523" s="87">
        <v>1584</v>
      </c>
      <c r="B1523" s="87" t="s">
        <v>532</v>
      </c>
      <c r="C1523" s="87" t="s">
        <v>22</v>
      </c>
      <c r="D1523" s="84">
        <v>42795</v>
      </c>
      <c r="E1523" s="88">
        <f t="shared" si="138"/>
        <v>2017</v>
      </c>
      <c r="F1523" s="89">
        <v>818046000</v>
      </c>
      <c r="G1523" s="89">
        <v>270741000</v>
      </c>
      <c r="H1523" s="89">
        <v>56612000</v>
      </c>
      <c r="I1523" s="89">
        <v>0</v>
      </c>
      <c r="J1523" s="89">
        <v>363929000</v>
      </c>
      <c r="K1523" s="87" t="s">
        <v>58</v>
      </c>
      <c r="L1523" s="87" t="s">
        <v>240</v>
      </c>
      <c r="M1523" s="90">
        <f t="shared" si="141"/>
        <v>547305000</v>
      </c>
      <c r="N1523" s="89">
        <f t="shared" si="142"/>
        <v>420541000</v>
      </c>
      <c r="O1523" s="89">
        <f t="shared" si="143"/>
        <v>126764000</v>
      </c>
      <c r="P1523" s="87">
        <f t="shared" si="139"/>
        <v>0.1549595010549529</v>
      </c>
      <c r="Q1523" s="87">
        <f t="shared" si="140"/>
        <v>0.66903939387271616</v>
      </c>
    </row>
    <row r="1524" spans="1:17">
      <c r="A1524" s="83">
        <v>1585</v>
      </c>
      <c r="B1524" s="83" t="s">
        <v>532</v>
      </c>
      <c r="C1524" s="83" t="s">
        <v>23</v>
      </c>
      <c r="D1524" s="84">
        <v>42796</v>
      </c>
      <c r="E1524" s="85">
        <f t="shared" si="138"/>
        <v>2017</v>
      </c>
      <c r="F1524" s="86">
        <v>894638000</v>
      </c>
      <c r="G1524" s="86">
        <v>282037000</v>
      </c>
      <c r="H1524" s="86">
        <v>71733000</v>
      </c>
      <c r="I1524" s="86">
        <v>0</v>
      </c>
      <c r="J1524" s="86">
        <v>381277000</v>
      </c>
      <c r="K1524" s="83" t="s">
        <v>58</v>
      </c>
      <c r="L1524" s="83" t="s">
        <v>240</v>
      </c>
      <c r="M1524" s="91">
        <f t="shared" si="141"/>
        <v>612601000</v>
      </c>
      <c r="N1524" s="86">
        <f t="shared" si="142"/>
        <v>453010000</v>
      </c>
      <c r="O1524" s="86">
        <f t="shared" si="143"/>
        <v>159591000</v>
      </c>
      <c r="P1524" s="83">
        <f t="shared" si="139"/>
        <v>0.17838611818411471</v>
      </c>
      <c r="Q1524" s="83">
        <f t="shared" si="140"/>
        <v>0.68474735032493594</v>
      </c>
    </row>
    <row r="1525" spans="1:17">
      <c r="A1525" s="87">
        <v>1590</v>
      </c>
      <c r="B1525" s="87" t="s">
        <v>533</v>
      </c>
      <c r="C1525" s="87" t="s">
        <v>18</v>
      </c>
      <c r="D1525" s="84">
        <v>42797</v>
      </c>
      <c r="E1525" s="88">
        <f t="shared" si="138"/>
        <v>2017</v>
      </c>
      <c r="F1525" s="89">
        <v>2220256000</v>
      </c>
      <c r="G1525" s="89">
        <v>1436582000</v>
      </c>
      <c r="H1525" s="89">
        <v>488880000</v>
      </c>
      <c r="I1525" s="89">
        <v>0</v>
      </c>
      <c r="J1525" s="89">
        <v>0</v>
      </c>
      <c r="K1525" s="87" t="s">
        <v>25</v>
      </c>
      <c r="L1525" s="87" t="s">
        <v>85</v>
      </c>
      <c r="M1525" s="90">
        <f t="shared" si="141"/>
        <v>783674000</v>
      </c>
      <c r="N1525" s="89">
        <f t="shared" si="142"/>
        <v>488880000</v>
      </c>
      <c r="O1525" s="89">
        <f t="shared" si="143"/>
        <v>294794000</v>
      </c>
      <c r="P1525" s="87">
        <f t="shared" si="139"/>
        <v>0.13277477912456942</v>
      </c>
      <c r="Q1525" s="87">
        <f t="shared" si="140"/>
        <v>0.35296560396638943</v>
      </c>
    </row>
    <row r="1526" spans="1:17">
      <c r="A1526" s="83">
        <v>1591</v>
      </c>
      <c r="B1526" s="83" t="s">
        <v>533</v>
      </c>
      <c r="C1526" s="83" t="s">
        <v>21</v>
      </c>
      <c r="D1526" s="84">
        <v>42798</v>
      </c>
      <c r="E1526" s="85">
        <f t="shared" si="138"/>
        <v>2017</v>
      </c>
      <c r="F1526" s="86">
        <v>2670573000</v>
      </c>
      <c r="G1526" s="86">
        <v>1729325000</v>
      </c>
      <c r="H1526" s="86">
        <v>596390000</v>
      </c>
      <c r="I1526" s="86">
        <v>0</v>
      </c>
      <c r="J1526" s="86">
        <v>0</v>
      </c>
      <c r="K1526" s="83" t="s">
        <v>25</v>
      </c>
      <c r="L1526" s="83" t="s">
        <v>85</v>
      </c>
      <c r="M1526" s="91">
        <f t="shared" si="141"/>
        <v>941248000</v>
      </c>
      <c r="N1526" s="86">
        <f t="shared" si="142"/>
        <v>596390000</v>
      </c>
      <c r="O1526" s="86">
        <f t="shared" si="143"/>
        <v>344858000</v>
      </c>
      <c r="P1526" s="83">
        <f t="shared" si="139"/>
        <v>0.12913258690176227</v>
      </c>
      <c r="Q1526" s="83">
        <f t="shared" si="140"/>
        <v>0.35245170231257483</v>
      </c>
    </row>
    <row r="1527" spans="1:17">
      <c r="A1527" s="87">
        <v>1592</v>
      </c>
      <c r="B1527" s="87" t="s">
        <v>533</v>
      </c>
      <c r="C1527" s="87" t="s">
        <v>22</v>
      </c>
      <c r="D1527" s="84">
        <v>42799</v>
      </c>
      <c r="E1527" s="88">
        <f t="shared" si="138"/>
        <v>2017</v>
      </c>
      <c r="F1527" s="89">
        <v>3241369000</v>
      </c>
      <c r="G1527" s="89">
        <v>2104582000</v>
      </c>
      <c r="H1527" s="89">
        <v>712006000</v>
      </c>
      <c r="I1527" s="89">
        <v>0</v>
      </c>
      <c r="J1527" s="89">
        <v>0</v>
      </c>
      <c r="K1527" s="87" t="s">
        <v>25</v>
      </c>
      <c r="L1527" s="87" t="s">
        <v>85</v>
      </c>
      <c r="M1527" s="90">
        <f t="shared" si="141"/>
        <v>1136787000</v>
      </c>
      <c r="N1527" s="89">
        <f t="shared" si="142"/>
        <v>712006000</v>
      </c>
      <c r="O1527" s="89">
        <f t="shared" si="143"/>
        <v>424781000</v>
      </c>
      <c r="P1527" s="87">
        <f t="shared" si="139"/>
        <v>0.13104987429694059</v>
      </c>
      <c r="Q1527" s="87">
        <f t="shared" si="140"/>
        <v>0.35071199854135704</v>
      </c>
    </row>
    <row r="1528" spans="1:17">
      <c r="A1528" s="83">
        <v>1593</v>
      </c>
      <c r="B1528" s="83" t="s">
        <v>533</v>
      </c>
      <c r="C1528" s="83" t="s">
        <v>23</v>
      </c>
      <c r="D1528" s="84">
        <v>42800</v>
      </c>
      <c r="E1528" s="85">
        <f t="shared" si="138"/>
        <v>2017</v>
      </c>
      <c r="F1528" s="86">
        <v>3924116000</v>
      </c>
      <c r="G1528" s="86">
        <v>2539783000</v>
      </c>
      <c r="H1528" s="86">
        <v>863354000</v>
      </c>
      <c r="I1528" s="86">
        <v>0</v>
      </c>
      <c r="J1528" s="86">
        <v>0</v>
      </c>
      <c r="K1528" s="83" t="s">
        <v>25</v>
      </c>
      <c r="L1528" s="83" t="s">
        <v>85</v>
      </c>
      <c r="M1528" s="91">
        <f t="shared" si="141"/>
        <v>1384333000</v>
      </c>
      <c r="N1528" s="86">
        <f t="shared" si="142"/>
        <v>863354000</v>
      </c>
      <c r="O1528" s="86">
        <f t="shared" si="143"/>
        <v>520979000</v>
      </c>
      <c r="P1528" s="83">
        <f t="shared" si="139"/>
        <v>0.13276340454767394</v>
      </c>
      <c r="Q1528" s="83">
        <f t="shared" si="140"/>
        <v>0.35277575892251911</v>
      </c>
    </row>
    <row r="1529" spans="1:17">
      <c r="A1529" s="87">
        <v>1594</v>
      </c>
      <c r="B1529" s="87" t="s">
        <v>534</v>
      </c>
      <c r="C1529" s="87" t="s">
        <v>18</v>
      </c>
      <c r="D1529" s="84">
        <v>42801</v>
      </c>
      <c r="E1529" s="88">
        <f t="shared" si="138"/>
        <v>2017</v>
      </c>
      <c r="F1529" s="89">
        <v>122489000000</v>
      </c>
      <c r="G1529" s="89">
        <v>89659000000</v>
      </c>
      <c r="H1529" s="89">
        <v>0</v>
      </c>
      <c r="I1529" s="89">
        <v>0</v>
      </c>
      <c r="J1529" s="89">
        <v>23207000000</v>
      </c>
      <c r="K1529" s="87" t="s">
        <v>31</v>
      </c>
      <c r="L1529" s="87" t="s">
        <v>87</v>
      </c>
      <c r="M1529" s="90">
        <f t="shared" si="141"/>
        <v>32830000000</v>
      </c>
      <c r="N1529" s="89">
        <f t="shared" si="142"/>
        <v>23207000000</v>
      </c>
      <c r="O1529" s="89">
        <f t="shared" si="143"/>
        <v>9623000000</v>
      </c>
      <c r="P1529" s="87">
        <f t="shared" si="139"/>
        <v>7.8562156601817312E-2</v>
      </c>
      <c r="Q1529" s="87">
        <f t="shared" si="140"/>
        <v>0.2680240674672828</v>
      </c>
    </row>
    <row r="1530" spans="1:17">
      <c r="A1530" s="83">
        <v>1595</v>
      </c>
      <c r="B1530" s="83" t="s">
        <v>534</v>
      </c>
      <c r="C1530" s="83" t="s">
        <v>21</v>
      </c>
      <c r="D1530" s="84">
        <v>42802</v>
      </c>
      <c r="E1530" s="85">
        <f t="shared" si="138"/>
        <v>2017</v>
      </c>
      <c r="F1530" s="86">
        <v>130474000000</v>
      </c>
      <c r="G1530" s="86">
        <v>93633000000</v>
      </c>
      <c r="H1530" s="86">
        <v>0</v>
      </c>
      <c r="I1530" s="86">
        <v>0</v>
      </c>
      <c r="J1530" s="86">
        <v>26567000000</v>
      </c>
      <c r="K1530" s="83" t="s">
        <v>31</v>
      </c>
      <c r="L1530" s="83" t="s">
        <v>87</v>
      </c>
      <c r="M1530" s="91">
        <f t="shared" si="141"/>
        <v>36841000000</v>
      </c>
      <c r="N1530" s="86">
        <f t="shared" si="142"/>
        <v>26567000000</v>
      </c>
      <c r="O1530" s="86">
        <f t="shared" si="143"/>
        <v>10274000000</v>
      </c>
      <c r="P1530" s="83">
        <f t="shared" si="139"/>
        <v>7.8743657740239434E-2</v>
      </c>
      <c r="Q1530" s="83">
        <f t="shared" si="140"/>
        <v>0.28236276959394213</v>
      </c>
    </row>
    <row r="1531" spans="1:17">
      <c r="A1531" s="87">
        <v>1596</v>
      </c>
      <c r="B1531" s="87" t="s">
        <v>534</v>
      </c>
      <c r="C1531" s="87" t="s">
        <v>22</v>
      </c>
      <c r="D1531" s="84">
        <v>42803</v>
      </c>
      <c r="E1531" s="88">
        <f t="shared" si="138"/>
        <v>2017</v>
      </c>
      <c r="F1531" s="89">
        <v>157107000000</v>
      </c>
      <c r="G1531" s="89">
        <v>103875000000</v>
      </c>
      <c r="H1531" s="89">
        <v>0</v>
      </c>
      <c r="I1531" s="89">
        <v>0</v>
      </c>
      <c r="J1531" s="89">
        <v>42211000000</v>
      </c>
      <c r="K1531" s="87" t="s">
        <v>31</v>
      </c>
      <c r="L1531" s="87" t="s">
        <v>87</v>
      </c>
      <c r="M1531" s="90">
        <f t="shared" si="141"/>
        <v>53232000000</v>
      </c>
      <c r="N1531" s="89">
        <f t="shared" si="142"/>
        <v>42211000000</v>
      </c>
      <c r="O1531" s="89">
        <f t="shared" si="143"/>
        <v>11021000000</v>
      </c>
      <c r="P1531" s="87">
        <f t="shared" si="139"/>
        <v>7.0149643236774931E-2</v>
      </c>
      <c r="Q1531" s="87">
        <f t="shared" si="140"/>
        <v>0.33882640493421678</v>
      </c>
    </row>
    <row r="1532" spans="1:17">
      <c r="A1532" s="83">
        <v>1597</v>
      </c>
      <c r="B1532" s="83" t="s">
        <v>534</v>
      </c>
      <c r="C1532" s="83" t="s">
        <v>23</v>
      </c>
      <c r="D1532" s="84">
        <v>42804</v>
      </c>
      <c r="E1532" s="85">
        <f t="shared" si="138"/>
        <v>2017</v>
      </c>
      <c r="F1532" s="86">
        <v>184840000000</v>
      </c>
      <c r="G1532" s="86">
        <v>117038000000</v>
      </c>
      <c r="H1532" s="86">
        <v>0</v>
      </c>
      <c r="I1532" s="86">
        <v>0</v>
      </c>
      <c r="J1532" s="86">
        <v>54872000000</v>
      </c>
      <c r="K1532" s="83" t="s">
        <v>31</v>
      </c>
      <c r="L1532" s="83" t="s">
        <v>87</v>
      </c>
      <c r="M1532" s="91">
        <f t="shared" si="141"/>
        <v>67802000000</v>
      </c>
      <c r="N1532" s="86">
        <f t="shared" si="142"/>
        <v>54872000000</v>
      </c>
      <c r="O1532" s="86">
        <f t="shared" si="143"/>
        <v>12930000000</v>
      </c>
      <c r="P1532" s="83">
        <f t="shared" si="139"/>
        <v>6.9952391257303612E-2</v>
      </c>
      <c r="Q1532" s="83">
        <f t="shared" si="140"/>
        <v>0.36681454230685995</v>
      </c>
    </row>
    <row r="1533" spans="1:17">
      <c r="A1533" s="87">
        <v>1598</v>
      </c>
      <c r="B1533" s="87" t="s">
        <v>535</v>
      </c>
      <c r="C1533" s="87" t="s">
        <v>18</v>
      </c>
      <c r="D1533" s="84">
        <v>42805</v>
      </c>
      <c r="E1533" s="88">
        <f t="shared" si="138"/>
        <v>2017</v>
      </c>
      <c r="F1533" s="89">
        <v>10515400000</v>
      </c>
      <c r="G1533" s="89">
        <v>7172100000</v>
      </c>
      <c r="H1533" s="89">
        <v>786800000</v>
      </c>
      <c r="I1533" s="89">
        <v>0</v>
      </c>
      <c r="J1533" s="89">
        <v>1161600000</v>
      </c>
      <c r="K1533" s="87" t="s">
        <v>53</v>
      </c>
      <c r="L1533" s="87" t="s">
        <v>385</v>
      </c>
      <c r="M1533" s="90">
        <f t="shared" si="141"/>
        <v>3343300000</v>
      </c>
      <c r="N1533" s="89">
        <f t="shared" si="142"/>
        <v>1948400000</v>
      </c>
      <c r="O1533" s="89">
        <f t="shared" si="143"/>
        <v>1394900000</v>
      </c>
      <c r="P1533" s="87">
        <f t="shared" si="139"/>
        <v>0.1326530612244898</v>
      </c>
      <c r="Q1533" s="87">
        <f t="shared" si="140"/>
        <v>0.31794320710576873</v>
      </c>
    </row>
    <row r="1534" spans="1:17">
      <c r="A1534" s="83">
        <v>1599</v>
      </c>
      <c r="B1534" s="83" t="s">
        <v>535</v>
      </c>
      <c r="C1534" s="83" t="s">
        <v>21</v>
      </c>
      <c r="D1534" s="84">
        <v>42806</v>
      </c>
      <c r="E1534" s="85">
        <f t="shared" si="138"/>
        <v>2017</v>
      </c>
      <c r="F1534" s="86">
        <v>10368600000</v>
      </c>
      <c r="G1534" s="86">
        <v>7038400000</v>
      </c>
      <c r="H1534" s="86">
        <v>790400000</v>
      </c>
      <c r="I1534" s="86">
        <v>0</v>
      </c>
      <c r="J1534" s="86">
        <v>1170400000</v>
      </c>
      <c r="K1534" s="83" t="s">
        <v>53</v>
      </c>
      <c r="L1534" s="83" t="s">
        <v>385</v>
      </c>
      <c r="M1534" s="91">
        <f t="shared" si="141"/>
        <v>3330200000</v>
      </c>
      <c r="N1534" s="86">
        <f t="shared" si="142"/>
        <v>1960800000</v>
      </c>
      <c r="O1534" s="86">
        <f t="shared" si="143"/>
        <v>1369400000</v>
      </c>
      <c r="P1534" s="83">
        <f t="shared" si="139"/>
        <v>0.13207183226279343</v>
      </c>
      <c r="Q1534" s="83">
        <f t="shared" si="140"/>
        <v>0.32118125880060955</v>
      </c>
    </row>
    <row r="1535" spans="1:17">
      <c r="A1535" s="87">
        <v>1600</v>
      </c>
      <c r="B1535" s="87" t="s">
        <v>535</v>
      </c>
      <c r="C1535" s="87" t="s">
        <v>22</v>
      </c>
      <c r="D1535" s="84">
        <v>42807</v>
      </c>
      <c r="E1535" s="88">
        <f t="shared" ref="E1535:E1598" si="144">YEAR(D1535)</f>
        <v>2017</v>
      </c>
      <c r="F1535" s="89">
        <v>10524500000</v>
      </c>
      <c r="G1535" s="89">
        <v>7722100000</v>
      </c>
      <c r="H1535" s="89">
        <v>820900000</v>
      </c>
      <c r="I1535" s="89">
        <v>0</v>
      </c>
      <c r="J1535" s="89">
        <v>1272000000</v>
      </c>
      <c r="K1535" s="87" t="s">
        <v>53</v>
      </c>
      <c r="L1535" s="87" t="s">
        <v>385</v>
      </c>
      <c r="M1535" s="90">
        <f t="shared" si="141"/>
        <v>2802400000</v>
      </c>
      <c r="N1535" s="89">
        <f t="shared" si="142"/>
        <v>2092900000</v>
      </c>
      <c r="O1535" s="89">
        <f t="shared" si="143"/>
        <v>709500000</v>
      </c>
      <c r="P1535" s="87">
        <f t="shared" si="139"/>
        <v>6.7414128937241677E-2</v>
      </c>
      <c r="Q1535" s="87">
        <f t="shared" si="140"/>
        <v>0.26627393225331375</v>
      </c>
    </row>
    <row r="1536" spans="1:17">
      <c r="A1536" s="83">
        <v>1601</v>
      </c>
      <c r="B1536" s="83" t="s">
        <v>535</v>
      </c>
      <c r="C1536" s="83" t="s">
        <v>23</v>
      </c>
      <c r="D1536" s="84">
        <v>42808</v>
      </c>
      <c r="E1536" s="85">
        <f t="shared" si="144"/>
        <v>2017</v>
      </c>
      <c r="F1536" s="86">
        <v>10731300000</v>
      </c>
      <c r="G1536" s="86">
        <v>7209400000</v>
      </c>
      <c r="H1536" s="86">
        <v>835100000</v>
      </c>
      <c r="I1536" s="86">
        <v>0</v>
      </c>
      <c r="J1536" s="86">
        <v>1295700000</v>
      </c>
      <c r="K1536" s="83" t="s">
        <v>53</v>
      </c>
      <c r="L1536" s="83" t="s">
        <v>385</v>
      </c>
      <c r="M1536" s="91">
        <f t="shared" si="141"/>
        <v>3521900000</v>
      </c>
      <c r="N1536" s="86">
        <f t="shared" si="142"/>
        <v>2130800000</v>
      </c>
      <c r="O1536" s="86">
        <f t="shared" si="143"/>
        <v>1391100000</v>
      </c>
      <c r="P1536" s="83">
        <f t="shared" si="139"/>
        <v>0.12963014732604625</v>
      </c>
      <c r="Q1536" s="83">
        <f t="shared" si="140"/>
        <v>0.32818950173790684</v>
      </c>
    </row>
    <row r="1537" spans="1:17">
      <c r="A1537" s="87">
        <v>1602</v>
      </c>
      <c r="B1537" s="87" t="s">
        <v>536</v>
      </c>
      <c r="C1537" s="87" t="s">
        <v>18</v>
      </c>
      <c r="D1537" s="84">
        <v>42809</v>
      </c>
      <c r="E1537" s="88">
        <f t="shared" si="144"/>
        <v>2017</v>
      </c>
      <c r="F1537" s="89">
        <v>21963000000</v>
      </c>
      <c r="G1537" s="89">
        <v>5849000000</v>
      </c>
      <c r="H1537" s="89">
        <v>6891000000</v>
      </c>
      <c r="I1537" s="89">
        <v>0</v>
      </c>
      <c r="J1537" s="89">
        <v>1777000000</v>
      </c>
      <c r="K1537" s="87" t="s">
        <v>19</v>
      </c>
      <c r="L1537" s="87" t="s">
        <v>184</v>
      </c>
      <c r="M1537" s="90">
        <f t="shared" si="141"/>
        <v>16114000000</v>
      </c>
      <c r="N1537" s="89">
        <f t="shared" si="142"/>
        <v>8668000000</v>
      </c>
      <c r="O1537" s="89">
        <f t="shared" si="143"/>
        <v>7446000000</v>
      </c>
      <c r="P1537" s="87">
        <f t="shared" si="139"/>
        <v>0.33902472339844286</v>
      </c>
      <c r="Q1537" s="87">
        <f t="shared" si="140"/>
        <v>0.73368847607339616</v>
      </c>
    </row>
    <row r="1538" spans="1:17">
      <c r="A1538" s="83">
        <v>1603</v>
      </c>
      <c r="B1538" s="83" t="s">
        <v>536</v>
      </c>
      <c r="C1538" s="83" t="s">
        <v>21</v>
      </c>
      <c r="D1538" s="84">
        <v>42810</v>
      </c>
      <c r="E1538" s="85">
        <f t="shared" si="144"/>
        <v>2017</v>
      </c>
      <c r="F1538" s="86">
        <v>23988000000</v>
      </c>
      <c r="G1538" s="86">
        <v>6097000000</v>
      </c>
      <c r="H1538" s="86">
        <v>7234000000</v>
      </c>
      <c r="I1538" s="86">
        <v>0</v>
      </c>
      <c r="J1538" s="86">
        <v>1904000000</v>
      </c>
      <c r="K1538" s="83" t="s">
        <v>19</v>
      </c>
      <c r="L1538" s="83" t="s">
        <v>184</v>
      </c>
      <c r="M1538" s="91">
        <f t="shared" si="141"/>
        <v>17891000000</v>
      </c>
      <c r="N1538" s="86">
        <f t="shared" si="142"/>
        <v>9138000000</v>
      </c>
      <c r="O1538" s="86">
        <f t="shared" si="143"/>
        <v>8753000000</v>
      </c>
      <c r="P1538" s="83">
        <f t="shared" ref="P1538:P1601" si="145">O1538/F1538</f>
        <v>0.36489077872269465</v>
      </c>
      <c r="Q1538" s="83">
        <f t="shared" ref="Q1538:Q1601" si="146">1-G1538/F1538</f>
        <v>0.74583124895781228</v>
      </c>
    </row>
    <row r="1539" spans="1:17">
      <c r="A1539" s="87">
        <v>1604</v>
      </c>
      <c r="B1539" s="87" t="s">
        <v>536</v>
      </c>
      <c r="C1539" s="87" t="s">
        <v>22</v>
      </c>
      <c r="D1539" s="84">
        <v>42811</v>
      </c>
      <c r="E1539" s="88">
        <f t="shared" si="144"/>
        <v>2017</v>
      </c>
      <c r="F1539" s="89">
        <v>21813000000</v>
      </c>
      <c r="G1539" s="89">
        <v>4434000000</v>
      </c>
      <c r="H1539" s="89">
        <v>7315000000</v>
      </c>
      <c r="I1539" s="89">
        <v>0</v>
      </c>
      <c r="J1539" s="89">
        <v>2012000000</v>
      </c>
      <c r="K1539" s="87" t="s">
        <v>19</v>
      </c>
      <c r="L1539" s="87" t="s">
        <v>184</v>
      </c>
      <c r="M1539" s="90">
        <f t="shared" ref="M1539:M1602" si="147">F1539-G1539</f>
        <v>17379000000</v>
      </c>
      <c r="N1539" s="89">
        <f t="shared" ref="N1539:N1602" si="148">H1539+I1539+J1539</f>
        <v>9327000000</v>
      </c>
      <c r="O1539" s="89">
        <f t="shared" ref="O1539:O1602" si="149">M1539-N1539</f>
        <v>8052000000</v>
      </c>
      <c r="P1539" s="87">
        <f t="shared" si="145"/>
        <v>0.36913767019667171</v>
      </c>
      <c r="Q1539" s="87">
        <f t="shared" si="146"/>
        <v>0.7967267225966167</v>
      </c>
    </row>
    <row r="1540" spans="1:17">
      <c r="A1540" s="83">
        <v>1605</v>
      </c>
      <c r="B1540" s="83" t="s">
        <v>536</v>
      </c>
      <c r="C1540" s="83" t="s">
        <v>23</v>
      </c>
      <c r="D1540" s="84">
        <v>42812</v>
      </c>
      <c r="E1540" s="85">
        <f t="shared" si="144"/>
        <v>2017</v>
      </c>
      <c r="F1540" s="86">
        <v>19941000000</v>
      </c>
      <c r="G1540" s="86">
        <v>3747000000</v>
      </c>
      <c r="H1540" s="86">
        <v>6884000000</v>
      </c>
      <c r="I1540" s="86">
        <v>0</v>
      </c>
      <c r="J1540" s="86">
        <v>2038000000</v>
      </c>
      <c r="K1540" s="83" t="s">
        <v>19</v>
      </c>
      <c r="L1540" s="83" t="s">
        <v>184</v>
      </c>
      <c r="M1540" s="91">
        <f t="shared" si="147"/>
        <v>16194000000</v>
      </c>
      <c r="N1540" s="86">
        <f t="shared" si="148"/>
        <v>8922000000</v>
      </c>
      <c r="O1540" s="86">
        <f t="shared" si="149"/>
        <v>7272000000</v>
      </c>
      <c r="P1540" s="83">
        <f t="shared" si="145"/>
        <v>0.3646757935910937</v>
      </c>
      <c r="Q1540" s="83">
        <f t="shared" si="146"/>
        <v>0.81209568226267492</v>
      </c>
    </row>
    <row r="1541" spans="1:17">
      <c r="A1541" s="87">
        <v>1606</v>
      </c>
      <c r="B1541" s="87" t="s">
        <v>537</v>
      </c>
      <c r="C1541" s="87" t="s">
        <v>18</v>
      </c>
      <c r="D1541" s="84">
        <v>42813</v>
      </c>
      <c r="E1541" s="88">
        <f t="shared" si="144"/>
        <v>2017</v>
      </c>
      <c r="F1541" s="89">
        <v>54127000000</v>
      </c>
      <c r="G1541" s="89">
        <v>13574000000</v>
      </c>
      <c r="H1541" s="89">
        <v>37352000000</v>
      </c>
      <c r="I1541" s="89">
        <v>0</v>
      </c>
      <c r="J1541" s="89">
        <v>1858000000</v>
      </c>
      <c r="K1541" s="87" t="s">
        <v>19</v>
      </c>
      <c r="L1541" s="87" t="s">
        <v>152</v>
      </c>
      <c r="M1541" s="90">
        <f t="shared" si="147"/>
        <v>40553000000</v>
      </c>
      <c r="N1541" s="89">
        <f t="shared" si="148"/>
        <v>39210000000</v>
      </c>
      <c r="O1541" s="89">
        <f t="shared" si="149"/>
        <v>1343000000</v>
      </c>
      <c r="P1541" s="87">
        <f t="shared" si="145"/>
        <v>2.4812016184159475E-2</v>
      </c>
      <c r="Q1541" s="87">
        <f t="shared" si="146"/>
        <v>0.74921942838139932</v>
      </c>
    </row>
    <row r="1542" spans="1:17">
      <c r="A1542" s="83">
        <v>1607</v>
      </c>
      <c r="B1542" s="83" t="s">
        <v>537</v>
      </c>
      <c r="C1542" s="83" t="s">
        <v>21</v>
      </c>
      <c r="D1542" s="84">
        <v>42814</v>
      </c>
      <c r="E1542" s="85">
        <f t="shared" si="144"/>
        <v>2017</v>
      </c>
      <c r="F1542" s="86">
        <v>55438000000</v>
      </c>
      <c r="G1542" s="86">
        <v>13703000000</v>
      </c>
      <c r="H1542" s="86">
        <v>32834000000</v>
      </c>
      <c r="I1542" s="86">
        <v>0</v>
      </c>
      <c r="J1542" s="86">
        <v>1867000000</v>
      </c>
      <c r="K1542" s="83" t="s">
        <v>19</v>
      </c>
      <c r="L1542" s="83" t="s">
        <v>152</v>
      </c>
      <c r="M1542" s="91">
        <f t="shared" si="147"/>
        <v>41735000000</v>
      </c>
      <c r="N1542" s="86">
        <f t="shared" si="148"/>
        <v>34701000000</v>
      </c>
      <c r="O1542" s="86">
        <f t="shared" si="149"/>
        <v>7034000000</v>
      </c>
      <c r="P1542" s="83">
        <f t="shared" si="145"/>
        <v>0.1268804790937624</v>
      </c>
      <c r="Q1542" s="83">
        <f t="shared" si="146"/>
        <v>0.7528229734117392</v>
      </c>
    </row>
    <row r="1543" spans="1:17">
      <c r="A1543" s="87">
        <v>1608</v>
      </c>
      <c r="B1543" s="87" t="s">
        <v>537</v>
      </c>
      <c r="C1543" s="87" t="s">
        <v>22</v>
      </c>
      <c r="D1543" s="84">
        <v>42815</v>
      </c>
      <c r="E1543" s="88">
        <f t="shared" si="144"/>
        <v>2017</v>
      </c>
      <c r="F1543" s="89">
        <v>58232000000</v>
      </c>
      <c r="G1543" s="89">
        <v>14758000000</v>
      </c>
      <c r="H1543" s="89">
        <v>36583000000</v>
      </c>
      <c r="I1543" s="89">
        <v>0</v>
      </c>
      <c r="J1543" s="89">
        <v>1923000000</v>
      </c>
      <c r="K1543" s="87" t="s">
        <v>19</v>
      </c>
      <c r="L1543" s="87" t="s">
        <v>152</v>
      </c>
      <c r="M1543" s="90">
        <f t="shared" si="147"/>
        <v>43474000000</v>
      </c>
      <c r="N1543" s="89">
        <f t="shared" si="148"/>
        <v>38506000000</v>
      </c>
      <c r="O1543" s="89">
        <f t="shared" si="149"/>
        <v>4968000000</v>
      </c>
      <c r="P1543" s="87">
        <f t="shared" si="145"/>
        <v>8.5313916746805885E-2</v>
      </c>
      <c r="Q1543" s="87">
        <f t="shared" si="146"/>
        <v>0.74656546228877585</v>
      </c>
    </row>
    <row r="1544" spans="1:17">
      <c r="A1544" s="83">
        <v>1609</v>
      </c>
      <c r="B1544" s="83" t="s">
        <v>537</v>
      </c>
      <c r="C1544" s="83" t="s">
        <v>23</v>
      </c>
      <c r="D1544" s="84">
        <v>42816</v>
      </c>
      <c r="E1544" s="85">
        <f t="shared" si="144"/>
        <v>2017</v>
      </c>
      <c r="F1544" s="86">
        <v>58363000000</v>
      </c>
      <c r="G1544" s="86">
        <v>12947000000</v>
      </c>
      <c r="H1544" s="86">
        <v>35664000000</v>
      </c>
      <c r="I1544" s="86">
        <v>0</v>
      </c>
      <c r="J1544" s="86">
        <v>2084000000</v>
      </c>
      <c r="K1544" s="83" t="s">
        <v>19</v>
      </c>
      <c r="L1544" s="83" t="s">
        <v>152</v>
      </c>
      <c r="M1544" s="91">
        <f t="shared" si="147"/>
        <v>45416000000</v>
      </c>
      <c r="N1544" s="86">
        <f t="shared" si="148"/>
        <v>37748000000</v>
      </c>
      <c r="O1544" s="86">
        <f t="shared" si="149"/>
        <v>7668000000</v>
      </c>
      <c r="P1544" s="83">
        <f t="shared" si="145"/>
        <v>0.13138461011257133</v>
      </c>
      <c r="Q1544" s="83">
        <f t="shared" si="146"/>
        <v>0.77816424789678396</v>
      </c>
    </row>
    <row r="1545" spans="1:17">
      <c r="A1545" s="87">
        <v>1610</v>
      </c>
      <c r="B1545" s="87" t="s">
        <v>538</v>
      </c>
      <c r="C1545" s="87" t="s">
        <v>18</v>
      </c>
      <c r="D1545" s="84">
        <v>42817</v>
      </c>
      <c r="E1545" s="88">
        <f t="shared" si="144"/>
        <v>2017</v>
      </c>
      <c r="F1545" s="89">
        <v>2794925000</v>
      </c>
      <c r="G1545" s="89">
        <v>1763394000</v>
      </c>
      <c r="H1545" s="89">
        <v>657246000</v>
      </c>
      <c r="I1545" s="89">
        <v>0</v>
      </c>
      <c r="J1545" s="89">
        <v>0</v>
      </c>
      <c r="K1545" s="87" t="s">
        <v>25</v>
      </c>
      <c r="L1545" s="87" t="s">
        <v>263</v>
      </c>
      <c r="M1545" s="90">
        <f t="shared" si="147"/>
        <v>1031531000</v>
      </c>
      <c r="N1545" s="89">
        <f t="shared" si="148"/>
        <v>657246000</v>
      </c>
      <c r="O1545" s="89">
        <f t="shared" si="149"/>
        <v>374285000</v>
      </c>
      <c r="P1545" s="87">
        <f t="shared" si="145"/>
        <v>0.13391593692138429</v>
      </c>
      <c r="Q1545" s="87">
        <f t="shared" si="146"/>
        <v>0.36907287315402026</v>
      </c>
    </row>
    <row r="1546" spans="1:17">
      <c r="A1546" s="83">
        <v>1611</v>
      </c>
      <c r="B1546" s="83" t="s">
        <v>538</v>
      </c>
      <c r="C1546" s="83" t="s">
        <v>21</v>
      </c>
      <c r="D1546" s="84">
        <v>42818</v>
      </c>
      <c r="E1546" s="85">
        <f t="shared" si="144"/>
        <v>2017</v>
      </c>
      <c r="F1546" s="86">
        <v>3086608000</v>
      </c>
      <c r="G1546" s="86">
        <v>1925266000</v>
      </c>
      <c r="H1546" s="86">
        <v>734511000</v>
      </c>
      <c r="I1546" s="86">
        <v>0</v>
      </c>
      <c r="J1546" s="86">
        <v>0</v>
      </c>
      <c r="K1546" s="83" t="s">
        <v>25</v>
      </c>
      <c r="L1546" s="83" t="s">
        <v>263</v>
      </c>
      <c r="M1546" s="91">
        <f t="shared" si="147"/>
        <v>1161342000</v>
      </c>
      <c r="N1546" s="86">
        <f t="shared" si="148"/>
        <v>734511000</v>
      </c>
      <c r="O1546" s="86">
        <f t="shared" si="149"/>
        <v>426831000</v>
      </c>
      <c r="P1546" s="83">
        <f t="shared" si="145"/>
        <v>0.13828480973288476</v>
      </c>
      <c r="Q1546" s="83">
        <f t="shared" si="146"/>
        <v>0.37625185964657648</v>
      </c>
    </row>
    <row r="1547" spans="1:17">
      <c r="A1547" s="87">
        <v>1612</v>
      </c>
      <c r="B1547" s="87" t="s">
        <v>538</v>
      </c>
      <c r="C1547" s="87" t="s">
        <v>22</v>
      </c>
      <c r="D1547" s="84">
        <v>42819</v>
      </c>
      <c r="E1547" s="88">
        <f t="shared" si="144"/>
        <v>2017</v>
      </c>
      <c r="F1547" s="89">
        <v>3323077000</v>
      </c>
      <c r="G1547" s="89">
        <v>2148147000</v>
      </c>
      <c r="H1547" s="89">
        <v>809545000</v>
      </c>
      <c r="I1547" s="89">
        <v>0</v>
      </c>
      <c r="J1547" s="89">
        <v>0</v>
      </c>
      <c r="K1547" s="87" t="s">
        <v>25</v>
      </c>
      <c r="L1547" s="87" t="s">
        <v>263</v>
      </c>
      <c r="M1547" s="90">
        <f t="shared" si="147"/>
        <v>1174930000</v>
      </c>
      <c r="N1547" s="89">
        <f t="shared" si="148"/>
        <v>809545000</v>
      </c>
      <c r="O1547" s="89">
        <f t="shared" si="149"/>
        <v>365385000</v>
      </c>
      <c r="P1547" s="87">
        <f t="shared" si="145"/>
        <v>0.1099538168992172</v>
      </c>
      <c r="Q1547" s="87">
        <f t="shared" si="146"/>
        <v>0.35356688996372942</v>
      </c>
    </row>
    <row r="1548" spans="1:17">
      <c r="A1548" s="83">
        <v>1613</v>
      </c>
      <c r="B1548" s="83" t="s">
        <v>538</v>
      </c>
      <c r="C1548" s="83" t="s">
        <v>23</v>
      </c>
      <c r="D1548" s="84">
        <v>42820</v>
      </c>
      <c r="E1548" s="85">
        <f t="shared" si="144"/>
        <v>2017</v>
      </c>
      <c r="F1548" s="86">
        <v>3445134000</v>
      </c>
      <c r="G1548" s="86">
        <v>2243232000</v>
      </c>
      <c r="H1548" s="86">
        <v>848323000</v>
      </c>
      <c r="I1548" s="86">
        <v>0</v>
      </c>
      <c r="J1548" s="86">
        <v>0</v>
      </c>
      <c r="K1548" s="83" t="s">
        <v>25</v>
      </c>
      <c r="L1548" s="83" t="s">
        <v>263</v>
      </c>
      <c r="M1548" s="91">
        <f t="shared" si="147"/>
        <v>1201902000</v>
      </c>
      <c r="N1548" s="86">
        <f t="shared" si="148"/>
        <v>848323000</v>
      </c>
      <c r="O1548" s="86">
        <f t="shared" si="149"/>
        <v>353579000</v>
      </c>
      <c r="P1548" s="83">
        <f t="shared" si="145"/>
        <v>0.10263142159347068</v>
      </c>
      <c r="Q1548" s="83">
        <f t="shared" si="146"/>
        <v>0.34886944890967952</v>
      </c>
    </row>
    <row r="1549" spans="1:17">
      <c r="A1549" s="87">
        <v>1614</v>
      </c>
      <c r="B1549" s="87" t="s">
        <v>539</v>
      </c>
      <c r="C1549" s="87" t="s">
        <v>18</v>
      </c>
      <c r="D1549" s="84">
        <v>42821</v>
      </c>
      <c r="E1549" s="88">
        <f t="shared" si="144"/>
        <v>2017</v>
      </c>
      <c r="F1549" s="89">
        <v>2436948000</v>
      </c>
      <c r="G1549" s="89">
        <v>1589821000</v>
      </c>
      <c r="H1549" s="89">
        <v>441168000</v>
      </c>
      <c r="I1549" s="89">
        <v>62630000</v>
      </c>
      <c r="J1549" s="89">
        <v>0</v>
      </c>
      <c r="K1549" s="87" t="s">
        <v>53</v>
      </c>
      <c r="L1549" s="87" t="s">
        <v>111</v>
      </c>
      <c r="M1549" s="90">
        <f t="shared" si="147"/>
        <v>847127000</v>
      </c>
      <c r="N1549" s="89">
        <f t="shared" si="148"/>
        <v>503798000</v>
      </c>
      <c r="O1549" s="89">
        <f t="shared" si="149"/>
        <v>343329000</v>
      </c>
      <c r="P1549" s="87">
        <f t="shared" si="145"/>
        <v>0.14088482807183411</v>
      </c>
      <c r="Q1549" s="87">
        <f t="shared" si="146"/>
        <v>0.34761800415930089</v>
      </c>
    </row>
    <row r="1550" spans="1:17">
      <c r="A1550" s="83">
        <v>1615</v>
      </c>
      <c r="B1550" s="83" t="s">
        <v>539</v>
      </c>
      <c r="C1550" s="83" t="s">
        <v>21</v>
      </c>
      <c r="D1550" s="84">
        <v>42822</v>
      </c>
      <c r="E1550" s="85">
        <f t="shared" si="144"/>
        <v>2017</v>
      </c>
      <c r="F1550" s="86">
        <v>2473500000</v>
      </c>
      <c r="G1550" s="86">
        <v>1595700000</v>
      </c>
      <c r="H1550" s="86">
        <v>460300000</v>
      </c>
      <c r="I1550" s="86">
        <v>61800000</v>
      </c>
      <c r="J1550" s="86">
        <v>0</v>
      </c>
      <c r="K1550" s="83" t="s">
        <v>53</v>
      </c>
      <c r="L1550" s="83" t="s">
        <v>111</v>
      </c>
      <c r="M1550" s="91">
        <f t="shared" si="147"/>
        <v>877800000</v>
      </c>
      <c r="N1550" s="86">
        <f t="shared" si="148"/>
        <v>522100000</v>
      </c>
      <c r="O1550" s="86">
        <f t="shared" si="149"/>
        <v>355700000</v>
      </c>
      <c r="P1550" s="83">
        <f t="shared" si="145"/>
        <v>0.14380432585405295</v>
      </c>
      <c r="Q1550" s="83">
        <f t="shared" si="146"/>
        <v>0.35488174651303817</v>
      </c>
    </row>
    <row r="1551" spans="1:17">
      <c r="A1551" s="87">
        <v>1616</v>
      </c>
      <c r="B1551" s="87" t="s">
        <v>539</v>
      </c>
      <c r="C1551" s="87" t="s">
        <v>22</v>
      </c>
      <c r="D1551" s="84">
        <v>42823</v>
      </c>
      <c r="E1551" s="88">
        <f t="shared" si="144"/>
        <v>2017</v>
      </c>
      <c r="F1551" s="89">
        <v>2371200000</v>
      </c>
      <c r="G1551" s="89">
        <v>1562600000</v>
      </c>
      <c r="H1551" s="89">
        <v>460100000</v>
      </c>
      <c r="I1551" s="89">
        <v>60200000</v>
      </c>
      <c r="J1551" s="89">
        <v>0</v>
      </c>
      <c r="K1551" s="87" t="s">
        <v>53</v>
      </c>
      <c r="L1551" s="87" t="s">
        <v>111</v>
      </c>
      <c r="M1551" s="90">
        <f t="shared" si="147"/>
        <v>808600000</v>
      </c>
      <c r="N1551" s="89">
        <f t="shared" si="148"/>
        <v>520300000</v>
      </c>
      <c r="O1551" s="89">
        <f t="shared" si="149"/>
        <v>288300000</v>
      </c>
      <c r="P1551" s="87">
        <f t="shared" si="145"/>
        <v>0.12158400809716599</v>
      </c>
      <c r="Q1551" s="87">
        <f t="shared" si="146"/>
        <v>0.34100877192982459</v>
      </c>
    </row>
    <row r="1552" spans="1:17">
      <c r="A1552" s="83">
        <v>1617</v>
      </c>
      <c r="B1552" s="83" t="s">
        <v>539</v>
      </c>
      <c r="C1552" s="83" t="s">
        <v>23</v>
      </c>
      <c r="D1552" s="84">
        <v>42824</v>
      </c>
      <c r="E1552" s="85">
        <f t="shared" si="144"/>
        <v>2017</v>
      </c>
      <c r="F1552" s="86">
        <v>2220300000</v>
      </c>
      <c r="G1552" s="86">
        <v>1465500000</v>
      </c>
      <c r="H1552" s="86">
        <v>425100000</v>
      </c>
      <c r="I1552" s="86">
        <v>55500000</v>
      </c>
      <c r="J1552" s="86">
        <v>0</v>
      </c>
      <c r="K1552" s="83" t="s">
        <v>53</v>
      </c>
      <c r="L1552" s="83" t="s">
        <v>111</v>
      </c>
      <c r="M1552" s="91">
        <f t="shared" si="147"/>
        <v>754800000</v>
      </c>
      <c r="N1552" s="86">
        <f t="shared" si="148"/>
        <v>480600000</v>
      </c>
      <c r="O1552" s="86">
        <f t="shared" si="149"/>
        <v>274200000</v>
      </c>
      <c r="P1552" s="83">
        <f t="shared" si="145"/>
        <v>0.1234968247534117</v>
      </c>
      <c r="Q1552" s="83">
        <f t="shared" si="146"/>
        <v>0.33995406026212671</v>
      </c>
    </row>
    <row r="1553" spans="1:17">
      <c r="A1553" s="87">
        <v>1618</v>
      </c>
      <c r="B1553" s="87" t="s">
        <v>540</v>
      </c>
      <c r="C1553" s="87" t="s">
        <v>18</v>
      </c>
      <c r="D1553" s="84">
        <v>42825</v>
      </c>
      <c r="E1553" s="88">
        <f t="shared" si="144"/>
        <v>2017</v>
      </c>
      <c r="F1553" s="89">
        <v>56600000000</v>
      </c>
      <c r="G1553" s="89">
        <v>40468000000</v>
      </c>
      <c r="H1553" s="89">
        <v>5241000000</v>
      </c>
      <c r="I1553" s="89">
        <v>2342000000</v>
      </c>
      <c r="J1553" s="89">
        <v>0</v>
      </c>
      <c r="K1553" s="87" t="s">
        <v>19</v>
      </c>
      <c r="L1553" s="87" t="s">
        <v>170</v>
      </c>
      <c r="M1553" s="90">
        <f t="shared" si="147"/>
        <v>16132000000</v>
      </c>
      <c r="N1553" s="89">
        <f t="shared" si="148"/>
        <v>7583000000</v>
      </c>
      <c r="O1553" s="89">
        <f t="shared" si="149"/>
        <v>8549000000</v>
      </c>
      <c r="P1553" s="87">
        <f t="shared" si="145"/>
        <v>0.15104240282685513</v>
      </c>
      <c r="Q1553" s="87">
        <f t="shared" si="146"/>
        <v>0.28501766784452298</v>
      </c>
    </row>
    <row r="1554" spans="1:17">
      <c r="A1554" s="83">
        <v>1619</v>
      </c>
      <c r="B1554" s="83" t="s">
        <v>540</v>
      </c>
      <c r="C1554" s="83" t="s">
        <v>21</v>
      </c>
      <c r="D1554" s="84">
        <v>42826</v>
      </c>
      <c r="E1554" s="85">
        <f t="shared" si="144"/>
        <v>2017</v>
      </c>
      <c r="F1554" s="86">
        <v>57900000000</v>
      </c>
      <c r="G1554" s="86">
        <v>40898000000</v>
      </c>
      <c r="H1554" s="86">
        <v>4934000000</v>
      </c>
      <c r="I1554" s="86">
        <v>2475000000</v>
      </c>
      <c r="J1554" s="86">
        <v>0</v>
      </c>
      <c r="K1554" s="83" t="s">
        <v>19</v>
      </c>
      <c r="L1554" s="83" t="s">
        <v>170</v>
      </c>
      <c r="M1554" s="91">
        <f t="shared" si="147"/>
        <v>17002000000</v>
      </c>
      <c r="N1554" s="86">
        <f t="shared" si="148"/>
        <v>7409000000</v>
      </c>
      <c r="O1554" s="86">
        <f t="shared" si="149"/>
        <v>9593000000</v>
      </c>
      <c r="P1554" s="83">
        <f t="shared" si="145"/>
        <v>0.16568221070811745</v>
      </c>
      <c r="Q1554" s="83">
        <f t="shared" si="146"/>
        <v>0.29364421416234887</v>
      </c>
    </row>
    <row r="1555" spans="1:17">
      <c r="A1555" s="87">
        <v>1620</v>
      </c>
      <c r="B1555" s="87" t="s">
        <v>540</v>
      </c>
      <c r="C1555" s="87" t="s">
        <v>22</v>
      </c>
      <c r="D1555" s="84">
        <v>42827</v>
      </c>
      <c r="E1555" s="88">
        <f t="shared" si="144"/>
        <v>2017</v>
      </c>
      <c r="F1555" s="89">
        <v>56098000000</v>
      </c>
      <c r="G1555" s="89">
        <v>40431000000</v>
      </c>
      <c r="H1555" s="89">
        <v>6097000000</v>
      </c>
      <c r="I1555" s="89">
        <v>2279000000</v>
      </c>
      <c r="J1555" s="89">
        <v>0</v>
      </c>
      <c r="K1555" s="87" t="s">
        <v>19</v>
      </c>
      <c r="L1555" s="87" t="s">
        <v>170</v>
      </c>
      <c r="M1555" s="90">
        <f t="shared" si="147"/>
        <v>15667000000</v>
      </c>
      <c r="N1555" s="89">
        <f t="shared" si="148"/>
        <v>8376000000</v>
      </c>
      <c r="O1555" s="89">
        <f t="shared" si="149"/>
        <v>7291000000</v>
      </c>
      <c r="P1555" s="87">
        <f t="shared" si="145"/>
        <v>0.12996898285143854</v>
      </c>
      <c r="Q1555" s="87">
        <f t="shared" si="146"/>
        <v>0.27927911868515809</v>
      </c>
    </row>
    <row r="1556" spans="1:17">
      <c r="A1556" s="83">
        <v>1621</v>
      </c>
      <c r="B1556" s="83" t="s">
        <v>540</v>
      </c>
      <c r="C1556" s="83" t="s">
        <v>23</v>
      </c>
      <c r="D1556" s="84">
        <v>42828</v>
      </c>
      <c r="E1556" s="85">
        <f t="shared" si="144"/>
        <v>2017</v>
      </c>
      <c r="F1556" s="86">
        <v>57244000000</v>
      </c>
      <c r="G1556" s="86">
        <v>41460000000</v>
      </c>
      <c r="H1556" s="86">
        <v>5275000000</v>
      </c>
      <c r="I1556" s="86">
        <v>2337000000</v>
      </c>
      <c r="J1556" s="86">
        <v>0</v>
      </c>
      <c r="K1556" s="83" t="s">
        <v>19</v>
      </c>
      <c r="L1556" s="83" t="s">
        <v>170</v>
      </c>
      <c r="M1556" s="91">
        <f t="shared" si="147"/>
        <v>15784000000</v>
      </c>
      <c r="N1556" s="86">
        <f t="shared" si="148"/>
        <v>7612000000</v>
      </c>
      <c r="O1556" s="86">
        <f t="shared" si="149"/>
        <v>8172000000</v>
      </c>
      <c r="P1556" s="83">
        <f t="shared" si="145"/>
        <v>0.1427573195444064</v>
      </c>
      <c r="Q1556" s="83">
        <f t="shared" si="146"/>
        <v>0.27573195444064003</v>
      </c>
    </row>
    <row r="1557" spans="1:17">
      <c r="A1557" s="87">
        <v>1622</v>
      </c>
      <c r="B1557" s="87" t="s">
        <v>541</v>
      </c>
      <c r="C1557" s="87" t="s">
        <v>18</v>
      </c>
      <c r="D1557" s="84">
        <v>42829</v>
      </c>
      <c r="E1557" s="88">
        <f t="shared" si="144"/>
        <v>2017</v>
      </c>
      <c r="F1557" s="89">
        <v>11778000000</v>
      </c>
      <c r="G1557" s="89">
        <v>1932000000</v>
      </c>
      <c r="H1557" s="89">
        <v>2207000000</v>
      </c>
      <c r="I1557" s="89">
        <v>0</v>
      </c>
      <c r="J1557" s="89">
        <v>397000000</v>
      </c>
      <c r="K1557" s="87" t="s">
        <v>28</v>
      </c>
      <c r="L1557" s="87" t="s">
        <v>63</v>
      </c>
      <c r="M1557" s="90">
        <f t="shared" si="147"/>
        <v>9846000000</v>
      </c>
      <c r="N1557" s="89">
        <f t="shared" si="148"/>
        <v>2604000000</v>
      </c>
      <c r="O1557" s="89">
        <f t="shared" si="149"/>
        <v>7242000000</v>
      </c>
      <c r="P1557" s="87">
        <f t="shared" si="145"/>
        <v>0.61487519103413146</v>
      </c>
      <c r="Q1557" s="87">
        <f t="shared" si="146"/>
        <v>0.83596535914416714</v>
      </c>
    </row>
    <row r="1558" spans="1:17">
      <c r="A1558" s="83">
        <v>1623</v>
      </c>
      <c r="B1558" s="83" t="s">
        <v>541</v>
      </c>
      <c r="C1558" s="83" t="s">
        <v>21</v>
      </c>
      <c r="D1558" s="84">
        <v>42830</v>
      </c>
      <c r="E1558" s="85">
        <f t="shared" si="144"/>
        <v>2017</v>
      </c>
      <c r="F1558" s="86">
        <v>12702000000</v>
      </c>
      <c r="G1558" s="86">
        <v>1875000000</v>
      </c>
      <c r="H1558" s="86">
        <v>2242000000</v>
      </c>
      <c r="I1558" s="86">
        <v>0</v>
      </c>
      <c r="J1558" s="86">
        <v>435000000</v>
      </c>
      <c r="K1558" s="83" t="s">
        <v>28</v>
      </c>
      <c r="L1558" s="83" t="s">
        <v>63</v>
      </c>
      <c r="M1558" s="91">
        <f t="shared" si="147"/>
        <v>10827000000</v>
      </c>
      <c r="N1558" s="86">
        <f t="shared" si="148"/>
        <v>2677000000</v>
      </c>
      <c r="O1558" s="86">
        <f t="shared" si="149"/>
        <v>8150000000</v>
      </c>
      <c r="P1558" s="83">
        <f t="shared" si="145"/>
        <v>0.64163123917493303</v>
      </c>
      <c r="Q1558" s="83">
        <f t="shared" si="146"/>
        <v>0.85238545111006148</v>
      </c>
    </row>
    <row r="1559" spans="1:17">
      <c r="A1559" s="87">
        <v>1624</v>
      </c>
      <c r="B1559" s="87" t="s">
        <v>541</v>
      </c>
      <c r="C1559" s="87" t="s">
        <v>22</v>
      </c>
      <c r="D1559" s="84">
        <v>42831</v>
      </c>
      <c r="E1559" s="88">
        <f t="shared" si="144"/>
        <v>2017</v>
      </c>
      <c r="F1559" s="89">
        <v>13880000000</v>
      </c>
      <c r="G1559" s="89">
        <v>2079000000</v>
      </c>
      <c r="H1559" s="89">
        <v>2229000000</v>
      </c>
      <c r="I1559" s="89">
        <v>0</v>
      </c>
      <c r="J1559" s="89">
        <v>494000000</v>
      </c>
      <c r="K1559" s="87" t="s">
        <v>28</v>
      </c>
      <c r="L1559" s="87" t="s">
        <v>63</v>
      </c>
      <c r="M1559" s="90">
        <f t="shared" si="147"/>
        <v>11801000000</v>
      </c>
      <c r="N1559" s="89">
        <f t="shared" si="148"/>
        <v>2723000000</v>
      </c>
      <c r="O1559" s="89">
        <f t="shared" si="149"/>
        <v>9078000000</v>
      </c>
      <c r="P1559" s="87">
        <f t="shared" si="145"/>
        <v>0.65403458213256482</v>
      </c>
      <c r="Q1559" s="87">
        <f t="shared" si="146"/>
        <v>0.85021613832853027</v>
      </c>
    </row>
    <row r="1560" spans="1:17">
      <c r="A1560" s="83">
        <v>1625</v>
      </c>
      <c r="B1560" s="83" t="s">
        <v>541</v>
      </c>
      <c r="C1560" s="83" t="s">
        <v>23</v>
      </c>
      <c r="D1560" s="84">
        <v>42832</v>
      </c>
      <c r="E1560" s="85">
        <f t="shared" si="144"/>
        <v>2017</v>
      </c>
      <c r="F1560" s="86">
        <v>15082000000</v>
      </c>
      <c r="G1560" s="86">
        <v>2226000000</v>
      </c>
      <c r="H1560" s="86">
        <v>4469000000</v>
      </c>
      <c r="I1560" s="86">
        <v>0</v>
      </c>
      <c r="J1560" s="86">
        <v>502000000</v>
      </c>
      <c r="K1560" s="83" t="s">
        <v>28</v>
      </c>
      <c r="L1560" s="83" t="s">
        <v>63</v>
      </c>
      <c r="M1560" s="91">
        <f t="shared" si="147"/>
        <v>12856000000</v>
      </c>
      <c r="N1560" s="86">
        <f t="shared" si="148"/>
        <v>4971000000</v>
      </c>
      <c r="O1560" s="86">
        <f t="shared" si="149"/>
        <v>7885000000</v>
      </c>
      <c r="P1560" s="83">
        <f t="shared" si="145"/>
        <v>0.52280864606816069</v>
      </c>
      <c r="Q1560" s="83">
        <f t="shared" si="146"/>
        <v>0.85240684259382049</v>
      </c>
    </row>
    <row r="1561" spans="1:17">
      <c r="A1561" s="87">
        <v>1626</v>
      </c>
      <c r="B1561" s="87" t="s">
        <v>542</v>
      </c>
      <c r="C1561" s="87" t="s">
        <v>18</v>
      </c>
      <c r="D1561" s="84">
        <v>42833</v>
      </c>
      <c r="E1561" s="88">
        <f t="shared" si="144"/>
        <v>2017</v>
      </c>
      <c r="F1561" s="89">
        <v>2942897000</v>
      </c>
      <c r="G1561" s="89">
        <v>1693210000</v>
      </c>
      <c r="H1561" s="89">
        <v>432589000</v>
      </c>
      <c r="I1561" s="89">
        <v>208208000</v>
      </c>
      <c r="J1561" s="89">
        <v>0</v>
      </c>
      <c r="K1561" s="87" t="s">
        <v>31</v>
      </c>
      <c r="L1561" s="87" t="s">
        <v>36</v>
      </c>
      <c r="M1561" s="90">
        <f t="shared" si="147"/>
        <v>1249687000</v>
      </c>
      <c r="N1561" s="89">
        <f t="shared" si="148"/>
        <v>640797000</v>
      </c>
      <c r="O1561" s="89">
        <f t="shared" si="149"/>
        <v>608890000</v>
      </c>
      <c r="P1561" s="87">
        <f t="shared" si="145"/>
        <v>0.20690156672149926</v>
      </c>
      <c r="Q1561" s="87">
        <f t="shared" si="146"/>
        <v>0.42464517106782873</v>
      </c>
    </row>
    <row r="1562" spans="1:17">
      <c r="A1562" s="83">
        <v>1627</v>
      </c>
      <c r="B1562" s="83" t="s">
        <v>542</v>
      </c>
      <c r="C1562" s="83" t="s">
        <v>21</v>
      </c>
      <c r="D1562" s="84">
        <v>42834</v>
      </c>
      <c r="E1562" s="85">
        <f t="shared" si="144"/>
        <v>2017</v>
      </c>
      <c r="F1562" s="86">
        <v>3049800000</v>
      </c>
      <c r="G1562" s="86">
        <v>1748100000</v>
      </c>
      <c r="H1562" s="86">
        <v>470600000</v>
      </c>
      <c r="I1562" s="86">
        <v>234800000</v>
      </c>
      <c r="J1562" s="86">
        <v>0</v>
      </c>
      <c r="K1562" s="83" t="s">
        <v>31</v>
      </c>
      <c r="L1562" s="83" t="s">
        <v>36</v>
      </c>
      <c r="M1562" s="91">
        <f t="shared" si="147"/>
        <v>1301700000</v>
      </c>
      <c r="N1562" s="86">
        <f t="shared" si="148"/>
        <v>705400000</v>
      </c>
      <c r="O1562" s="86">
        <f t="shared" si="149"/>
        <v>596300000</v>
      </c>
      <c r="P1562" s="83">
        <f t="shared" si="145"/>
        <v>0.19552101777165715</v>
      </c>
      <c r="Q1562" s="83">
        <f t="shared" si="146"/>
        <v>0.42681487310643318</v>
      </c>
    </row>
    <row r="1563" spans="1:17">
      <c r="A1563" s="87">
        <v>1628</v>
      </c>
      <c r="B1563" s="87" t="s">
        <v>542</v>
      </c>
      <c r="C1563" s="87" t="s">
        <v>22</v>
      </c>
      <c r="D1563" s="84">
        <v>42835</v>
      </c>
      <c r="E1563" s="88">
        <f t="shared" si="144"/>
        <v>2017</v>
      </c>
      <c r="F1563" s="89">
        <v>3099100000</v>
      </c>
      <c r="G1563" s="89">
        <v>1816400000</v>
      </c>
      <c r="H1563" s="89">
        <v>488500000</v>
      </c>
      <c r="I1563" s="89">
        <v>245200000</v>
      </c>
      <c r="J1563" s="89">
        <v>0</v>
      </c>
      <c r="K1563" s="87" t="s">
        <v>31</v>
      </c>
      <c r="L1563" s="87" t="s">
        <v>36</v>
      </c>
      <c r="M1563" s="90">
        <f t="shared" si="147"/>
        <v>1282700000</v>
      </c>
      <c r="N1563" s="89">
        <f t="shared" si="148"/>
        <v>733700000</v>
      </c>
      <c r="O1563" s="89">
        <f t="shared" si="149"/>
        <v>549000000</v>
      </c>
      <c r="P1563" s="87">
        <f t="shared" si="145"/>
        <v>0.17714820431738246</v>
      </c>
      <c r="Q1563" s="87">
        <f t="shared" si="146"/>
        <v>0.41389435642605921</v>
      </c>
    </row>
    <row r="1564" spans="1:17">
      <c r="A1564" s="83">
        <v>1629</v>
      </c>
      <c r="B1564" s="83" t="s">
        <v>542</v>
      </c>
      <c r="C1564" s="83" t="s">
        <v>23</v>
      </c>
      <c r="D1564" s="84">
        <v>42836</v>
      </c>
      <c r="E1564" s="85">
        <f t="shared" si="144"/>
        <v>2017</v>
      </c>
      <c r="F1564" s="86">
        <v>3217800000</v>
      </c>
      <c r="G1564" s="86">
        <v>1856500000</v>
      </c>
      <c r="H1564" s="86">
        <v>557000000</v>
      </c>
      <c r="I1564" s="86">
        <v>253500000</v>
      </c>
      <c r="J1564" s="86">
        <v>0</v>
      </c>
      <c r="K1564" s="83" t="s">
        <v>31</v>
      </c>
      <c r="L1564" s="83" t="s">
        <v>36</v>
      </c>
      <c r="M1564" s="91">
        <f t="shared" si="147"/>
        <v>1361300000</v>
      </c>
      <c r="N1564" s="86">
        <f t="shared" si="148"/>
        <v>810500000</v>
      </c>
      <c r="O1564" s="86">
        <f t="shared" si="149"/>
        <v>550800000</v>
      </c>
      <c r="P1564" s="83">
        <f t="shared" si="145"/>
        <v>0.17117285101622226</v>
      </c>
      <c r="Q1564" s="83">
        <f t="shared" si="146"/>
        <v>0.42305301758965752</v>
      </c>
    </row>
    <row r="1565" spans="1:17">
      <c r="A1565" s="87">
        <v>1630</v>
      </c>
      <c r="B1565" s="87" t="s">
        <v>543</v>
      </c>
      <c r="C1565" s="87" t="s">
        <v>18</v>
      </c>
      <c r="D1565" s="84">
        <v>42837</v>
      </c>
      <c r="E1565" s="88">
        <f t="shared" si="144"/>
        <v>2017</v>
      </c>
      <c r="F1565" s="89">
        <v>10879855000</v>
      </c>
      <c r="G1565" s="89">
        <v>5817880000</v>
      </c>
      <c r="H1565" s="89">
        <v>3596708000</v>
      </c>
      <c r="I1565" s="89">
        <v>0</v>
      </c>
      <c r="J1565" s="89">
        <v>0</v>
      </c>
      <c r="K1565" s="87" t="s">
        <v>25</v>
      </c>
      <c r="L1565" s="87" t="s">
        <v>295</v>
      </c>
      <c r="M1565" s="90">
        <f t="shared" si="147"/>
        <v>5061975000</v>
      </c>
      <c r="N1565" s="89">
        <f t="shared" si="148"/>
        <v>3596708000</v>
      </c>
      <c r="O1565" s="89">
        <f t="shared" si="149"/>
        <v>1465267000</v>
      </c>
      <c r="P1565" s="87">
        <f t="shared" si="145"/>
        <v>0.1346770706043417</v>
      </c>
      <c r="Q1565" s="87">
        <f t="shared" si="146"/>
        <v>0.46526125577960364</v>
      </c>
    </row>
    <row r="1566" spans="1:17">
      <c r="A1566" s="83">
        <v>1631</v>
      </c>
      <c r="B1566" s="83" t="s">
        <v>543</v>
      </c>
      <c r="C1566" s="83" t="s">
        <v>21</v>
      </c>
      <c r="D1566" s="84">
        <v>42838</v>
      </c>
      <c r="E1566" s="85">
        <f t="shared" si="144"/>
        <v>2017</v>
      </c>
      <c r="F1566" s="86">
        <v>11419648000</v>
      </c>
      <c r="G1566" s="86">
        <v>5931469000</v>
      </c>
      <c r="H1566" s="86">
        <v>3841032000</v>
      </c>
      <c r="I1566" s="86">
        <v>0</v>
      </c>
      <c r="J1566" s="86">
        <v>0</v>
      </c>
      <c r="K1566" s="83" t="s">
        <v>25</v>
      </c>
      <c r="L1566" s="83" t="s">
        <v>295</v>
      </c>
      <c r="M1566" s="91">
        <f t="shared" si="147"/>
        <v>5488179000</v>
      </c>
      <c r="N1566" s="86">
        <f t="shared" si="148"/>
        <v>3841032000</v>
      </c>
      <c r="O1566" s="86">
        <f t="shared" si="149"/>
        <v>1647147000</v>
      </c>
      <c r="P1566" s="83">
        <f t="shared" si="145"/>
        <v>0.14423798351753048</v>
      </c>
      <c r="Q1566" s="83">
        <f t="shared" si="146"/>
        <v>0.48059090788087344</v>
      </c>
    </row>
    <row r="1567" spans="1:17">
      <c r="A1567" s="87">
        <v>1632</v>
      </c>
      <c r="B1567" s="87" t="s">
        <v>543</v>
      </c>
      <c r="C1567" s="87" t="s">
        <v>22</v>
      </c>
      <c r="D1567" s="84">
        <v>42839</v>
      </c>
      <c r="E1567" s="88">
        <f t="shared" si="144"/>
        <v>2017</v>
      </c>
      <c r="F1567" s="89">
        <v>12282161000</v>
      </c>
      <c r="G1567" s="89">
        <v>6288190000</v>
      </c>
      <c r="H1567" s="89">
        <v>4159885000</v>
      </c>
      <c r="I1567" s="89">
        <v>0</v>
      </c>
      <c r="J1567" s="89">
        <v>0</v>
      </c>
      <c r="K1567" s="87" t="s">
        <v>25</v>
      </c>
      <c r="L1567" s="87" t="s">
        <v>295</v>
      </c>
      <c r="M1567" s="90">
        <f t="shared" si="147"/>
        <v>5993971000</v>
      </c>
      <c r="N1567" s="89">
        <f t="shared" si="148"/>
        <v>4159885000</v>
      </c>
      <c r="O1567" s="89">
        <f t="shared" si="149"/>
        <v>1834086000</v>
      </c>
      <c r="P1567" s="87">
        <f t="shared" si="145"/>
        <v>0.1493292589146161</v>
      </c>
      <c r="Q1567" s="87">
        <f t="shared" si="146"/>
        <v>0.48802250678850412</v>
      </c>
    </row>
    <row r="1568" spans="1:17">
      <c r="A1568" s="83">
        <v>1633</v>
      </c>
      <c r="B1568" s="83" t="s">
        <v>543</v>
      </c>
      <c r="C1568" s="83" t="s">
        <v>23</v>
      </c>
      <c r="D1568" s="84">
        <v>42840</v>
      </c>
      <c r="E1568" s="85">
        <f t="shared" si="144"/>
        <v>2017</v>
      </c>
      <c r="F1568" s="86">
        <v>12376744000</v>
      </c>
      <c r="G1568" s="86">
        <v>6393800000</v>
      </c>
      <c r="H1568" s="86">
        <v>4178386000</v>
      </c>
      <c r="I1568" s="86">
        <v>0</v>
      </c>
      <c r="J1568" s="86">
        <v>0</v>
      </c>
      <c r="K1568" s="83" t="s">
        <v>25</v>
      </c>
      <c r="L1568" s="83" t="s">
        <v>295</v>
      </c>
      <c r="M1568" s="91">
        <f t="shared" si="147"/>
        <v>5982944000</v>
      </c>
      <c r="N1568" s="86">
        <f t="shared" si="148"/>
        <v>4178386000</v>
      </c>
      <c r="O1568" s="86">
        <f t="shared" si="149"/>
        <v>1804558000</v>
      </c>
      <c r="P1568" s="83">
        <f t="shared" si="145"/>
        <v>0.14580232086888117</v>
      </c>
      <c r="Q1568" s="83">
        <f t="shared" si="146"/>
        <v>0.48340209670653278</v>
      </c>
    </row>
    <row r="1569" spans="1:17">
      <c r="A1569" s="87">
        <v>1634</v>
      </c>
      <c r="B1569" s="87" t="s">
        <v>544</v>
      </c>
      <c r="C1569" s="87" t="s">
        <v>18</v>
      </c>
      <c r="D1569" s="84">
        <v>42841</v>
      </c>
      <c r="E1569" s="88">
        <f t="shared" si="144"/>
        <v>2017</v>
      </c>
      <c r="F1569" s="89">
        <v>13794000000</v>
      </c>
      <c r="G1569" s="89">
        <v>6799000000</v>
      </c>
      <c r="H1569" s="89">
        <v>2829000000</v>
      </c>
      <c r="I1569" s="89">
        <v>0</v>
      </c>
      <c r="J1569" s="89">
        <v>237000000</v>
      </c>
      <c r="K1569" s="87" t="s">
        <v>25</v>
      </c>
      <c r="L1569" s="87" t="s">
        <v>210</v>
      </c>
      <c r="M1569" s="90">
        <f t="shared" si="147"/>
        <v>6995000000</v>
      </c>
      <c r="N1569" s="89">
        <f t="shared" si="148"/>
        <v>3066000000</v>
      </c>
      <c r="O1569" s="89">
        <f t="shared" si="149"/>
        <v>3929000000</v>
      </c>
      <c r="P1569" s="87">
        <f t="shared" si="145"/>
        <v>0.28483398579092362</v>
      </c>
      <c r="Q1569" s="87">
        <f t="shared" si="146"/>
        <v>0.50710453820501666</v>
      </c>
    </row>
    <row r="1570" spans="1:17">
      <c r="A1570" s="83">
        <v>1635</v>
      </c>
      <c r="B1570" s="83" t="s">
        <v>544</v>
      </c>
      <c r="C1570" s="83" t="s">
        <v>21</v>
      </c>
      <c r="D1570" s="84">
        <v>42842</v>
      </c>
      <c r="E1570" s="85">
        <f t="shared" si="144"/>
        <v>2017</v>
      </c>
      <c r="F1570" s="86">
        <v>13783000000</v>
      </c>
      <c r="G1570" s="86">
        <v>6542000000</v>
      </c>
      <c r="H1570" s="86">
        <v>2899000000</v>
      </c>
      <c r="I1570" s="86">
        <v>0</v>
      </c>
      <c r="J1570" s="86">
        <v>217000000</v>
      </c>
      <c r="K1570" s="83" t="s">
        <v>25</v>
      </c>
      <c r="L1570" s="83" t="s">
        <v>210</v>
      </c>
      <c r="M1570" s="91">
        <f t="shared" si="147"/>
        <v>7241000000</v>
      </c>
      <c r="N1570" s="86">
        <f t="shared" si="148"/>
        <v>3116000000</v>
      </c>
      <c r="O1570" s="86">
        <f t="shared" si="149"/>
        <v>4125000000</v>
      </c>
      <c r="P1570" s="83">
        <f t="shared" si="145"/>
        <v>0.29928172386272944</v>
      </c>
      <c r="Q1570" s="83">
        <f t="shared" si="146"/>
        <v>0.52535732424000581</v>
      </c>
    </row>
    <row r="1571" spans="1:17">
      <c r="A1571" s="87">
        <v>1636</v>
      </c>
      <c r="B1571" s="87" t="s">
        <v>544</v>
      </c>
      <c r="C1571" s="87" t="s">
        <v>22</v>
      </c>
      <c r="D1571" s="84">
        <v>42843</v>
      </c>
      <c r="E1571" s="88">
        <f t="shared" si="144"/>
        <v>2017</v>
      </c>
      <c r="F1571" s="89">
        <v>13268000000</v>
      </c>
      <c r="G1571" s="89">
        <v>6868000000</v>
      </c>
      <c r="H1571" s="89">
        <v>2860000000</v>
      </c>
      <c r="I1571" s="89">
        <v>0</v>
      </c>
      <c r="J1571" s="89">
        <v>222000000</v>
      </c>
      <c r="K1571" s="87" t="s">
        <v>25</v>
      </c>
      <c r="L1571" s="87" t="s">
        <v>210</v>
      </c>
      <c r="M1571" s="90">
        <f t="shared" si="147"/>
        <v>6400000000</v>
      </c>
      <c r="N1571" s="89">
        <f t="shared" si="148"/>
        <v>3082000000</v>
      </c>
      <c r="O1571" s="89">
        <f t="shared" si="149"/>
        <v>3318000000</v>
      </c>
      <c r="P1571" s="87">
        <f t="shared" si="145"/>
        <v>0.2500753693096171</v>
      </c>
      <c r="Q1571" s="87">
        <f t="shared" si="146"/>
        <v>0.48236358154959302</v>
      </c>
    </row>
    <row r="1572" spans="1:17">
      <c r="A1572" s="83">
        <v>1637</v>
      </c>
      <c r="B1572" s="83" t="s">
        <v>544</v>
      </c>
      <c r="C1572" s="83" t="s">
        <v>23</v>
      </c>
      <c r="D1572" s="84">
        <v>42844</v>
      </c>
      <c r="E1572" s="85">
        <f t="shared" si="144"/>
        <v>2017</v>
      </c>
      <c r="F1572" s="86">
        <v>12488000000</v>
      </c>
      <c r="G1572" s="86">
        <v>6684000000</v>
      </c>
      <c r="H1572" s="86">
        <v>2851000000</v>
      </c>
      <c r="I1572" s="86">
        <v>0</v>
      </c>
      <c r="J1572" s="86">
        <v>221000000</v>
      </c>
      <c r="K1572" s="83" t="s">
        <v>25</v>
      </c>
      <c r="L1572" s="83" t="s">
        <v>210</v>
      </c>
      <c r="M1572" s="91">
        <f t="shared" si="147"/>
        <v>5804000000</v>
      </c>
      <c r="N1572" s="86">
        <f t="shared" si="148"/>
        <v>3072000000</v>
      </c>
      <c r="O1572" s="86">
        <f t="shared" si="149"/>
        <v>2732000000</v>
      </c>
      <c r="P1572" s="83">
        <f t="shared" si="145"/>
        <v>0.21877001921844971</v>
      </c>
      <c r="Q1572" s="83">
        <f t="shared" si="146"/>
        <v>0.46476617552850741</v>
      </c>
    </row>
    <row r="1573" spans="1:17">
      <c r="A1573" s="87">
        <v>1638</v>
      </c>
      <c r="B1573" s="87" t="s">
        <v>545</v>
      </c>
      <c r="C1573" s="87" t="s">
        <v>18</v>
      </c>
      <c r="D1573" s="84">
        <v>42845</v>
      </c>
      <c r="E1573" s="88">
        <f t="shared" si="144"/>
        <v>2017</v>
      </c>
      <c r="F1573" s="89">
        <v>138393000000</v>
      </c>
      <c r="G1573" s="89">
        <v>126485000000</v>
      </c>
      <c r="H1573" s="89">
        <v>5229000000</v>
      </c>
      <c r="I1573" s="89">
        <v>0</v>
      </c>
      <c r="J1573" s="89">
        <v>1549000000</v>
      </c>
      <c r="K1573" s="87" t="s">
        <v>89</v>
      </c>
      <c r="L1573" s="87" t="s">
        <v>347</v>
      </c>
      <c r="M1573" s="90">
        <f t="shared" si="147"/>
        <v>11908000000</v>
      </c>
      <c r="N1573" s="89">
        <f t="shared" si="148"/>
        <v>6778000000</v>
      </c>
      <c r="O1573" s="89">
        <f t="shared" si="149"/>
        <v>5130000000</v>
      </c>
      <c r="P1573" s="87">
        <f t="shared" si="145"/>
        <v>3.7068348832672175E-2</v>
      </c>
      <c r="Q1573" s="87">
        <f t="shared" si="146"/>
        <v>8.6044814405352832E-2</v>
      </c>
    </row>
    <row r="1574" spans="1:17">
      <c r="A1574" s="83">
        <v>1639</v>
      </c>
      <c r="B1574" s="83" t="s">
        <v>545</v>
      </c>
      <c r="C1574" s="83" t="s">
        <v>21</v>
      </c>
      <c r="D1574" s="84">
        <v>42846</v>
      </c>
      <c r="E1574" s="85">
        <f t="shared" si="144"/>
        <v>2017</v>
      </c>
      <c r="F1574" s="86">
        <v>138074000000</v>
      </c>
      <c r="G1574" s="86">
        <v>127316000000</v>
      </c>
      <c r="H1574" s="86">
        <v>5081000000</v>
      </c>
      <c r="I1574" s="86">
        <v>0</v>
      </c>
      <c r="J1574" s="86">
        <v>1720000000</v>
      </c>
      <c r="K1574" s="83" t="s">
        <v>89</v>
      </c>
      <c r="L1574" s="83" t="s">
        <v>347</v>
      </c>
      <c r="M1574" s="91">
        <f t="shared" si="147"/>
        <v>10758000000</v>
      </c>
      <c r="N1574" s="86">
        <f t="shared" si="148"/>
        <v>6801000000</v>
      </c>
      <c r="O1574" s="86">
        <f t="shared" si="149"/>
        <v>3957000000</v>
      </c>
      <c r="P1574" s="83">
        <f t="shared" si="145"/>
        <v>2.8658545417674579E-2</v>
      </c>
      <c r="Q1574" s="83">
        <f t="shared" si="146"/>
        <v>7.7914741370569418E-2</v>
      </c>
    </row>
    <row r="1575" spans="1:17">
      <c r="A1575" s="87">
        <v>1640</v>
      </c>
      <c r="B1575" s="87" t="s">
        <v>545</v>
      </c>
      <c r="C1575" s="87" t="s">
        <v>22</v>
      </c>
      <c r="D1575" s="84">
        <v>42847</v>
      </c>
      <c r="E1575" s="88">
        <f t="shared" si="144"/>
        <v>2017</v>
      </c>
      <c r="F1575" s="89">
        <v>130844000000</v>
      </c>
      <c r="G1575" s="89">
        <v>118141000000</v>
      </c>
      <c r="H1575" s="89">
        <v>5111000000</v>
      </c>
      <c r="I1575" s="89">
        <v>0</v>
      </c>
      <c r="J1575" s="89">
        <v>1690000000</v>
      </c>
      <c r="K1575" s="87" t="s">
        <v>89</v>
      </c>
      <c r="L1575" s="87" t="s">
        <v>347</v>
      </c>
      <c r="M1575" s="90">
        <f t="shared" si="147"/>
        <v>12703000000</v>
      </c>
      <c r="N1575" s="89">
        <f t="shared" si="148"/>
        <v>6801000000</v>
      </c>
      <c r="O1575" s="89">
        <f t="shared" si="149"/>
        <v>5902000000</v>
      </c>
      <c r="P1575" s="87">
        <f t="shared" si="145"/>
        <v>4.5107150499831862E-2</v>
      </c>
      <c r="Q1575" s="87">
        <f t="shared" si="146"/>
        <v>9.7085078413989168E-2</v>
      </c>
    </row>
    <row r="1576" spans="1:17">
      <c r="A1576" s="83">
        <v>1641</v>
      </c>
      <c r="B1576" s="83" t="s">
        <v>545</v>
      </c>
      <c r="C1576" s="83" t="s">
        <v>23</v>
      </c>
      <c r="D1576" s="84">
        <v>42848</v>
      </c>
      <c r="E1576" s="85">
        <f t="shared" si="144"/>
        <v>2017</v>
      </c>
      <c r="F1576" s="86">
        <v>87804000000</v>
      </c>
      <c r="G1576" s="86">
        <v>74651000000</v>
      </c>
      <c r="H1576" s="86">
        <v>4953000000</v>
      </c>
      <c r="I1576" s="86">
        <v>0</v>
      </c>
      <c r="J1576" s="86">
        <v>1842000000</v>
      </c>
      <c r="K1576" s="83" t="s">
        <v>89</v>
      </c>
      <c r="L1576" s="83" t="s">
        <v>347</v>
      </c>
      <c r="M1576" s="91">
        <f t="shared" si="147"/>
        <v>13153000000</v>
      </c>
      <c r="N1576" s="86">
        <f t="shared" si="148"/>
        <v>6795000000</v>
      </c>
      <c r="O1576" s="86">
        <f t="shared" si="149"/>
        <v>6358000000</v>
      </c>
      <c r="P1576" s="83">
        <f t="shared" si="145"/>
        <v>7.2411279668352244E-2</v>
      </c>
      <c r="Q1576" s="83">
        <f t="shared" si="146"/>
        <v>0.14979955355109109</v>
      </c>
    </row>
    <row r="1577" spans="1:17">
      <c r="A1577" s="87">
        <v>1642</v>
      </c>
      <c r="B1577" s="87" t="s">
        <v>546</v>
      </c>
      <c r="C1577" s="87" t="s">
        <v>18</v>
      </c>
      <c r="D1577" s="84">
        <v>42849</v>
      </c>
      <c r="E1577" s="88">
        <f t="shared" si="144"/>
        <v>2017</v>
      </c>
      <c r="F1577" s="89">
        <v>2567310000</v>
      </c>
      <c r="G1577" s="89">
        <v>2233284000</v>
      </c>
      <c r="H1577" s="89">
        <v>308143000</v>
      </c>
      <c r="I1577" s="89">
        <v>0</v>
      </c>
      <c r="J1577" s="89">
        <v>0</v>
      </c>
      <c r="K1577" s="87" t="s">
        <v>65</v>
      </c>
      <c r="L1577" s="87" t="s">
        <v>393</v>
      </c>
      <c r="M1577" s="90">
        <f t="shared" si="147"/>
        <v>334026000</v>
      </c>
      <c r="N1577" s="89">
        <f t="shared" si="148"/>
        <v>308143000</v>
      </c>
      <c r="O1577" s="89">
        <f t="shared" si="149"/>
        <v>25883000</v>
      </c>
      <c r="P1577" s="87">
        <f t="shared" si="145"/>
        <v>1.0081758728007135E-2</v>
      </c>
      <c r="Q1577" s="87">
        <f t="shared" si="146"/>
        <v>0.13010738866751581</v>
      </c>
    </row>
    <row r="1578" spans="1:17">
      <c r="A1578" s="83">
        <v>1643</v>
      </c>
      <c r="B1578" s="83" t="s">
        <v>546</v>
      </c>
      <c r="C1578" s="83" t="s">
        <v>21</v>
      </c>
      <c r="D1578" s="84">
        <v>42850</v>
      </c>
      <c r="E1578" s="85">
        <f t="shared" si="144"/>
        <v>2017</v>
      </c>
      <c r="F1578" s="86">
        <v>2770709000</v>
      </c>
      <c r="G1578" s="86">
        <v>2343829000</v>
      </c>
      <c r="H1578" s="86">
        <v>274217000</v>
      </c>
      <c r="I1578" s="86">
        <v>0</v>
      </c>
      <c r="J1578" s="86">
        <v>0</v>
      </c>
      <c r="K1578" s="83" t="s">
        <v>65</v>
      </c>
      <c r="L1578" s="83" t="s">
        <v>393</v>
      </c>
      <c r="M1578" s="91">
        <f t="shared" si="147"/>
        <v>426880000</v>
      </c>
      <c r="N1578" s="86">
        <f t="shared" si="148"/>
        <v>274217000</v>
      </c>
      <c r="O1578" s="86">
        <f t="shared" si="149"/>
        <v>152663000</v>
      </c>
      <c r="P1578" s="83">
        <f t="shared" si="145"/>
        <v>5.5098893460121576E-2</v>
      </c>
      <c r="Q1578" s="83">
        <f t="shared" si="146"/>
        <v>0.15406886829327804</v>
      </c>
    </row>
    <row r="1579" spans="1:17">
      <c r="A1579" s="87">
        <v>1644</v>
      </c>
      <c r="B1579" s="87" t="s">
        <v>546</v>
      </c>
      <c r="C1579" s="87" t="s">
        <v>22</v>
      </c>
      <c r="D1579" s="84">
        <v>42851</v>
      </c>
      <c r="E1579" s="88">
        <f t="shared" si="144"/>
        <v>2017</v>
      </c>
      <c r="F1579" s="89">
        <v>2994169000</v>
      </c>
      <c r="G1579" s="89">
        <v>2406587000</v>
      </c>
      <c r="H1579" s="89">
        <v>292358000</v>
      </c>
      <c r="I1579" s="89">
        <v>0</v>
      </c>
      <c r="J1579" s="89">
        <v>0</v>
      </c>
      <c r="K1579" s="87" t="s">
        <v>65</v>
      </c>
      <c r="L1579" s="87" t="s">
        <v>393</v>
      </c>
      <c r="M1579" s="90">
        <f t="shared" si="147"/>
        <v>587582000</v>
      </c>
      <c r="N1579" s="89">
        <f t="shared" si="148"/>
        <v>292358000</v>
      </c>
      <c r="O1579" s="89">
        <f t="shared" si="149"/>
        <v>295224000</v>
      </c>
      <c r="P1579" s="87">
        <f t="shared" si="145"/>
        <v>9.8599644843026565E-2</v>
      </c>
      <c r="Q1579" s="87">
        <f t="shared" si="146"/>
        <v>0.19624209588703911</v>
      </c>
    </row>
    <row r="1580" spans="1:17">
      <c r="A1580" s="83">
        <v>1645</v>
      </c>
      <c r="B1580" s="83" t="s">
        <v>546</v>
      </c>
      <c r="C1580" s="83" t="s">
        <v>23</v>
      </c>
      <c r="D1580" s="84">
        <v>42852</v>
      </c>
      <c r="E1580" s="85">
        <f t="shared" si="144"/>
        <v>2017</v>
      </c>
      <c r="F1580" s="86">
        <v>3422181000</v>
      </c>
      <c r="G1580" s="86">
        <v>2564648000</v>
      </c>
      <c r="H1580" s="86">
        <v>312694000</v>
      </c>
      <c r="I1580" s="86">
        <v>0</v>
      </c>
      <c r="J1580" s="86">
        <v>0</v>
      </c>
      <c r="K1580" s="83" t="s">
        <v>65</v>
      </c>
      <c r="L1580" s="83" t="s">
        <v>393</v>
      </c>
      <c r="M1580" s="91">
        <f t="shared" si="147"/>
        <v>857533000</v>
      </c>
      <c r="N1580" s="86">
        <f t="shared" si="148"/>
        <v>312694000</v>
      </c>
      <c r="O1580" s="86">
        <f t="shared" si="149"/>
        <v>544839000</v>
      </c>
      <c r="P1580" s="83">
        <f t="shared" si="145"/>
        <v>0.15920811903286239</v>
      </c>
      <c r="Q1580" s="83">
        <f t="shared" si="146"/>
        <v>0.25058084303547945</v>
      </c>
    </row>
    <row r="1581" spans="1:17">
      <c r="A1581" s="87">
        <v>1646</v>
      </c>
      <c r="B1581" s="87" t="s">
        <v>547</v>
      </c>
      <c r="C1581" s="87" t="s">
        <v>18</v>
      </c>
      <c r="D1581" s="84">
        <v>42853</v>
      </c>
      <c r="E1581" s="88">
        <f t="shared" si="144"/>
        <v>2017</v>
      </c>
      <c r="F1581" s="89">
        <v>2299176000</v>
      </c>
      <c r="G1581" s="89">
        <v>928565000</v>
      </c>
      <c r="H1581" s="89">
        <v>177366000</v>
      </c>
      <c r="I1581" s="89">
        <v>32210000</v>
      </c>
      <c r="J1581" s="89">
        <v>461627000</v>
      </c>
      <c r="K1581" s="87" t="s">
        <v>58</v>
      </c>
      <c r="L1581" s="87" t="s">
        <v>59</v>
      </c>
      <c r="M1581" s="90">
        <f t="shared" si="147"/>
        <v>1370611000</v>
      </c>
      <c r="N1581" s="89">
        <f t="shared" si="148"/>
        <v>671203000</v>
      </c>
      <c r="O1581" s="89">
        <f t="shared" si="149"/>
        <v>699408000</v>
      </c>
      <c r="P1581" s="87">
        <f t="shared" si="145"/>
        <v>0.30419941753045437</v>
      </c>
      <c r="Q1581" s="87">
        <f t="shared" si="146"/>
        <v>0.59613139663949166</v>
      </c>
    </row>
    <row r="1582" spans="1:17">
      <c r="A1582" s="83">
        <v>1647</v>
      </c>
      <c r="B1582" s="83" t="s">
        <v>547</v>
      </c>
      <c r="C1582" s="83" t="s">
        <v>21</v>
      </c>
      <c r="D1582" s="84">
        <v>42854</v>
      </c>
      <c r="E1582" s="85">
        <f t="shared" si="144"/>
        <v>2017</v>
      </c>
      <c r="F1582" s="86">
        <v>2312512000</v>
      </c>
      <c r="G1582" s="86">
        <v>953611000</v>
      </c>
      <c r="H1582" s="86">
        <v>169270000</v>
      </c>
      <c r="I1582" s="86">
        <v>0</v>
      </c>
      <c r="J1582" s="86">
        <v>481303000</v>
      </c>
      <c r="K1582" s="83" t="s">
        <v>58</v>
      </c>
      <c r="L1582" s="83" t="s">
        <v>59</v>
      </c>
      <c r="M1582" s="91">
        <f t="shared" si="147"/>
        <v>1358901000</v>
      </c>
      <c r="N1582" s="86">
        <f t="shared" si="148"/>
        <v>650573000</v>
      </c>
      <c r="O1582" s="86">
        <f t="shared" si="149"/>
        <v>708328000</v>
      </c>
      <c r="P1582" s="83">
        <f t="shared" si="145"/>
        <v>0.30630241053884261</v>
      </c>
      <c r="Q1582" s="83">
        <f t="shared" si="146"/>
        <v>0.58762981554257876</v>
      </c>
    </row>
    <row r="1583" spans="1:17">
      <c r="A1583" s="87">
        <v>1648</v>
      </c>
      <c r="B1583" s="87" t="s">
        <v>547</v>
      </c>
      <c r="C1583" s="87" t="s">
        <v>22</v>
      </c>
      <c r="D1583" s="84">
        <v>42855</v>
      </c>
      <c r="E1583" s="88">
        <f t="shared" si="144"/>
        <v>2017</v>
      </c>
      <c r="F1583" s="89">
        <v>2502267000</v>
      </c>
      <c r="G1583" s="89">
        <v>1011249000</v>
      </c>
      <c r="H1583" s="89">
        <v>175307000</v>
      </c>
      <c r="I1583" s="89">
        <v>0</v>
      </c>
      <c r="J1583" s="89">
        <v>542952000</v>
      </c>
      <c r="K1583" s="87" t="s">
        <v>58</v>
      </c>
      <c r="L1583" s="87" t="s">
        <v>59</v>
      </c>
      <c r="M1583" s="90">
        <f t="shared" si="147"/>
        <v>1491018000</v>
      </c>
      <c r="N1583" s="89">
        <f t="shared" si="148"/>
        <v>718259000</v>
      </c>
      <c r="O1583" s="89">
        <f t="shared" si="149"/>
        <v>772759000</v>
      </c>
      <c r="P1583" s="87">
        <f t="shared" si="145"/>
        <v>0.308823558796883</v>
      </c>
      <c r="Q1583" s="87">
        <f t="shared" si="146"/>
        <v>0.59586686792416632</v>
      </c>
    </row>
    <row r="1584" spans="1:17">
      <c r="A1584" s="83">
        <v>1649</v>
      </c>
      <c r="B1584" s="83" t="s">
        <v>547</v>
      </c>
      <c r="C1584" s="83" t="s">
        <v>23</v>
      </c>
      <c r="D1584" s="84">
        <v>42856</v>
      </c>
      <c r="E1584" s="85">
        <f t="shared" si="144"/>
        <v>2017</v>
      </c>
      <c r="F1584" s="86">
        <v>2506202000</v>
      </c>
      <c r="G1584" s="86">
        <v>1024336000</v>
      </c>
      <c r="H1584" s="86">
        <v>179279000</v>
      </c>
      <c r="I1584" s="86">
        <v>0</v>
      </c>
      <c r="J1584" s="86">
        <v>565059000</v>
      </c>
      <c r="K1584" s="83" t="s">
        <v>58</v>
      </c>
      <c r="L1584" s="83" t="s">
        <v>59</v>
      </c>
      <c r="M1584" s="91">
        <f t="shared" si="147"/>
        <v>1481866000</v>
      </c>
      <c r="N1584" s="86">
        <f t="shared" si="148"/>
        <v>744338000</v>
      </c>
      <c r="O1584" s="86">
        <f t="shared" si="149"/>
        <v>737528000</v>
      </c>
      <c r="P1584" s="83">
        <f t="shared" si="145"/>
        <v>0.29428114732970445</v>
      </c>
      <c r="Q1584" s="83">
        <f t="shared" si="146"/>
        <v>0.59127955368322271</v>
      </c>
    </row>
    <row r="1585" spans="1:17">
      <c r="A1585" s="87">
        <v>1650</v>
      </c>
      <c r="B1585" s="87" t="s">
        <v>548</v>
      </c>
      <c r="C1585" s="87" t="s">
        <v>18</v>
      </c>
      <c r="D1585" s="84">
        <v>42857</v>
      </c>
      <c r="E1585" s="88">
        <f t="shared" si="144"/>
        <v>2017</v>
      </c>
      <c r="F1585" s="89">
        <v>1407848000</v>
      </c>
      <c r="G1585" s="89">
        <v>516708000</v>
      </c>
      <c r="H1585" s="89">
        <v>220068000</v>
      </c>
      <c r="I1585" s="89">
        <v>0</v>
      </c>
      <c r="J1585" s="89">
        <v>98844000</v>
      </c>
      <c r="K1585" s="87" t="s">
        <v>19</v>
      </c>
      <c r="L1585" s="87" t="s">
        <v>217</v>
      </c>
      <c r="M1585" s="90">
        <f t="shared" si="147"/>
        <v>891140000</v>
      </c>
      <c r="N1585" s="89">
        <f t="shared" si="148"/>
        <v>318912000</v>
      </c>
      <c r="O1585" s="89">
        <f t="shared" si="149"/>
        <v>572228000</v>
      </c>
      <c r="P1585" s="87">
        <f t="shared" si="145"/>
        <v>0.40645581057045932</v>
      </c>
      <c r="Q1585" s="87">
        <f t="shared" si="146"/>
        <v>0.6329802649149624</v>
      </c>
    </row>
    <row r="1586" spans="1:17">
      <c r="A1586" s="83">
        <v>1651</v>
      </c>
      <c r="B1586" s="83" t="s">
        <v>548</v>
      </c>
      <c r="C1586" s="83" t="s">
        <v>21</v>
      </c>
      <c r="D1586" s="84">
        <v>42858</v>
      </c>
      <c r="E1586" s="85">
        <f t="shared" si="144"/>
        <v>2017</v>
      </c>
      <c r="F1586" s="86">
        <v>1595703000</v>
      </c>
      <c r="G1586" s="86">
        <v>622523000</v>
      </c>
      <c r="H1586" s="86">
        <v>228982000</v>
      </c>
      <c r="I1586" s="86">
        <v>0</v>
      </c>
      <c r="J1586" s="86">
        <v>129931000</v>
      </c>
      <c r="K1586" s="83" t="s">
        <v>19</v>
      </c>
      <c r="L1586" s="83" t="s">
        <v>217</v>
      </c>
      <c r="M1586" s="91">
        <f t="shared" si="147"/>
        <v>973180000</v>
      </c>
      <c r="N1586" s="86">
        <f t="shared" si="148"/>
        <v>358913000</v>
      </c>
      <c r="O1586" s="86">
        <f t="shared" si="149"/>
        <v>614267000</v>
      </c>
      <c r="P1586" s="83">
        <f t="shared" si="145"/>
        <v>0.38495070824583272</v>
      </c>
      <c r="Q1586" s="83">
        <f t="shared" si="146"/>
        <v>0.60987539661202617</v>
      </c>
    </row>
    <row r="1587" spans="1:17">
      <c r="A1587" s="87">
        <v>1652</v>
      </c>
      <c r="B1587" s="87" t="s">
        <v>548</v>
      </c>
      <c r="C1587" s="87" t="s">
        <v>22</v>
      </c>
      <c r="D1587" s="84">
        <v>42859</v>
      </c>
      <c r="E1587" s="88">
        <f t="shared" si="144"/>
        <v>2017</v>
      </c>
      <c r="F1587" s="89">
        <v>1746726000</v>
      </c>
      <c r="G1587" s="89">
        <v>716598000</v>
      </c>
      <c r="H1587" s="89">
        <v>227306000</v>
      </c>
      <c r="I1587" s="89">
        <v>0</v>
      </c>
      <c r="J1587" s="89">
        <v>142376000</v>
      </c>
      <c r="K1587" s="87" t="s">
        <v>19</v>
      </c>
      <c r="L1587" s="87" t="s">
        <v>217</v>
      </c>
      <c r="M1587" s="90">
        <f t="shared" si="147"/>
        <v>1030128000</v>
      </c>
      <c r="N1587" s="89">
        <f t="shared" si="148"/>
        <v>369682000</v>
      </c>
      <c r="O1587" s="89">
        <f t="shared" si="149"/>
        <v>660446000</v>
      </c>
      <c r="P1587" s="87">
        <f t="shared" si="145"/>
        <v>0.37810509490326472</v>
      </c>
      <c r="Q1587" s="87">
        <f t="shared" si="146"/>
        <v>0.58974790551008005</v>
      </c>
    </row>
    <row r="1588" spans="1:17">
      <c r="A1588" s="83">
        <v>1653</v>
      </c>
      <c r="B1588" s="83" t="s">
        <v>548</v>
      </c>
      <c r="C1588" s="83" t="s">
        <v>23</v>
      </c>
      <c r="D1588" s="84">
        <v>42860</v>
      </c>
      <c r="E1588" s="85">
        <f t="shared" si="144"/>
        <v>2017</v>
      </c>
      <c r="F1588" s="86">
        <v>2068010000</v>
      </c>
      <c r="G1588" s="86">
        <v>803274000</v>
      </c>
      <c r="H1588" s="86">
        <v>312690000</v>
      </c>
      <c r="I1588" s="86">
        <v>0</v>
      </c>
      <c r="J1588" s="86">
        <v>215484000</v>
      </c>
      <c r="K1588" s="83" t="s">
        <v>19</v>
      </c>
      <c r="L1588" s="83" t="s">
        <v>217</v>
      </c>
      <c r="M1588" s="91">
        <f t="shared" si="147"/>
        <v>1264736000</v>
      </c>
      <c r="N1588" s="86">
        <f t="shared" si="148"/>
        <v>528174000</v>
      </c>
      <c r="O1588" s="86">
        <f t="shared" si="149"/>
        <v>736562000</v>
      </c>
      <c r="P1588" s="83">
        <f t="shared" si="145"/>
        <v>0.35616945759449908</v>
      </c>
      <c r="Q1588" s="83">
        <f t="shared" si="146"/>
        <v>0.61157151077606009</v>
      </c>
    </row>
    <row r="1589" spans="1:17">
      <c r="A1589" s="87">
        <v>1654</v>
      </c>
      <c r="B1589" s="87" t="s">
        <v>549</v>
      </c>
      <c r="C1589" s="87" t="s">
        <v>18</v>
      </c>
      <c r="D1589" s="84">
        <v>42861</v>
      </c>
      <c r="E1589" s="88">
        <f t="shared" si="144"/>
        <v>2017</v>
      </c>
      <c r="F1589" s="89">
        <v>873592000</v>
      </c>
      <c r="G1589" s="89">
        <v>167600000</v>
      </c>
      <c r="H1589" s="89">
        <v>186971000</v>
      </c>
      <c r="I1589" s="89">
        <v>61694000</v>
      </c>
      <c r="J1589" s="89">
        <v>0</v>
      </c>
      <c r="K1589" s="87" t="s">
        <v>28</v>
      </c>
      <c r="L1589" s="87" t="s">
        <v>63</v>
      </c>
      <c r="M1589" s="90">
        <f t="shared" si="147"/>
        <v>705992000</v>
      </c>
      <c r="N1589" s="89">
        <f t="shared" si="148"/>
        <v>248665000</v>
      </c>
      <c r="O1589" s="89">
        <f t="shared" si="149"/>
        <v>457327000</v>
      </c>
      <c r="P1589" s="87">
        <f t="shared" si="145"/>
        <v>0.52350181778221416</v>
      </c>
      <c r="Q1589" s="87">
        <f t="shared" si="146"/>
        <v>0.80814842626763983</v>
      </c>
    </row>
    <row r="1590" spans="1:17">
      <c r="A1590" s="83">
        <v>1655</v>
      </c>
      <c r="B1590" s="83" t="s">
        <v>549</v>
      </c>
      <c r="C1590" s="83" t="s">
        <v>21</v>
      </c>
      <c r="D1590" s="84">
        <v>42862</v>
      </c>
      <c r="E1590" s="85">
        <f t="shared" si="144"/>
        <v>2017</v>
      </c>
      <c r="F1590" s="86">
        <v>965087000</v>
      </c>
      <c r="G1590" s="86">
        <v>187013000</v>
      </c>
      <c r="H1590" s="86">
        <v>179545000</v>
      </c>
      <c r="I1590" s="86">
        <v>70297000</v>
      </c>
      <c r="J1590" s="86">
        <v>0</v>
      </c>
      <c r="K1590" s="83" t="s">
        <v>28</v>
      </c>
      <c r="L1590" s="83" t="s">
        <v>63</v>
      </c>
      <c r="M1590" s="91">
        <f t="shared" si="147"/>
        <v>778074000</v>
      </c>
      <c r="N1590" s="86">
        <f t="shared" si="148"/>
        <v>249842000</v>
      </c>
      <c r="O1590" s="86">
        <f t="shared" si="149"/>
        <v>528232000</v>
      </c>
      <c r="P1590" s="83">
        <f t="shared" si="145"/>
        <v>0.54734132777666678</v>
      </c>
      <c r="Q1590" s="83">
        <f t="shared" si="146"/>
        <v>0.80622161525333991</v>
      </c>
    </row>
    <row r="1591" spans="1:17">
      <c r="A1591" s="87">
        <v>1656</v>
      </c>
      <c r="B1591" s="87" t="s">
        <v>549</v>
      </c>
      <c r="C1591" s="87" t="s">
        <v>22</v>
      </c>
      <c r="D1591" s="84">
        <v>42863</v>
      </c>
      <c r="E1591" s="88">
        <f t="shared" si="144"/>
        <v>2017</v>
      </c>
      <c r="F1591" s="89">
        <v>1010117000</v>
      </c>
      <c r="G1591" s="89">
        <v>188425000</v>
      </c>
      <c r="H1591" s="89">
        <v>189488000</v>
      </c>
      <c r="I1591" s="89">
        <v>67777000</v>
      </c>
      <c r="J1591" s="89">
        <v>0</v>
      </c>
      <c r="K1591" s="87" t="s">
        <v>28</v>
      </c>
      <c r="L1591" s="87" t="s">
        <v>63</v>
      </c>
      <c r="M1591" s="90">
        <f t="shared" si="147"/>
        <v>821692000</v>
      </c>
      <c r="N1591" s="89">
        <f t="shared" si="148"/>
        <v>257265000</v>
      </c>
      <c r="O1591" s="89">
        <f t="shared" si="149"/>
        <v>564427000</v>
      </c>
      <c r="P1591" s="87">
        <f t="shared" si="145"/>
        <v>0.55877388460940658</v>
      </c>
      <c r="Q1591" s="87">
        <f t="shared" si="146"/>
        <v>0.81346220289332827</v>
      </c>
    </row>
    <row r="1592" spans="1:17">
      <c r="A1592" s="83">
        <v>1657</v>
      </c>
      <c r="B1592" s="83" t="s">
        <v>549</v>
      </c>
      <c r="C1592" s="83" t="s">
        <v>23</v>
      </c>
      <c r="D1592" s="84">
        <v>42864</v>
      </c>
      <c r="E1592" s="85">
        <f t="shared" si="144"/>
        <v>2017</v>
      </c>
      <c r="F1592" s="86">
        <v>1059366000</v>
      </c>
      <c r="G1592" s="86">
        <v>192788000</v>
      </c>
      <c r="H1592" s="86">
        <v>196914000</v>
      </c>
      <c r="I1592" s="86">
        <v>63718000</v>
      </c>
      <c r="J1592" s="86">
        <v>0</v>
      </c>
      <c r="K1592" s="83" t="s">
        <v>28</v>
      </c>
      <c r="L1592" s="83" t="s">
        <v>63</v>
      </c>
      <c r="M1592" s="91">
        <f t="shared" si="147"/>
        <v>866578000</v>
      </c>
      <c r="N1592" s="86">
        <f t="shared" si="148"/>
        <v>260632000</v>
      </c>
      <c r="O1592" s="86">
        <f t="shared" si="149"/>
        <v>605946000</v>
      </c>
      <c r="P1592" s="83">
        <f t="shared" si="145"/>
        <v>0.57198928415675032</v>
      </c>
      <c r="Q1592" s="83">
        <f t="shared" si="146"/>
        <v>0.8180156810771726</v>
      </c>
    </row>
    <row r="1593" spans="1:17">
      <c r="A1593" s="87">
        <v>1658</v>
      </c>
      <c r="B1593" s="87" t="s">
        <v>550</v>
      </c>
      <c r="C1593" s="87" t="s">
        <v>18</v>
      </c>
      <c r="D1593" s="84">
        <v>42865</v>
      </c>
      <c r="E1593" s="88">
        <f t="shared" si="144"/>
        <v>2017</v>
      </c>
      <c r="F1593" s="89">
        <v>1527042000</v>
      </c>
      <c r="G1593" s="89">
        <v>279885000</v>
      </c>
      <c r="H1593" s="89">
        <v>432681000</v>
      </c>
      <c r="I1593" s="89">
        <v>765905000</v>
      </c>
      <c r="J1593" s="89">
        <v>0</v>
      </c>
      <c r="K1593" s="87" t="s">
        <v>31</v>
      </c>
      <c r="L1593" s="87" t="s">
        <v>72</v>
      </c>
      <c r="M1593" s="90">
        <f t="shared" si="147"/>
        <v>1247157000</v>
      </c>
      <c r="N1593" s="89">
        <f t="shared" si="148"/>
        <v>1198586000</v>
      </c>
      <c r="O1593" s="89">
        <f t="shared" si="149"/>
        <v>48571000</v>
      </c>
      <c r="P1593" s="87">
        <f t="shared" si="145"/>
        <v>3.1807245642228567E-2</v>
      </c>
      <c r="Q1593" s="87">
        <f t="shared" si="146"/>
        <v>0.81671427504940919</v>
      </c>
    </row>
    <row r="1594" spans="1:17">
      <c r="A1594" s="83">
        <v>1659</v>
      </c>
      <c r="B1594" s="83" t="s">
        <v>550</v>
      </c>
      <c r="C1594" s="83" t="s">
        <v>21</v>
      </c>
      <c r="D1594" s="84">
        <v>42866</v>
      </c>
      <c r="E1594" s="85">
        <f t="shared" si="144"/>
        <v>2017</v>
      </c>
      <c r="F1594" s="86">
        <v>1211975000</v>
      </c>
      <c r="G1594" s="86">
        <v>130277000</v>
      </c>
      <c r="H1594" s="86">
        <v>356188000</v>
      </c>
      <c r="I1594" s="86">
        <v>882097000</v>
      </c>
      <c r="J1594" s="86">
        <v>0</v>
      </c>
      <c r="K1594" s="83" t="s">
        <v>31</v>
      </c>
      <c r="L1594" s="83" t="s">
        <v>72</v>
      </c>
      <c r="M1594" s="91">
        <f t="shared" si="147"/>
        <v>1081698000</v>
      </c>
      <c r="N1594" s="86">
        <f t="shared" si="148"/>
        <v>1238285000</v>
      </c>
      <c r="O1594" s="86">
        <f t="shared" si="149"/>
        <v>-156587000</v>
      </c>
      <c r="P1594" s="83">
        <f t="shared" si="145"/>
        <v>-0.12919985973308029</v>
      </c>
      <c r="Q1594" s="83">
        <f t="shared" si="146"/>
        <v>0.89250850883887867</v>
      </c>
    </row>
    <row r="1595" spans="1:17">
      <c r="A1595" s="87">
        <v>1660</v>
      </c>
      <c r="B1595" s="87" t="s">
        <v>550</v>
      </c>
      <c r="C1595" s="87" t="s">
        <v>22</v>
      </c>
      <c r="D1595" s="84">
        <v>42867</v>
      </c>
      <c r="E1595" s="88">
        <f t="shared" si="144"/>
        <v>2017</v>
      </c>
      <c r="F1595" s="89">
        <v>580415000</v>
      </c>
      <c r="G1595" s="89">
        <v>60987000</v>
      </c>
      <c r="H1595" s="89">
        <v>305409000</v>
      </c>
      <c r="I1595" s="89">
        <v>855506000</v>
      </c>
      <c r="J1595" s="89">
        <v>0</v>
      </c>
      <c r="K1595" s="87" t="s">
        <v>31</v>
      </c>
      <c r="L1595" s="87" t="s">
        <v>72</v>
      </c>
      <c r="M1595" s="90">
        <f t="shared" si="147"/>
        <v>519428000</v>
      </c>
      <c r="N1595" s="89">
        <f t="shared" si="148"/>
        <v>1160915000</v>
      </c>
      <c r="O1595" s="89">
        <f t="shared" si="149"/>
        <v>-641487000</v>
      </c>
      <c r="P1595" s="87">
        <f t="shared" si="145"/>
        <v>-1.1052212640955179</v>
      </c>
      <c r="Q1595" s="87">
        <f t="shared" si="146"/>
        <v>0.89492518284331035</v>
      </c>
    </row>
    <row r="1596" spans="1:17">
      <c r="A1596" s="83">
        <v>1661</v>
      </c>
      <c r="B1596" s="83" t="s">
        <v>550</v>
      </c>
      <c r="C1596" s="83" t="s">
        <v>23</v>
      </c>
      <c r="D1596" s="84">
        <v>42868</v>
      </c>
      <c r="E1596" s="85">
        <f t="shared" si="144"/>
        <v>2017</v>
      </c>
      <c r="F1596" s="86">
        <v>1032336000</v>
      </c>
      <c r="G1596" s="86">
        <v>124512000</v>
      </c>
      <c r="H1596" s="86">
        <v>376575000</v>
      </c>
      <c r="I1596" s="86">
        <v>995922000</v>
      </c>
      <c r="J1596" s="86">
        <v>0</v>
      </c>
      <c r="K1596" s="83" t="s">
        <v>31</v>
      </c>
      <c r="L1596" s="83" t="s">
        <v>72</v>
      </c>
      <c r="M1596" s="91">
        <f t="shared" si="147"/>
        <v>907824000</v>
      </c>
      <c r="N1596" s="86">
        <f t="shared" si="148"/>
        <v>1372497000</v>
      </c>
      <c r="O1596" s="86">
        <f t="shared" si="149"/>
        <v>-464673000</v>
      </c>
      <c r="P1596" s="83">
        <f t="shared" si="145"/>
        <v>-0.45011798484214444</v>
      </c>
      <c r="Q1596" s="83">
        <f t="shared" si="146"/>
        <v>0.87938810619798202</v>
      </c>
    </row>
    <row r="1597" spans="1:17">
      <c r="A1597" s="87">
        <v>1662</v>
      </c>
      <c r="B1597" s="87" t="s">
        <v>551</v>
      </c>
      <c r="C1597" s="87" t="s">
        <v>18</v>
      </c>
      <c r="D1597" s="84">
        <v>42869</v>
      </c>
      <c r="E1597" s="88">
        <f t="shared" si="144"/>
        <v>2017</v>
      </c>
      <c r="F1597" s="89">
        <v>2514595000</v>
      </c>
      <c r="G1597" s="89">
        <v>1118240000</v>
      </c>
      <c r="H1597" s="89">
        <v>132447000</v>
      </c>
      <c r="I1597" s="89">
        <v>0</v>
      </c>
      <c r="J1597" s="89">
        <v>629908000</v>
      </c>
      <c r="K1597" s="87" t="s">
        <v>58</v>
      </c>
      <c r="L1597" s="87" t="s">
        <v>59</v>
      </c>
      <c r="M1597" s="90">
        <f t="shared" si="147"/>
        <v>1396355000</v>
      </c>
      <c r="N1597" s="89">
        <f t="shared" si="148"/>
        <v>762355000</v>
      </c>
      <c r="O1597" s="89">
        <f t="shared" si="149"/>
        <v>634000000</v>
      </c>
      <c r="P1597" s="87">
        <f t="shared" si="145"/>
        <v>0.2521280762906154</v>
      </c>
      <c r="Q1597" s="87">
        <f t="shared" si="146"/>
        <v>0.55530015767946728</v>
      </c>
    </row>
    <row r="1598" spans="1:17">
      <c r="A1598" s="83">
        <v>1663</v>
      </c>
      <c r="B1598" s="83" t="s">
        <v>551</v>
      </c>
      <c r="C1598" s="83" t="s">
        <v>21</v>
      </c>
      <c r="D1598" s="84">
        <v>42870</v>
      </c>
      <c r="E1598" s="85">
        <f t="shared" si="144"/>
        <v>2017</v>
      </c>
      <c r="F1598" s="86">
        <v>2772550000</v>
      </c>
      <c r="G1598" s="86">
        <v>1212480000</v>
      </c>
      <c r="H1598" s="86">
        <v>147481000</v>
      </c>
      <c r="I1598" s="86">
        <v>0</v>
      </c>
      <c r="J1598" s="86">
        <v>725216000</v>
      </c>
      <c r="K1598" s="83" t="s">
        <v>58</v>
      </c>
      <c r="L1598" s="83" t="s">
        <v>59</v>
      </c>
      <c r="M1598" s="91">
        <f t="shared" si="147"/>
        <v>1560070000</v>
      </c>
      <c r="N1598" s="86">
        <f t="shared" si="148"/>
        <v>872697000</v>
      </c>
      <c r="O1598" s="86">
        <f t="shared" si="149"/>
        <v>687373000</v>
      </c>
      <c r="P1598" s="83">
        <f t="shared" si="145"/>
        <v>0.24792086707182917</v>
      </c>
      <c r="Q1598" s="83">
        <f t="shared" si="146"/>
        <v>0.56268417161097184</v>
      </c>
    </row>
    <row r="1599" spans="1:17">
      <c r="A1599" s="87">
        <v>1664</v>
      </c>
      <c r="B1599" s="87" t="s">
        <v>551</v>
      </c>
      <c r="C1599" s="87" t="s">
        <v>22</v>
      </c>
      <c r="D1599" s="84">
        <v>42871</v>
      </c>
      <c r="E1599" s="88">
        <f t="shared" ref="E1599:E1662" si="150">YEAR(D1599)</f>
        <v>2017</v>
      </c>
      <c r="F1599" s="89">
        <v>3285346000</v>
      </c>
      <c r="G1599" s="89">
        <v>1410205000</v>
      </c>
      <c r="H1599" s="89">
        <v>145992000</v>
      </c>
      <c r="I1599" s="89">
        <v>0</v>
      </c>
      <c r="J1599" s="89">
        <v>894057000</v>
      </c>
      <c r="K1599" s="87" t="s">
        <v>58</v>
      </c>
      <c r="L1599" s="87" t="s">
        <v>59</v>
      </c>
      <c r="M1599" s="90">
        <f t="shared" si="147"/>
        <v>1875141000</v>
      </c>
      <c r="N1599" s="89">
        <f t="shared" si="148"/>
        <v>1040049000</v>
      </c>
      <c r="O1599" s="89">
        <f t="shared" si="149"/>
        <v>835092000</v>
      </c>
      <c r="P1599" s="87">
        <f t="shared" si="145"/>
        <v>0.25418692582151164</v>
      </c>
      <c r="Q1599" s="87">
        <f t="shared" si="146"/>
        <v>0.570759061602644</v>
      </c>
    </row>
    <row r="1600" spans="1:17">
      <c r="A1600" s="83">
        <v>1665</v>
      </c>
      <c r="B1600" s="83" t="s">
        <v>551</v>
      </c>
      <c r="C1600" s="83" t="s">
        <v>23</v>
      </c>
      <c r="D1600" s="84">
        <v>42872</v>
      </c>
      <c r="E1600" s="85">
        <f t="shared" si="150"/>
        <v>2017</v>
      </c>
      <c r="F1600" s="86">
        <v>3442646000</v>
      </c>
      <c r="G1600" s="86">
        <v>1442073000</v>
      </c>
      <c r="H1600" s="86">
        <v>136863000</v>
      </c>
      <c r="I1600" s="86">
        <v>0</v>
      </c>
      <c r="J1600" s="86">
        <v>898924000</v>
      </c>
      <c r="K1600" s="83" t="s">
        <v>58</v>
      </c>
      <c r="L1600" s="83" t="s">
        <v>59</v>
      </c>
      <c r="M1600" s="91">
        <f t="shared" si="147"/>
        <v>2000573000</v>
      </c>
      <c r="N1600" s="86">
        <f t="shared" si="148"/>
        <v>1035787000</v>
      </c>
      <c r="O1600" s="86">
        <f t="shared" si="149"/>
        <v>964786000</v>
      </c>
      <c r="P1600" s="83">
        <f t="shared" si="145"/>
        <v>0.28024548559451073</v>
      </c>
      <c r="Q1600" s="83">
        <f t="shared" si="146"/>
        <v>0.58111493310668594</v>
      </c>
    </row>
    <row r="1601" spans="1:17">
      <c r="A1601" s="87">
        <v>1666</v>
      </c>
      <c r="B1601" s="87" t="s">
        <v>552</v>
      </c>
      <c r="C1601" s="87" t="s">
        <v>18</v>
      </c>
      <c r="D1601" s="84">
        <v>42873</v>
      </c>
      <c r="E1601" s="88">
        <f t="shared" si="150"/>
        <v>2017</v>
      </c>
      <c r="F1601" s="89">
        <v>115846000000</v>
      </c>
      <c r="G1601" s="89">
        <v>46275000000</v>
      </c>
      <c r="H1601" s="89">
        <v>39951000000</v>
      </c>
      <c r="I1601" s="89">
        <v>0</v>
      </c>
      <c r="J1601" s="89">
        <v>16460000000</v>
      </c>
      <c r="K1601" s="87" t="s">
        <v>188</v>
      </c>
      <c r="L1601" s="87" t="s">
        <v>189</v>
      </c>
      <c r="M1601" s="90">
        <f t="shared" si="147"/>
        <v>69571000000</v>
      </c>
      <c r="N1601" s="89">
        <f t="shared" si="148"/>
        <v>56411000000</v>
      </c>
      <c r="O1601" s="89">
        <f t="shared" si="149"/>
        <v>13160000000</v>
      </c>
      <c r="P1601" s="87">
        <f t="shared" si="145"/>
        <v>0.11359908844500458</v>
      </c>
      <c r="Q1601" s="87">
        <f t="shared" si="146"/>
        <v>0.60054727828323817</v>
      </c>
    </row>
    <row r="1602" spans="1:17">
      <c r="A1602" s="83">
        <v>1667</v>
      </c>
      <c r="B1602" s="83" t="s">
        <v>552</v>
      </c>
      <c r="C1602" s="83" t="s">
        <v>21</v>
      </c>
      <c r="D1602" s="84">
        <v>42874</v>
      </c>
      <c r="E1602" s="85">
        <f t="shared" si="150"/>
        <v>2017</v>
      </c>
      <c r="F1602" s="86">
        <v>120550000000</v>
      </c>
      <c r="G1602" s="86">
        <v>44887000000</v>
      </c>
      <c r="H1602" s="86">
        <v>27089000000</v>
      </c>
      <c r="I1602" s="86">
        <v>0</v>
      </c>
      <c r="J1602" s="86">
        <v>16606000000</v>
      </c>
      <c r="K1602" s="83" t="s">
        <v>188</v>
      </c>
      <c r="L1602" s="83" t="s">
        <v>189</v>
      </c>
      <c r="M1602" s="91">
        <f t="shared" si="147"/>
        <v>75663000000</v>
      </c>
      <c r="N1602" s="86">
        <f t="shared" si="148"/>
        <v>43695000000</v>
      </c>
      <c r="O1602" s="86">
        <f t="shared" si="149"/>
        <v>31968000000</v>
      </c>
      <c r="P1602" s="83">
        <f t="shared" ref="P1602:P1665" si="151">O1602/F1602</f>
        <v>0.26518457071754459</v>
      </c>
      <c r="Q1602" s="83">
        <f t="shared" ref="Q1602:Q1665" si="152">1-G1602/F1602</f>
        <v>0.62764827872252171</v>
      </c>
    </row>
    <row r="1603" spans="1:17">
      <c r="A1603" s="87">
        <v>1668</v>
      </c>
      <c r="B1603" s="87" t="s">
        <v>552</v>
      </c>
      <c r="C1603" s="87" t="s">
        <v>22</v>
      </c>
      <c r="D1603" s="84">
        <v>42875</v>
      </c>
      <c r="E1603" s="88">
        <f t="shared" si="150"/>
        <v>2017</v>
      </c>
      <c r="F1603" s="89">
        <v>127079000000</v>
      </c>
      <c r="G1603" s="89">
        <v>49931000000</v>
      </c>
      <c r="H1603" s="89">
        <v>41016000000</v>
      </c>
      <c r="I1603" s="89">
        <v>0</v>
      </c>
      <c r="J1603" s="89">
        <v>16533000000</v>
      </c>
      <c r="K1603" s="87" t="s">
        <v>188</v>
      </c>
      <c r="L1603" s="87" t="s">
        <v>189</v>
      </c>
      <c r="M1603" s="90">
        <f t="shared" ref="M1603:M1666" si="153">F1603-G1603</f>
        <v>77148000000</v>
      </c>
      <c r="N1603" s="89">
        <f t="shared" ref="N1603:N1666" si="154">H1603+I1603+J1603</f>
        <v>57549000000</v>
      </c>
      <c r="O1603" s="89">
        <f t="shared" ref="O1603:O1666" si="155">M1603-N1603</f>
        <v>19599000000</v>
      </c>
      <c r="P1603" s="87">
        <f t="shared" si="151"/>
        <v>0.15422689822866092</v>
      </c>
      <c r="Q1603" s="87">
        <f t="shared" si="152"/>
        <v>0.60708693017729132</v>
      </c>
    </row>
    <row r="1604" spans="1:17">
      <c r="A1604" s="83">
        <v>1669</v>
      </c>
      <c r="B1604" s="83" t="s">
        <v>552</v>
      </c>
      <c r="C1604" s="83" t="s">
        <v>23</v>
      </c>
      <c r="D1604" s="84">
        <v>42876</v>
      </c>
      <c r="E1604" s="85">
        <f t="shared" si="150"/>
        <v>2017</v>
      </c>
      <c r="F1604" s="86">
        <v>131620000000</v>
      </c>
      <c r="G1604" s="86">
        <v>52557000000</v>
      </c>
      <c r="H1604" s="86">
        <v>29986000000</v>
      </c>
      <c r="I1604" s="86">
        <v>0</v>
      </c>
      <c r="J1604" s="86">
        <v>16017000000</v>
      </c>
      <c r="K1604" s="83" t="s">
        <v>188</v>
      </c>
      <c r="L1604" s="83" t="s">
        <v>189</v>
      </c>
      <c r="M1604" s="91">
        <f t="shared" si="153"/>
        <v>79063000000</v>
      </c>
      <c r="N1604" s="86">
        <f t="shared" si="154"/>
        <v>46003000000</v>
      </c>
      <c r="O1604" s="86">
        <f t="shared" si="155"/>
        <v>33060000000</v>
      </c>
      <c r="P1604" s="83">
        <f t="shared" si="151"/>
        <v>0.25117763257863546</v>
      </c>
      <c r="Q1604" s="83">
        <f t="shared" si="152"/>
        <v>0.60069138428810209</v>
      </c>
    </row>
    <row r="1605" spans="1:17">
      <c r="A1605" s="87">
        <v>1670</v>
      </c>
      <c r="B1605" s="87" t="s">
        <v>553</v>
      </c>
      <c r="C1605" s="87" t="s">
        <v>18</v>
      </c>
      <c r="D1605" s="84">
        <v>42877</v>
      </c>
      <c r="E1605" s="88">
        <f t="shared" si="150"/>
        <v>2017</v>
      </c>
      <c r="F1605" s="89">
        <v>1843641000</v>
      </c>
      <c r="G1605" s="89">
        <v>737614000</v>
      </c>
      <c r="H1605" s="89">
        <v>477270000</v>
      </c>
      <c r="I1605" s="89">
        <v>96004000</v>
      </c>
      <c r="J1605" s="89">
        <v>13829000</v>
      </c>
      <c r="K1605" s="87" t="s">
        <v>31</v>
      </c>
      <c r="L1605" s="87" t="s">
        <v>34</v>
      </c>
      <c r="M1605" s="90">
        <f t="shared" si="153"/>
        <v>1106027000</v>
      </c>
      <c r="N1605" s="89">
        <f t="shared" si="154"/>
        <v>587103000</v>
      </c>
      <c r="O1605" s="89">
        <f t="shared" si="155"/>
        <v>518924000</v>
      </c>
      <c r="P1605" s="87">
        <f t="shared" si="151"/>
        <v>0.28146694502888575</v>
      </c>
      <c r="Q1605" s="87">
        <f t="shared" si="152"/>
        <v>0.59991451698025811</v>
      </c>
    </row>
    <row r="1606" spans="1:17">
      <c r="A1606" s="83">
        <v>1671</v>
      </c>
      <c r="B1606" s="83" t="s">
        <v>553</v>
      </c>
      <c r="C1606" s="83" t="s">
        <v>21</v>
      </c>
      <c r="D1606" s="84">
        <v>42878</v>
      </c>
      <c r="E1606" s="85">
        <f t="shared" si="150"/>
        <v>2017</v>
      </c>
      <c r="F1606" s="86">
        <v>1904218000</v>
      </c>
      <c r="G1606" s="86">
        <v>783456000</v>
      </c>
      <c r="H1606" s="86">
        <v>492965000</v>
      </c>
      <c r="I1606" s="86">
        <v>100536000</v>
      </c>
      <c r="J1606" s="86">
        <v>9918000</v>
      </c>
      <c r="K1606" s="83" t="s">
        <v>31</v>
      </c>
      <c r="L1606" s="83" t="s">
        <v>34</v>
      </c>
      <c r="M1606" s="91">
        <f t="shared" si="153"/>
        <v>1120762000</v>
      </c>
      <c r="N1606" s="86">
        <f t="shared" si="154"/>
        <v>603419000</v>
      </c>
      <c r="O1606" s="86">
        <f t="shared" si="155"/>
        <v>517343000</v>
      </c>
      <c r="P1606" s="83">
        <f t="shared" si="151"/>
        <v>0.27168265398184449</v>
      </c>
      <c r="Q1606" s="83">
        <f t="shared" si="152"/>
        <v>0.58856811562541678</v>
      </c>
    </row>
    <row r="1607" spans="1:17">
      <c r="A1607" s="87">
        <v>1672</v>
      </c>
      <c r="B1607" s="87" t="s">
        <v>553</v>
      </c>
      <c r="C1607" s="87" t="s">
        <v>22</v>
      </c>
      <c r="D1607" s="84">
        <v>42879</v>
      </c>
      <c r="E1607" s="88">
        <f t="shared" si="150"/>
        <v>2017</v>
      </c>
      <c r="F1607" s="89">
        <v>1989344000</v>
      </c>
      <c r="G1607" s="89">
        <v>824913000</v>
      </c>
      <c r="H1607" s="89">
        <v>512707000</v>
      </c>
      <c r="I1607" s="89">
        <v>107726000</v>
      </c>
      <c r="J1607" s="89">
        <v>10634000</v>
      </c>
      <c r="K1607" s="87" t="s">
        <v>31</v>
      </c>
      <c r="L1607" s="87" t="s">
        <v>34</v>
      </c>
      <c r="M1607" s="90">
        <f t="shared" si="153"/>
        <v>1164431000</v>
      </c>
      <c r="N1607" s="89">
        <f t="shared" si="154"/>
        <v>631067000</v>
      </c>
      <c r="O1607" s="89">
        <f t="shared" si="155"/>
        <v>533364000</v>
      </c>
      <c r="P1607" s="87">
        <f t="shared" si="151"/>
        <v>0.26811049270513293</v>
      </c>
      <c r="Q1607" s="87">
        <f t="shared" si="152"/>
        <v>0.58533416040664665</v>
      </c>
    </row>
    <row r="1608" spans="1:17">
      <c r="A1608" s="83">
        <v>1673</v>
      </c>
      <c r="B1608" s="83" t="s">
        <v>553</v>
      </c>
      <c r="C1608" s="83" t="s">
        <v>23</v>
      </c>
      <c r="D1608" s="84">
        <v>42880</v>
      </c>
      <c r="E1608" s="85">
        <f t="shared" si="150"/>
        <v>2017</v>
      </c>
      <c r="F1608" s="86">
        <v>2042332000</v>
      </c>
      <c r="G1608" s="86">
        <v>842672000</v>
      </c>
      <c r="H1608" s="86">
        <v>495747000</v>
      </c>
      <c r="I1608" s="86">
        <v>118545000</v>
      </c>
      <c r="J1608" s="86">
        <v>10123000</v>
      </c>
      <c r="K1608" s="83" t="s">
        <v>31</v>
      </c>
      <c r="L1608" s="83" t="s">
        <v>34</v>
      </c>
      <c r="M1608" s="91">
        <f t="shared" si="153"/>
        <v>1199660000</v>
      </c>
      <c r="N1608" s="86">
        <f t="shared" si="154"/>
        <v>624415000</v>
      </c>
      <c r="O1608" s="86">
        <f t="shared" si="155"/>
        <v>575245000</v>
      </c>
      <c r="P1608" s="83">
        <f t="shared" si="151"/>
        <v>0.28166086610795893</v>
      </c>
      <c r="Q1608" s="83">
        <f t="shared" si="152"/>
        <v>0.58739715188323938</v>
      </c>
    </row>
    <row r="1609" spans="1:17">
      <c r="A1609" s="87">
        <v>1674</v>
      </c>
      <c r="B1609" s="87" t="s">
        <v>554</v>
      </c>
      <c r="C1609" s="87" t="s">
        <v>18</v>
      </c>
      <c r="D1609" s="84">
        <v>42881</v>
      </c>
      <c r="E1609" s="88">
        <f t="shared" si="150"/>
        <v>2017</v>
      </c>
      <c r="F1609" s="89">
        <v>15351000000</v>
      </c>
      <c r="G1609" s="89">
        <v>10988000000</v>
      </c>
      <c r="H1609" s="89">
        <v>1525000000</v>
      </c>
      <c r="I1609" s="89">
        <v>1572000000</v>
      </c>
      <c r="J1609" s="89">
        <v>0</v>
      </c>
      <c r="K1609" s="87" t="s">
        <v>28</v>
      </c>
      <c r="L1609" s="87" t="s">
        <v>495</v>
      </c>
      <c r="M1609" s="90">
        <f t="shared" si="153"/>
        <v>4363000000</v>
      </c>
      <c r="N1609" s="89">
        <f t="shared" si="154"/>
        <v>3097000000</v>
      </c>
      <c r="O1609" s="89">
        <f t="shared" si="155"/>
        <v>1266000000</v>
      </c>
      <c r="P1609" s="87">
        <f t="shared" si="151"/>
        <v>8.2470197381278088E-2</v>
      </c>
      <c r="Q1609" s="87">
        <f t="shared" si="152"/>
        <v>0.28421601198618984</v>
      </c>
    </row>
    <row r="1610" spans="1:17">
      <c r="A1610" s="83">
        <v>1675</v>
      </c>
      <c r="B1610" s="83" t="s">
        <v>554</v>
      </c>
      <c r="C1610" s="83" t="s">
        <v>21</v>
      </c>
      <c r="D1610" s="84">
        <v>42882</v>
      </c>
      <c r="E1610" s="85">
        <f t="shared" si="150"/>
        <v>2017</v>
      </c>
      <c r="F1610" s="86">
        <v>15130000000</v>
      </c>
      <c r="G1610" s="86">
        <v>10770000000</v>
      </c>
      <c r="H1610" s="86">
        <v>908000000</v>
      </c>
      <c r="I1610" s="86">
        <v>1661000000</v>
      </c>
      <c r="J1610" s="86">
        <v>0</v>
      </c>
      <c r="K1610" s="83" t="s">
        <v>28</v>
      </c>
      <c r="L1610" s="83" t="s">
        <v>495</v>
      </c>
      <c r="M1610" s="91">
        <f t="shared" si="153"/>
        <v>4360000000</v>
      </c>
      <c r="N1610" s="86">
        <f t="shared" si="154"/>
        <v>2569000000</v>
      </c>
      <c r="O1610" s="86">
        <f t="shared" si="155"/>
        <v>1791000000</v>
      </c>
      <c r="P1610" s="83">
        <f t="shared" si="151"/>
        <v>0.11837409120951752</v>
      </c>
      <c r="Q1610" s="83">
        <f t="shared" si="152"/>
        <v>0.28816920026437542</v>
      </c>
    </row>
    <row r="1611" spans="1:17">
      <c r="A1611" s="87">
        <v>1676</v>
      </c>
      <c r="B1611" s="87" t="s">
        <v>554</v>
      </c>
      <c r="C1611" s="87" t="s">
        <v>22</v>
      </c>
      <c r="D1611" s="84">
        <v>42883</v>
      </c>
      <c r="E1611" s="88">
        <f t="shared" si="150"/>
        <v>2017</v>
      </c>
      <c r="F1611" s="89">
        <v>14572000000</v>
      </c>
      <c r="G1611" s="89">
        <v>10351000000</v>
      </c>
      <c r="H1611" s="89">
        <v>964000000</v>
      </c>
      <c r="I1611" s="89">
        <v>1646000000</v>
      </c>
      <c r="J1611" s="89">
        <v>0</v>
      </c>
      <c r="K1611" s="87" t="s">
        <v>28</v>
      </c>
      <c r="L1611" s="87" t="s">
        <v>495</v>
      </c>
      <c r="M1611" s="90">
        <f t="shared" si="153"/>
        <v>4221000000</v>
      </c>
      <c r="N1611" s="89">
        <f t="shared" si="154"/>
        <v>2610000000</v>
      </c>
      <c r="O1611" s="89">
        <f t="shared" si="155"/>
        <v>1611000000</v>
      </c>
      <c r="P1611" s="87">
        <f t="shared" si="151"/>
        <v>0.11055448805929179</v>
      </c>
      <c r="Q1611" s="87">
        <f t="shared" si="152"/>
        <v>0.28966511117211091</v>
      </c>
    </row>
    <row r="1612" spans="1:17">
      <c r="A1612" s="83">
        <v>1677</v>
      </c>
      <c r="B1612" s="83" t="s">
        <v>554</v>
      </c>
      <c r="C1612" s="83" t="s">
        <v>23</v>
      </c>
      <c r="D1612" s="84">
        <v>42884</v>
      </c>
      <c r="E1612" s="85">
        <f t="shared" si="150"/>
        <v>2017</v>
      </c>
      <c r="F1612" s="86">
        <v>12994000000</v>
      </c>
      <c r="G1612" s="86">
        <v>9559000000</v>
      </c>
      <c r="H1612" s="86">
        <v>1342000000</v>
      </c>
      <c r="I1612" s="86">
        <v>1627000000</v>
      </c>
      <c r="J1612" s="86">
        <v>0</v>
      </c>
      <c r="K1612" s="83" t="s">
        <v>28</v>
      </c>
      <c r="L1612" s="83" t="s">
        <v>495</v>
      </c>
      <c r="M1612" s="91">
        <f t="shared" si="153"/>
        <v>3435000000</v>
      </c>
      <c r="N1612" s="86">
        <f t="shared" si="154"/>
        <v>2969000000</v>
      </c>
      <c r="O1612" s="86">
        <f t="shared" si="155"/>
        <v>466000000</v>
      </c>
      <c r="P1612" s="83">
        <f t="shared" si="151"/>
        <v>3.5862705864245038E-2</v>
      </c>
      <c r="Q1612" s="83">
        <f t="shared" si="152"/>
        <v>0.26435277820532554</v>
      </c>
    </row>
    <row r="1613" spans="1:17">
      <c r="A1613" s="87">
        <v>1678</v>
      </c>
      <c r="B1613" s="87" t="s">
        <v>555</v>
      </c>
      <c r="C1613" s="87" t="s">
        <v>18</v>
      </c>
      <c r="D1613" s="84">
        <v>42885</v>
      </c>
      <c r="E1613" s="88">
        <f t="shared" si="150"/>
        <v>2017</v>
      </c>
      <c r="F1613" s="89">
        <v>4246400000</v>
      </c>
      <c r="G1613" s="89">
        <v>2760500000</v>
      </c>
      <c r="H1613" s="89">
        <v>121400000</v>
      </c>
      <c r="I1613" s="89">
        <v>0</v>
      </c>
      <c r="J1613" s="89">
        <v>364200000</v>
      </c>
      <c r="K1613" s="87" t="s">
        <v>48</v>
      </c>
      <c r="L1613" s="87" t="s">
        <v>51</v>
      </c>
      <c r="M1613" s="90">
        <f t="shared" si="153"/>
        <v>1485900000</v>
      </c>
      <c r="N1613" s="89">
        <f t="shared" si="154"/>
        <v>485600000</v>
      </c>
      <c r="O1613" s="89">
        <f t="shared" si="155"/>
        <v>1000300000</v>
      </c>
      <c r="P1613" s="87">
        <f t="shared" si="151"/>
        <v>0.23556424265259984</v>
      </c>
      <c r="Q1613" s="87">
        <f t="shared" si="152"/>
        <v>0.34991993217784478</v>
      </c>
    </row>
    <row r="1614" spans="1:17">
      <c r="A1614" s="83">
        <v>1679</v>
      </c>
      <c r="B1614" s="83" t="s">
        <v>555</v>
      </c>
      <c r="C1614" s="83" t="s">
        <v>21</v>
      </c>
      <c r="D1614" s="84">
        <v>42886</v>
      </c>
      <c r="E1614" s="85">
        <f t="shared" si="150"/>
        <v>2017</v>
      </c>
      <c r="F1614" s="86">
        <v>4519000000</v>
      </c>
      <c r="G1614" s="86">
        <v>2982100000</v>
      </c>
      <c r="H1614" s="86">
        <v>116700000</v>
      </c>
      <c r="I1614" s="86">
        <v>0</v>
      </c>
      <c r="J1614" s="86">
        <v>340100000</v>
      </c>
      <c r="K1614" s="83" t="s">
        <v>48</v>
      </c>
      <c r="L1614" s="83" t="s">
        <v>51</v>
      </c>
      <c r="M1614" s="91">
        <f t="shared" si="153"/>
        <v>1536900000</v>
      </c>
      <c r="N1614" s="86">
        <f t="shared" si="154"/>
        <v>456800000</v>
      </c>
      <c r="O1614" s="86">
        <f t="shared" si="155"/>
        <v>1080100000</v>
      </c>
      <c r="P1614" s="83">
        <f t="shared" si="151"/>
        <v>0.23901305598583758</v>
      </c>
      <c r="Q1614" s="83">
        <f t="shared" si="152"/>
        <v>0.34009736667404289</v>
      </c>
    </row>
    <row r="1615" spans="1:17">
      <c r="A1615" s="87">
        <v>1680</v>
      </c>
      <c r="B1615" s="87" t="s">
        <v>555</v>
      </c>
      <c r="C1615" s="87" t="s">
        <v>22</v>
      </c>
      <c r="D1615" s="84">
        <v>42887</v>
      </c>
      <c r="E1615" s="88">
        <f t="shared" si="150"/>
        <v>2017</v>
      </c>
      <c r="F1615" s="89">
        <v>4997100000</v>
      </c>
      <c r="G1615" s="89">
        <v>3371800000</v>
      </c>
      <c r="H1615" s="89">
        <v>121800000</v>
      </c>
      <c r="I1615" s="89">
        <v>0</v>
      </c>
      <c r="J1615" s="89">
        <v>391400000</v>
      </c>
      <c r="K1615" s="87" t="s">
        <v>48</v>
      </c>
      <c r="L1615" s="87" t="s">
        <v>51</v>
      </c>
      <c r="M1615" s="90">
        <f t="shared" si="153"/>
        <v>1625300000</v>
      </c>
      <c r="N1615" s="89">
        <f t="shared" si="154"/>
        <v>513200000</v>
      </c>
      <c r="O1615" s="89">
        <f t="shared" si="155"/>
        <v>1112100000</v>
      </c>
      <c r="P1615" s="87">
        <f t="shared" si="151"/>
        <v>0.22254907846551</v>
      </c>
      <c r="Q1615" s="87">
        <f t="shared" si="152"/>
        <v>0.32524864421364397</v>
      </c>
    </row>
    <row r="1616" spans="1:17">
      <c r="A1616" s="83">
        <v>1681</v>
      </c>
      <c r="B1616" s="83" t="s">
        <v>555</v>
      </c>
      <c r="C1616" s="83" t="s">
        <v>23</v>
      </c>
      <c r="D1616" s="84">
        <v>42888</v>
      </c>
      <c r="E1616" s="85">
        <f t="shared" si="150"/>
        <v>2017</v>
      </c>
      <c r="F1616" s="86">
        <v>5926100000</v>
      </c>
      <c r="G1616" s="86">
        <v>3949400000</v>
      </c>
      <c r="H1616" s="86">
        <v>164400000</v>
      </c>
      <c r="I1616" s="86">
        <v>0</v>
      </c>
      <c r="J1616" s="86">
        <v>561800000</v>
      </c>
      <c r="K1616" s="83" t="s">
        <v>48</v>
      </c>
      <c r="L1616" s="83" t="s">
        <v>51</v>
      </c>
      <c r="M1616" s="91">
        <f t="shared" si="153"/>
        <v>1976700000</v>
      </c>
      <c r="N1616" s="86">
        <f t="shared" si="154"/>
        <v>726200000</v>
      </c>
      <c r="O1616" s="86">
        <f t="shared" si="155"/>
        <v>1250500000</v>
      </c>
      <c r="P1616" s="83">
        <f t="shared" si="151"/>
        <v>0.21101567641450533</v>
      </c>
      <c r="Q1616" s="83">
        <f t="shared" si="152"/>
        <v>0.33355832672415253</v>
      </c>
    </row>
    <row r="1617" spans="1:17">
      <c r="A1617" s="87">
        <v>1682</v>
      </c>
      <c r="B1617" s="87" t="s">
        <v>556</v>
      </c>
      <c r="C1617" s="87" t="s">
        <v>18</v>
      </c>
      <c r="D1617" s="84">
        <v>42889</v>
      </c>
      <c r="E1617" s="88">
        <f t="shared" si="150"/>
        <v>2017</v>
      </c>
      <c r="F1617" s="89">
        <v>91247000000</v>
      </c>
      <c r="G1617" s="89">
        <v>1727000000</v>
      </c>
      <c r="H1617" s="89">
        <v>48724000000</v>
      </c>
      <c r="I1617" s="89">
        <v>0</v>
      </c>
      <c r="J1617" s="89">
        <v>8891000000</v>
      </c>
      <c r="K1617" s="87" t="s">
        <v>53</v>
      </c>
      <c r="L1617" s="87" t="s">
        <v>111</v>
      </c>
      <c r="M1617" s="90">
        <f t="shared" si="153"/>
        <v>89520000000</v>
      </c>
      <c r="N1617" s="89">
        <f t="shared" si="154"/>
        <v>57615000000</v>
      </c>
      <c r="O1617" s="89">
        <f t="shared" si="155"/>
        <v>31905000000</v>
      </c>
      <c r="P1617" s="87">
        <f t="shared" si="151"/>
        <v>0.3496553311341743</v>
      </c>
      <c r="Q1617" s="87">
        <f t="shared" si="152"/>
        <v>0.98107335035672405</v>
      </c>
    </row>
    <row r="1618" spans="1:17">
      <c r="A1618" s="83">
        <v>1683</v>
      </c>
      <c r="B1618" s="83" t="s">
        <v>556</v>
      </c>
      <c r="C1618" s="83" t="s">
        <v>21</v>
      </c>
      <c r="D1618" s="84">
        <v>42890</v>
      </c>
      <c r="E1618" s="85">
        <f t="shared" si="150"/>
        <v>2017</v>
      </c>
      <c r="F1618" s="86">
        <v>88069000000</v>
      </c>
      <c r="G1618" s="86">
        <v>1337000000</v>
      </c>
      <c r="H1618" s="86">
        <v>47338000000</v>
      </c>
      <c r="I1618" s="86">
        <v>0</v>
      </c>
      <c r="J1618" s="86">
        <v>3813000000</v>
      </c>
      <c r="K1618" s="83" t="s">
        <v>53</v>
      </c>
      <c r="L1618" s="83" t="s">
        <v>111</v>
      </c>
      <c r="M1618" s="91">
        <f t="shared" si="153"/>
        <v>86732000000</v>
      </c>
      <c r="N1618" s="86">
        <f t="shared" si="154"/>
        <v>51151000000</v>
      </c>
      <c r="O1618" s="86">
        <f t="shared" si="155"/>
        <v>35581000000</v>
      </c>
      <c r="P1618" s="83">
        <f t="shared" si="151"/>
        <v>0.40401276272013992</v>
      </c>
      <c r="Q1618" s="83">
        <f t="shared" si="152"/>
        <v>0.98481872168413398</v>
      </c>
    </row>
    <row r="1619" spans="1:17">
      <c r="A1619" s="87">
        <v>1684</v>
      </c>
      <c r="B1619" s="87" t="s">
        <v>556</v>
      </c>
      <c r="C1619" s="87" t="s">
        <v>22</v>
      </c>
      <c r="D1619" s="84">
        <v>42891</v>
      </c>
      <c r="E1619" s="88">
        <f t="shared" si="150"/>
        <v>2017</v>
      </c>
      <c r="F1619" s="89">
        <v>88372000000</v>
      </c>
      <c r="G1619" s="89">
        <v>1096000000</v>
      </c>
      <c r="H1619" s="89">
        <v>47667000000</v>
      </c>
      <c r="I1619" s="89">
        <v>0</v>
      </c>
      <c r="J1619" s="89">
        <v>2765000000</v>
      </c>
      <c r="K1619" s="87" t="s">
        <v>53</v>
      </c>
      <c r="L1619" s="87" t="s">
        <v>111</v>
      </c>
      <c r="M1619" s="90">
        <f t="shared" si="153"/>
        <v>87276000000</v>
      </c>
      <c r="N1619" s="89">
        <f t="shared" si="154"/>
        <v>50432000000</v>
      </c>
      <c r="O1619" s="89">
        <f t="shared" si="155"/>
        <v>36844000000</v>
      </c>
      <c r="P1619" s="87">
        <f t="shared" si="151"/>
        <v>0.41691938623093289</v>
      </c>
      <c r="Q1619" s="87">
        <f t="shared" si="152"/>
        <v>0.9875978816819807</v>
      </c>
    </row>
    <row r="1620" spans="1:17">
      <c r="A1620" s="83">
        <v>1685</v>
      </c>
      <c r="B1620" s="83" t="s">
        <v>556</v>
      </c>
      <c r="C1620" s="83" t="s">
        <v>23</v>
      </c>
      <c r="D1620" s="84">
        <v>42892</v>
      </c>
      <c r="E1620" s="85">
        <f t="shared" si="150"/>
        <v>2017</v>
      </c>
      <c r="F1620" s="86">
        <v>90033000000</v>
      </c>
      <c r="G1620" s="86">
        <v>963000000</v>
      </c>
      <c r="H1620" s="86">
        <v>48728000000</v>
      </c>
      <c r="I1620" s="86">
        <v>0</v>
      </c>
      <c r="J1620" s="86">
        <v>3688000000</v>
      </c>
      <c r="K1620" s="83" t="s">
        <v>53</v>
      </c>
      <c r="L1620" s="83" t="s">
        <v>111</v>
      </c>
      <c r="M1620" s="91">
        <f t="shared" si="153"/>
        <v>89070000000</v>
      </c>
      <c r="N1620" s="86">
        <f t="shared" si="154"/>
        <v>52416000000</v>
      </c>
      <c r="O1620" s="86">
        <f t="shared" si="155"/>
        <v>36654000000</v>
      </c>
      <c r="P1620" s="83">
        <f t="shared" si="151"/>
        <v>0.40711739029022692</v>
      </c>
      <c r="Q1620" s="83">
        <f t="shared" si="152"/>
        <v>0.98930392189530503</v>
      </c>
    </row>
    <row r="1621" spans="1:17">
      <c r="A1621" s="87">
        <v>1686</v>
      </c>
      <c r="B1621" s="87" t="s">
        <v>557</v>
      </c>
      <c r="C1621" s="87" t="s">
        <v>18</v>
      </c>
      <c r="D1621" s="84">
        <v>42893</v>
      </c>
      <c r="E1621" s="88">
        <f t="shared" si="150"/>
        <v>2017</v>
      </c>
      <c r="F1621" s="89">
        <v>12917000000</v>
      </c>
      <c r="G1621" s="89">
        <v>8288000000</v>
      </c>
      <c r="H1621" s="89">
        <v>3682000000</v>
      </c>
      <c r="I1621" s="89">
        <v>0</v>
      </c>
      <c r="J1621" s="89">
        <v>0</v>
      </c>
      <c r="K1621" s="87" t="s">
        <v>42</v>
      </c>
      <c r="L1621" s="87" t="s">
        <v>352</v>
      </c>
      <c r="M1621" s="90">
        <f t="shared" si="153"/>
        <v>4629000000</v>
      </c>
      <c r="N1621" s="89">
        <f t="shared" si="154"/>
        <v>3682000000</v>
      </c>
      <c r="O1621" s="89">
        <f t="shared" si="155"/>
        <v>947000000</v>
      </c>
      <c r="P1621" s="87">
        <f t="shared" si="151"/>
        <v>7.3314237051947048E-2</v>
      </c>
      <c r="Q1621" s="87">
        <f t="shared" si="152"/>
        <v>0.35836494542076336</v>
      </c>
    </row>
    <row r="1622" spans="1:17">
      <c r="A1622" s="83">
        <v>1687</v>
      </c>
      <c r="B1622" s="83" t="s">
        <v>557</v>
      </c>
      <c r="C1622" s="83" t="s">
        <v>21</v>
      </c>
      <c r="D1622" s="84">
        <v>42894</v>
      </c>
      <c r="E1622" s="85">
        <f t="shared" si="150"/>
        <v>2017</v>
      </c>
      <c r="F1622" s="86">
        <v>14194000000</v>
      </c>
      <c r="G1622" s="86">
        <v>9150000000</v>
      </c>
      <c r="H1622" s="86">
        <v>4032000000</v>
      </c>
      <c r="I1622" s="86">
        <v>0</v>
      </c>
      <c r="J1622" s="86">
        <v>0</v>
      </c>
      <c r="K1622" s="83" t="s">
        <v>42</v>
      </c>
      <c r="L1622" s="83" t="s">
        <v>352</v>
      </c>
      <c r="M1622" s="91">
        <f t="shared" si="153"/>
        <v>5044000000</v>
      </c>
      <c r="N1622" s="86">
        <f t="shared" si="154"/>
        <v>4032000000</v>
      </c>
      <c r="O1622" s="86">
        <f t="shared" si="155"/>
        <v>1012000000</v>
      </c>
      <c r="P1622" s="83">
        <f t="shared" si="151"/>
        <v>7.1297731435817954E-2</v>
      </c>
      <c r="Q1622" s="83">
        <f t="shared" si="152"/>
        <v>0.35536142031844442</v>
      </c>
    </row>
    <row r="1623" spans="1:17">
      <c r="A1623" s="87">
        <v>1688</v>
      </c>
      <c r="B1623" s="87" t="s">
        <v>557</v>
      </c>
      <c r="C1623" s="87" t="s">
        <v>22</v>
      </c>
      <c r="D1623" s="84">
        <v>42895</v>
      </c>
      <c r="E1623" s="88">
        <f t="shared" si="150"/>
        <v>2017</v>
      </c>
      <c r="F1623" s="89">
        <v>15389000000</v>
      </c>
      <c r="G1623" s="89">
        <v>9973000000</v>
      </c>
      <c r="H1623" s="89">
        <v>4472000000</v>
      </c>
      <c r="I1623" s="89">
        <v>0</v>
      </c>
      <c r="J1623" s="89">
        <v>0</v>
      </c>
      <c r="K1623" s="87" t="s">
        <v>42</v>
      </c>
      <c r="L1623" s="87" t="s">
        <v>352</v>
      </c>
      <c r="M1623" s="90">
        <f t="shared" si="153"/>
        <v>5416000000</v>
      </c>
      <c r="N1623" s="89">
        <f t="shared" si="154"/>
        <v>4472000000</v>
      </c>
      <c r="O1623" s="89">
        <f t="shared" si="155"/>
        <v>944000000</v>
      </c>
      <c r="P1623" s="87">
        <f t="shared" si="151"/>
        <v>6.1342517382545973E-2</v>
      </c>
      <c r="Q1623" s="87">
        <f t="shared" si="152"/>
        <v>0.35193969718630191</v>
      </c>
    </row>
    <row r="1624" spans="1:17">
      <c r="A1624" s="83">
        <v>1689</v>
      </c>
      <c r="B1624" s="83" t="s">
        <v>557</v>
      </c>
      <c r="C1624" s="83" t="s">
        <v>23</v>
      </c>
      <c r="D1624" s="84">
        <v>42896</v>
      </c>
      <c r="E1624" s="85">
        <f t="shared" si="150"/>
        <v>2017</v>
      </c>
      <c r="F1624" s="86">
        <v>15724000000</v>
      </c>
      <c r="G1624" s="86">
        <v>10313000000</v>
      </c>
      <c r="H1624" s="86">
        <v>4477000000</v>
      </c>
      <c r="I1624" s="86">
        <v>0</v>
      </c>
      <c r="J1624" s="86">
        <v>0</v>
      </c>
      <c r="K1624" s="83" t="s">
        <v>42</v>
      </c>
      <c r="L1624" s="83" t="s">
        <v>352</v>
      </c>
      <c r="M1624" s="91">
        <f t="shared" si="153"/>
        <v>5411000000</v>
      </c>
      <c r="N1624" s="86">
        <f t="shared" si="154"/>
        <v>4477000000</v>
      </c>
      <c r="O1624" s="86">
        <f t="shared" si="155"/>
        <v>934000000</v>
      </c>
      <c r="P1624" s="83">
        <f t="shared" si="151"/>
        <v>5.9399643856525054E-2</v>
      </c>
      <c r="Q1624" s="83">
        <f t="shared" si="152"/>
        <v>0.34412363266344437</v>
      </c>
    </row>
    <row r="1625" spans="1:17">
      <c r="A1625" s="87">
        <v>1690</v>
      </c>
      <c r="B1625" s="87" t="s">
        <v>558</v>
      </c>
      <c r="C1625" s="87" t="s">
        <v>18</v>
      </c>
      <c r="D1625" s="84">
        <v>42897</v>
      </c>
      <c r="E1625" s="88">
        <f t="shared" si="150"/>
        <v>2017</v>
      </c>
      <c r="F1625" s="89">
        <v>18769000000</v>
      </c>
      <c r="G1625" s="89">
        <v>15471000000</v>
      </c>
      <c r="H1625" s="89">
        <v>1828000000</v>
      </c>
      <c r="I1625" s="89">
        <v>0</v>
      </c>
      <c r="J1625" s="89">
        <v>25000000</v>
      </c>
      <c r="K1625" s="87" t="s">
        <v>25</v>
      </c>
      <c r="L1625" s="87" t="s">
        <v>486</v>
      </c>
      <c r="M1625" s="90">
        <f t="shared" si="153"/>
        <v>3298000000</v>
      </c>
      <c r="N1625" s="89">
        <f t="shared" si="154"/>
        <v>1853000000</v>
      </c>
      <c r="O1625" s="89">
        <f t="shared" si="155"/>
        <v>1445000000</v>
      </c>
      <c r="P1625" s="87">
        <f t="shared" si="151"/>
        <v>7.6988651499813529E-2</v>
      </c>
      <c r="Q1625" s="87">
        <f t="shared" si="152"/>
        <v>0.17571527518780972</v>
      </c>
    </row>
    <row r="1626" spans="1:17">
      <c r="A1626" s="83">
        <v>1691</v>
      </c>
      <c r="B1626" s="83" t="s">
        <v>558</v>
      </c>
      <c r="C1626" s="83" t="s">
        <v>21</v>
      </c>
      <c r="D1626" s="84">
        <v>42898</v>
      </c>
      <c r="E1626" s="85">
        <f t="shared" si="150"/>
        <v>2017</v>
      </c>
      <c r="F1626" s="86">
        <v>19872000000</v>
      </c>
      <c r="G1626" s="86">
        <v>16477000000</v>
      </c>
      <c r="H1626" s="86">
        <v>2038000000</v>
      </c>
      <c r="I1626" s="86">
        <v>0</v>
      </c>
      <c r="J1626" s="86">
        <v>33000000</v>
      </c>
      <c r="K1626" s="83" t="s">
        <v>25</v>
      </c>
      <c r="L1626" s="83" t="s">
        <v>486</v>
      </c>
      <c r="M1626" s="91">
        <f t="shared" si="153"/>
        <v>3395000000</v>
      </c>
      <c r="N1626" s="86">
        <f t="shared" si="154"/>
        <v>2071000000</v>
      </c>
      <c r="O1626" s="86">
        <f t="shared" si="155"/>
        <v>1324000000</v>
      </c>
      <c r="P1626" s="83">
        <f t="shared" si="151"/>
        <v>6.662640901771337E-2</v>
      </c>
      <c r="Q1626" s="83">
        <f t="shared" si="152"/>
        <v>0.17084339774557167</v>
      </c>
    </row>
    <row r="1627" spans="1:17">
      <c r="A1627" s="87">
        <v>1692</v>
      </c>
      <c r="B1627" s="87" t="s">
        <v>558</v>
      </c>
      <c r="C1627" s="87" t="s">
        <v>22</v>
      </c>
      <c r="D1627" s="84">
        <v>42899</v>
      </c>
      <c r="E1627" s="88">
        <f t="shared" si="150"/>
        <v>2017</v>
      </c>
      <c r="F1627" s="89">
        <v>20891000000</v>
      </c>
      <c r="G1627" s="89">
        <v>17201000000</v>
      </c>
      <c r="H1627" s="89">
        <v>2130000000</v>
      </c>
      <c r="I1627" s="89">
        <v>0</v>
      </c>
      <c r="J1627" s="89">
        <v>74000000</v>
      </c>
      <c r="K1627" s="87" t="s">
        <v>25</v>
      </c>
      <c r="L1627" s="87" t="s">
        <v>486</v>
      </c>
      <c r="M1627" s="90">
        <f t="shared" si="153"/>
        <v>3690000000</v>
      </c>
      <c r="N1627" s="89">
        <f t="shared" si="154"/>
        <v>2204000000</v>
      </c>
      <c r="O1627" s="89">
        <f t="shared" si="155"/>
        <v>1486000000</v>
      </c>
      <c r="P1627" s="87">
        <f t="shared" si="151"/>
        <v>7.1131109090038766E-2</v>
      </c>
      <c r="Q1627" s="87">
        <f t="shared" si="152"/>
        <v>0.17663108515628745</v>
      </c>
    </row>
    <row r="1628" spans="1:17">
      <c r="A1628" s="83">
        <v>1693</v>
      </c>
      <c r="B1628" s="83" t="s">
        <v>558</v>
      </c>
      <c r="C1628" s="83" t="s">
        <v>23</v>
      </c>
      <c r="D1628" s="84">
        <v>42900</v>
      </c>
      <c r="E1628" s="85">
        <f t="shared" si="150"/>
        <v>2017</v>
      </c>
      <c r="F1628" s="86">
        <v>20718000000</v>
      </c>
      <c r="G1628" s="86">
        <v>17036000000</v>
      </c>
      <c r="H1628" s="86">
        <v>2084000000</v>
      </c>
      <c r="I1628" s="86">
        <v>0</v>
      </c>
      <c r="J1628" s="86">
        <v>71000000</v>
      </c>
      <c r="K1628" s="83" t="s">
        <v>25</v>
      </c>
      <c r="L1628" s="83" t="s">
        <v>486</v>
      </c>
      <c r="M1628" s="91">
        <f t="shared" si="153"/>
        <v>3682000000</v>
      </c>
      <c r="N1628" s="86">
        <f t="shared" si="154"/>
        <v>2155000000</v>
      </c>
      <c r="O1628" s="86">
        <f t="shared" si="155"/>
        <v>1527000000</v>
      </c>
      <c r="P1628" s="83">
        <f t="shared" si="151"/>
        <v>7.3704025485085436E-2</v>
      </c>
      <c r="Q1628" s="83">
        <f t="shared" si="152"/>
        <v>0.17771985712906646</v>
      </c>
    </row>
    <row r="1629" spans="1:17">
      <c r="A1629" s="87">
        <v>1698</v>
      </c>
      <c r="B1629" s="87" t="s">
        <v>559</v>
      </c>
      <c r="C1629" s="87" t="s">
        <v>18</v>
      </c>
      <c r="D1629" s="84">
        <v>42901</v>
      </c>
      <c r="E1629" s="88">
        <f t="shared" si="150"/>
        <v>2017</v>
      </c>
      <c r="F1629" s="89">
        <v>13983000000</v>
      </c>
      <c r="G1629" s="89">
        <v>9112000000</v>
      </c>
      <c r="H1629" s="89">
        <v>1468000000</v>
      </c>
      <c r="I1629" s="89">
        <v>0</v>
      </c>
      <c r="J1629" s="89">
        <v>1333000000</v>
      </c>
      <c r="K1629" s="87" t="s">
        <v>19</v>
      </c>
      <c r="L1629" s="87" t="s">
        <v>560</v>
      </c>
      <c r="M1629" s="90">
        <f t="shared" si="153"/>
        <v>4871000000</v>
      </c>
      <c r="N1629" s="89">
        <f t="shared" si="154"/>
        <v>2801000000</v>
      </c>
      <c r="O1629" s="89">
        <f t="shared" si="155"/>
        <v>2070000000</v>
      </c>
      <c r="P1629" s="87">
        <f t="shared" si="151"/>
        <v>0.14803690195237074</v>
      </c>
      <c r="Q1629" s="87">
        <f t="shared" si="152"/>
        <v>0.34835156976328396</v>
      </c>
    </row>
    <row r="1630" spans="1:17">
      <c r="A1630" s="83">
        <v>1699</v>
      </c>
      <c r="B1630" s="83" t="s">
        <v>559</v>
      </c>
      <c r="C1630" s="83" t="s">
        <v>21</v>
      </c>
      <c r="D1630" s="84">
        <v>42902</v>
      </c>
      <c r="E1630" s="85">
        <f t="shared" si="150"/>
        <v>2017</v>
      </c>
      <c r="F1630" s="86">
        <v>13996000000</v>
      </c>
      <c r="G1630" s="86">
        <v>9002000000</v>
      </c>
      <c r="H1630" s="86">
        <v>1481000000</v>
      </c>
      <c r="I1630" s="86">
        <v>0</v>
      </c>
      <c r="J1630" s="86">
        <v>1292000000</v>
      </c>
      <c r="K1630" s="83" t="s">
        <v>19</v>
      </c>
      <c r="L1630" s="83" t="s">
        <v>560</v>
      </c>
      <c r="M1630" s="91">
        <f t="shared" si="153"/>
        <v>4994000000</v>
      </c>
      <c r="N1630" s="86">
        <f t="shared" si="154"/>
        <v>2773000000</v>
      </c>
      <c r="O1630" s="86">
        <f t="shared" si="155"/>
        <v>2221000000</v>
      </c>
      <c r="P1630" s="83">
        <f t="shared" si="151"/>
        <v>0.15868819662760789</v>
      </c>
      <c r="Q1630" s="83">
        <f t="shared" si="152"/>
        <v>0.35681623320948841</v>
      </c>
    </row>
    <row r="1631" spans="1:17">
      <c r="A1631" s="87">
        <v>1700</v>
      </c>
      <c r="B1631" s="87" t="s">
        <v>559</v>
      </c>
      <c r="C1631" s="87" t="s">
        <v>22</v>
      </c>
      <c r="D1631" s="84">
        <v>42903</v>
      </c>
      <c r="E1631" s="88">
        <f t="shared" si="150"/>
        <v>2017</v>
      </c>
      <c r="F1631" s="89">
        <v>12961000000</v>
      </c>
      <c r="G1631" s="89">
        <v>8231000000</v>
      </c>
      <c r="H1631" s="89">
        <v>1343000000</v>
      </c>
      <c r="I1631" s="89">
        <v>0</v>
      </c>
      <c r="J1631" s="89">
        <v>1245000000</v>
      </c>
      <c r="K1631" s="87" t="s">
        <v>19</v>
      </c>
      <c r="L1631" s="87" t="s">
        <v>560</v>
      </c>
      <c r="M1631" s="90">
        <f t="shared" si="153"/>
        <v>4730000000</v>
      </c>
      <c r="N1631" s="89">
        <f t="shared" si="154"/>
        <v>2588000000</v>
      </c>
      <c r="O1631" s="89">
        <f t="shared" si="155"/>
        <v>2142000000</v>
      </c>
      <c r="P1631" s="87">
        <f t="shared" si="151"/>
        <v>0.16526502584677108</v>
      </c>
      <c r="Q1631" s="87">
        <f t="shared" si="152"/>
        <v>0.36494097677648329</v>
      </c>
    </row>
    <row r="1632" spans="1:17">
      <c r="A1632" s="83">
        <v>1701</v>
      </c>
      <c r="B1632" s="83" t="s">
        <v>559</v>
      </c>
      <c r="C1632" s="83" t="s">
        <v>23</v>
      </c>
      <c r="D1632" s="84">
        <v>42904</v>
      </c>
      <c r="E1632" s="85">
        <f t="shared" si="150"/>
        <v>2017</v>
      </c>
      <c r="F1632" s="86">
        <v>13609000000</v>
      </c>
      <c r="G1632" s="86">
        <v>8486000000</v>
      </c>
      <c r="H1632" s="86">
        <v>1410000000</v>
      </c>
      <c r="I1632" s="86">
        <v>0</v>
      </c>
      <c r="J1632" s="86">
        <v>1301000000</v>
      </c>
      <c r="K1632" s="83" t="s">
        <v>19</v>
      </c>
      <c r="L1632" s="83" t="s">
        <v>560</v>
      </c>
      <c r="M1632" s="91">
        <f t="shared" si="153"/>
        <v>5123000000</v>
      </c>
      <c r="N1632" s="86">
        <f t="shared" si="154"/>
        <v>2711000000</v>
      </c>
      <c r="O1632" s="86">
        <f t="shared" si="155"/>
        <v>2412000000</v>
      </c>
      <c r="P1632" s="83">
        <f t="shared" si="151"/>
        <v>0.17723565287677273</v>
      </c>
      <c r="Q1632" s="83">
        <f t="shared" si="152"/>
        <v>0.37644206040120509</v>
      </c>
    </row>
    <row r="1633" spans="1:17">
      <c r="A1633" s="87">
        <v>1702</v>
      </c>
      <c r="B1633" s="87" t="s">
        <v>561</v>
      </c>
      <c r="C1633" s="87" t="s">
        <v>18</v>
      </c>
      <c r="D1633" s="84">
        <v>42905</v>
      </c>
      <c r="E1633" s="85">
        <f t="shared" si="150"/>
        <v>2017</v>
      </c>
      <c r="F1633" s="89">
        <v>7486000000</v>
      </c>
      <c r="G1633" s="89">
        <v>4523000000</v>
      </c>
      <c r="H1633" s="89">
        <v>595000000</v>
      </c>
      <c r="I1633" s="89">
        <v>0</v>
      </c>
      <c r="J1633" s="89">
        <v>756000000</v>
      </c>
      <c r="K1633" s="87" t="s">
        <v>89</v>
      </c>
      <c r="L1633" s="87" t="s">
        <v>90</v>
      </c>
      <c r="M1633" s="90">
        <f t="shared" si="153"/>
        <v>2963000000</v>
      </c>
      <c r="N1633" s="89">
        <f t="shared" si="154"/>
        <v>1351000000</v>
      </c>
      <c r="O1633" s="89">
        <f t="shared" si="155"/>
        <v>1612000000</v>
      </c>
      <c r="P1633" s="87">
        <f t="shared" si="151"/>
        <v>0.21533529254608602</v>
      </c>
      <c r="Q1633" s="87">
        <f t="shared" si="152"/>
        <v>0.39580550360673261</v>
      </c>
    </row>
    <row r="1634" spans="1:17">
      <c r="A1634" s="83">
        <v>1703</v>
      </c>
      <c r="B1634" s="83" t="s">
        <v>561</v>
      </c>
      <c r="C1634" s="83" t="s">
        <v>21</v>
      </c>
      <c r="D1634" s="84">
        <v>42906</v>
      </c>
      <c r="E1634" s="85">
        <f t="shared" si="150"/>
        <v>2017</v>
      </c>
      <c r="F1634" s="86">
        <v>6860000000</v>
      </c>
      <c r="G1634" s="86">
        <v>4124000000</v>
      </c>
      <c r="H1634" s="86">
        <v>546000000</v>
      </c>
      <c r="I1634" s="86">
        <v>0</v>
      </c>
      <c r="J1634" s="86">
        <v>815000000</v>
      </c>
      <c r="K1634" s="83" t="s">
        <v>89</v>
      </c>
      <c r="L1634" s="83" t="s">
        <v>90</v>
      </c>
      <c r="M1634" s="91">
        <f t="shared" si="153"/>
        <v>2736000000</v>
      </c>
      <c r="N1634" s="86">
        <f t="shared" si="154"/>
        <v>1361000000</v>
      </c>
      <c r="O1634" s="86">
        <f t="shared" si="155"/>
        <v>1375000000</v>
      </c>
      <c r="P1634" s="83">
        <f t="shared" si="151"/>
        <v>0.20043731778425655</v>
      </c>
      <c r="Q1634" s="83">
        <f t="shared" si="152"/>
        <v>0.39883381924198247</v>
      </c>
    </row>
    <row r="1635" spans="1:17">
      <c r="A1635" s="87">
        <v>1704</v>
      </c>
      <c r="B1635" s="87" t="s">
        <v>561</v>
      </c>
      <c r="C1635" s="87" t="s">
        <v>22</v>
      </c>
      <c r="D1635" s="84">
        <v>42907</v>
      </c>
      <c r="E1635" s="85">
        <f t="shared" si="150"/>
        <v>2017</v>
      </c>
      <c r="F1635" s="89">
        <v>7637000000</v>
      </c>
      <c r="G1635" s="89">
        <v>4508000000</v>
      </c>
      <c r="H1635" s="89">
        <v>384000000</v>
      </c>
      <c r="I1635" s="89">
        <v>0</v>
      </c>
      <c r="J1635" s="89">
        <v>1176000000</v>
      </c>
      <c r="K1635" s="87" t="s">
        <v>89</v>
      </c>
      <c r="L1635" s="87" t="s">
        <v>90</v>
      </c>
      <c r="M1635" s="90">
        <f t="shared" si="153"/>
        <v>3129000000</v>
      </c>
      <c r="N1635" s="89">
        <f t="shared" si="154"/>
        <v>1560000000</v>
      </c>
      <c r="O1635" s="89">
        <f t="shared" si="155"/>
        <v>1569000000</v>
      </c>
      <c r="P1635" s="87">
        <f t="shared" si="151"/>
        <v>0.2054471651171926</v>
      </c>
      <c r="Q1635" s="87">
        <f t="shared" si="152"/>
        <v>0.40971585701191571</v>
      </c>
    </row>
    <row r="1636" spans="1:17">
      <c r="A1636" s="83">
        <v>1705</v>
      </c>
      <c r="B1636" s="83" t="s">
        <v>561</v>
      </c>
      <c r="C1636" s="83" t="s">
        <v>23</v>
      </c>
      <c r="D1636" s="84">
        <v>42908</v>
      </c>
      <c r="E1636" s="85">
        <f t="shared" si="150"/>
        <v>2017</v>
      </c>
      <c r="F1636" s="86">
        <v>7360000000</v>
      </c>
      <c r="G1636" s="86">
        <v>3434000000</v>
      </c>
      <c r="H1636" s="86">
        <v>864000000</v>
      </c>
      <c r="I1636" s="86">
        <v>0</v>
      </c>
      <c r="J1636" s="86">
        <v>1738000000</v>
      </c>
      <c r="K1636" s="83" t="s">
        <v>89</v>
      </c>
      <c r="L1636" s="83" t="s">
        <v>90</v>
      </c>
      <c r="M1636" s="91">
        <f t="shared" si="153"/>
        <v>3926000000</v>
      </c>
      <c r="N1636" s="86">
        <f t="shared" si="154"/>
        <v>2602000000</v>
      </c>
      <c r="O1636" s="86">
        <f t="shared" si="155"/>
        <v>1324000000</v>
      </c>
      <c r="P1636" s="83">
        <f t="shared" si="151"/>
        <v>0.17989130434782608</v>
      </c>
      <c r="Q1636" s="83">
        <f t="shared" si="152"/>
        <v>0.53342391304347825</v>
      </c>
    </row>
    <row r="1637" spans="1:17">
      <c r="A1637" s="87">
        <v>1706</v>
      </c>
      <c r="B1637" s="87" t="s">
        <v>562</v>
      </c>
      <c r="C1637" s="87" t="s">
        <v>18</v>
      </c>
      <c r="D1637" s="84">
        <v>42909</v>
      </c>
      <c r="E1637" s="88">
        <f t="shared" si="150"/>
        <v>2017</v>
      </c>
      <c r="F1637" s="89">
        <v>468651000000</v>
      </c>
      <c r="G1637" s="89">
        <v>352297000000</v>
      </c>
      <c r="H1637" s="89">
        <v>88629000000</v>
      </c>
      <c r="I1637" s="89">
        <v>0</v>
      </c>
      <c r="J1637" s="89">
        <v>0</v>
      </c>
      <c r="K1637" s="87" t="s">
        <v>42</v>
      </c>
      <c r="L1637" s="87" t="s">
        <v>174</v>
      </c>
      <c r="M1637" s="90">
        <f t="shared" si="153"/>
        <v>116354000000</v>
      </c>
      <c r="N1637" s="89">
        <f t="shared" si="154"/>
        <v>88629000000</v>
      </c>
      <c r="O1637" s="89">
        <f t="shared" si="155"/>
        <v>27725000000</v>
      </c>
      <c r="P1637" s="87">
        <f t="shared" si="151"/>
        <v>5.9159161081487076E-2</v>
      </c>
      <c r="Q1637" s="87">
        <f t="shared" si="152"/>
        <v>0.24827430219929114</v>
      </c>
    </row>
    <row r="1638" spans="1:17">
      <c r="A1638" s="83">
        <v>1707</v>
      </c>
      <c r="B1638" s="83" t="s">
        <v>562</v>
      </c>
      <c r="C1638" s="83" t="s">
        <v>21</v>
      </c>
      <c r="D1638" s="84">
        <v>42910</v>
      </c>
      <c r="E1638" s="85">
        <f t="shared" si="150"/>
        <v>2017</v>
      </c>
      <c r="F1638" s="86">
        <v>476294000000</v>
      </c>
      <c r="G1638" s="86">
        <v>358069000000</v>
      </c>
      <c r="H1638" s="86">
        <v>91353000000</v>
      </c>
      <c r="I1638" s="86">
        <v>0</v>
      </c>
      <c r="J1638" s="86">
        <v>0</v>
      </c>
      <c r="K1638" s="83" t="s">
        <v>42</v>
      </c>
      <c r="L1638" s="83" t="s">
        <v>174</v>
      </c>
      <c r="M1638" s="91">
        <f t="shared" si="153"/>
        <v>118225000000</v>
      </c>
      <c r="N1638" s="86">
        <f t="shared" si="154"/>
        <v>91353000000</v>
      </c>
      <c r="O1638" s="86">
        <f t="shared" si="155"/>
        <v>26872000000</v>
      </c>
      <c r="P1638" s="83">
        <f t="shared" si="151"/>
        <v>5.6418934523634563E-2</v>
      </c>
      <c r="Q1638" s="83">
        <f t="shared" si="152"/>
        <v>0.2482185372899931</v>
      </c>
    </row>
    <row r="1639" spans="1:17">
      <c r="A1639" s="87">
        <v>1708</v>
      </c>
      <c r="B1639" s="87" t="s">
        <v>562</v>
      </c>
      <c r="C1639" s="87" t="s">
        <v>22</v>
      </c>
      <c r="D1639" s="84">
        <v>42911</v>
      </c>
      <c r="E1639" s="88">
        <f t="shared" si="150"/>
        <v>2017</v>
      </c>
      <c r="F1639" s="89">
        <v>485651000000</v>
      </c>
      <c r="G1639" s="89">
        <v>365086000000</v>
      </c>
      <c r="H1639" s="89">
        <v>93418000000</v>
      </c>
      <c r="I1639" s="89">
        <v>0</v>
      </c>
      <c r="J1639" s="89">
        <v>0</v>
      </c>
      <c r="K1639" s="87" t="s">
        <v>42</v>
      </c>
      <c r="L1639" s="87" t="s">
        <v>174</v>
      </c>
      <c r="M1639" s="90">
        <f t="shared" si="153"/>
        <v>120565000000</v>
      </c>
      <c r="N1639" s="89">
        <f t="shared" si="154"/>
        <v>93418000000</v>
      </c>
      <c r="O1639" s="89">
        <f t="shared" si="155"/>
        <v>27147000000</v>
      </c>
      <c r="P1639" s="87">
        <f t="shared" si="151"/>
        <v>5.5898165555100264E-2</v>
      </c>
      <c r="Q1639" s="87">
        <f t="shared" si="152"/>
        <v>0.24825440491216944</v>
      </c>
    </row>
    <row r="1640" spans="1:17">
      <c r="A1640" s="83">
        <v>1709</v>
      </c>
      <c r="B1640" s="83" t="s">
        <v>562</v>
      </c>
      <c r="C1640" s="83" t="s">
        <v>23</v>
      </c>
      <c r="D1640" s="84">
        <v>42912</v>
      </c>
      <c r="E1640" s="85">
        <f t="shared" si="150"/>
        <v>2017</v>
      </c>
      <c r="F1640" s="86">
        <v>482130000000</v>
      </c>
      <c r="G1640" s="86">
        <v>360984000000</v>
      </c>
      <c r="H1640" s="86">
        <v>97041000000</v>
      </c>
      <c r="I1640" s="86">
        <v>0</v>
      </c>
      <c r="J1640" s="86">
        <v>0</v>
      </c>
      <c r="K1640" s="83" t="s">
        <v>42</v>
      </c>
      <c r="L1640" s="83" t="s">
        <v>174</v>
      </c>
      <c r="M1640" s="91">
        <f t="shared" si="153"/>
        <v>121146000000</v>
      </c>
      <c r="N1640" s="86">
        <f t="shared" si="154"/>
        <v>97041000000</v>
      </c>
      <c r="O1640" s="86">
        <f t="shared" si="155"/>
        <v>24105000000</v>
      </c>
      <c r="P1640" s="83">
        <f t="shared" si="151"/>
        <v>4.9996888805923713E-2</v>
      </c>
      <c r="Q1640" s="83">
        <f t="shared" si="152"/>
        <v>0.25127247837720112</v>
      </c>
    </row>
    <row r="1641" spans="1:17">
      <c r="A1641" s="87">
        <v>1710</v>
      </c>
      <c r="B1641" s="87" t="s">
        <v>563</v>
      </c>
      <c r="C1641" s="87" t="s">
        <v>18</v>
      </c>
      <c r="D1641" s="84">
        <v>42913</v>
      </c>
      <c r="E1641" s="88">
        <f t="shared" si="150"/>
        <v>2017</v>
      </c>
      <c r="F1641" s="89">
        <v>9895100000</v>
      </c>
      <c r="G1641" s="89">
        <v>7961500000</v>
      </c>
      <c r="H1641" s="89">
        <v>937600000</v>
      </c>
      <c r="I1641" s="89">
        <v>0</v>
      </c>
      <c r="J1641" s="89">
        <v>86000000</v>
      </c>
      <c r="K1641" s="87" t="s">
        <v>65</v>
      </c>
      <c r="L1641" s="87" t="s">
        <v>102</v>
      </c>
      <c r="M1641" s="90">
        <f t="shared" si="153"/>
        <v>1933600000</v>
      </c>
      <c r="N1641" s="89">
        <f t="shared" si="154"/>
        <v>1023600000</v>
      </c>
      <c r="O1641" s="89">
        <f t="shared" si="155"/>
        <v>910000000</v>
      </c>
      <c r="P1641" s="87">
        <f t="shared" si="151"/>
        <v>9.1964709805863507E-2</v>
      </c>
      <c r="Q1641" s="87">
        <f t="shared" si="152"/>
        <v>0.19540984931936012</v>
      </c>
    </row>
    <row r="1642" spans="1:17">
      <c r="A1642" s="83">
        <v>1711</v>
      </c>
      <c r="B1642" s="83" t="s">
        <v>563</v>
      </c>
      <c r="C1642" s="83" t="s">
        <v>21</v>
      </c>
      <c r="D1642" s="84">
        <v>42914</v>
      </c>
      <c r="E1642" s="85">
        <f t="shared" si="150"/>
        <v>2017</v>
      </c>
      <c r="F1642" s="86">
        <v>11124800000</v>
      </c>
      <c r="G1642" s="86">
        <v>8986500000</v>
      </c>
      <c r="H1642" s="86">
        <v>1026100000</v>
      </c>
      <c r="I1642" s="86">
        <v>0</v>
      </c>
      <c r="J1642" s="86">
        <v>118900000</v>
      </c>
      <c r="K1642" s="83" t="s">
        <v>65</v>
      </c>
      <c r="L1642" s="83" t="s">
        <v>102</v>
      </c>
      <c r="M1642" s="91">
        <f t="shared" si="153"/>
        <v>2138300000</v>
      </c>
      <c r="N1642" s="86">
        <f t="shared" si="154"/>
        <v>1145000000</v>
      </c>
      <c r="O1642" s="86">
        <f t="shared" si="155"/>
        <v>993300000</v>
      </c>
      <c r="P1642" s="83">
        <f t="shared" si="151"/>
        <v>8.9286998417949084E-2</v>
      </c>
      <c r="Q1642" s="83">
        <f t="shared" si="152"/>
        <v>0.19221019703725006</v>
      </c>
    </row>
    <row r="1643" spans="1:17">
      <c r="A1643" s="87">
        <v>1712</v>
      </c>
      <c r="B1643" s="87" t="s">
        <v>563</v>
      </c>
      <c r="C1643" s="87" t="s">
        <v>22</v>
      </c>
      <c r="D1643" s="84">
        <v>42915</v>
      </c>
      <c r="E1643" s="88">
        <f t="shared" si="150"/>
        <v>2017</v>
      </c>
      <c r="F1643" s="89">
        <v>14171800000</v>
      </c>
      <c r="G1643" s="89">
        <v>11413200000</v>
      </c>
      <c r="H1643" s="89">
        <v>1750100000</v>
      </c>
      <c r="I1643" s="89">
        <v>0</v>
      </c>
      <c r="J1643" s="89">
        <v>211800000</v>
      </c>
      <c r="K1643" s="87" t="s">
        <v>65</v>
      </c>
      <c r="L1643" s="87" t="s">
        <v>102</v>
      </c>
      <c r="M1643" s="90">
        <f t="shared" si="153"/>
        <v>2758600000</v>
      </c>
      <c r="N1643" s="89">
        <f t="shared" si="154"/>
        <v>1961900000</v>
      </c>
      <c r="O1643" s="89">
        <f t="shared" si="155"/>
        <v>796700000</v>
      </c>
      <c r="P1643" s="87">
        <f t="shared" si="151"/>
        <v>5.6217276563315884E-2</v>
      </c>
      <c r="Q1643" s="87">
        <f t="shared" si="152"/>
        <v>0.19465417237048221</v>
      </c>
    </row>
    <row r="1644" spans="1:17">
      <c r="A1644" s="83">
        <v>1713</v>
      </c>
      <c r="B1644" s="83" t="s">
        <v>564</v>
      </c>
      <c r="C1644" s="83" t="s">
        <v>18</v>
      </c>
      <c r="D1644" s="84">
        <v>42916</v>
      </c>
      <c r="E1644" s="85">
        <f t="shared" si="150"/>
        <v>2017</v>
      </c>
      <c r="F1644" s="86">
        <v>5664800000</v>
      </c>
      <c r="G1644" s="86">
        <v>3194200000</v>
      </c>
      <c r="H1644" s="86">
        <v>1140600000</v>
      </c>
      <c r="I1644" s="86">
        <v>0</v>
      </c>
      <c r="J1644" s="86">
        <v>0</v>
      </c>
      <c r="K1644" s="83" t="s">
        <v>28</v>
      </c>
      <c r="L1644" s="83" t="s">
        <v>63</v>
      </c>
      <c r="M1644" s="91">
        <f t="shared" si="153"/>
        <v>2470600000</v>
      </c>
      <c r="N1644" s="86">
        <f t="shared" si="154"/>
        <v>1140600000</v>
      </c>
      <c r="O1644" s="86">
        <f t="shared" si="155"/>
        <v>1330000000</v>
      </c>
      <c r="P1644" s="83">
        <f t="shared" si="151"/>
        <v>0.23478322270865698</v>
      </c>
      <c r="Q1644" s="83">
        <f t="shared" si="152"/>
        <v>0.43613190227369014</v>
      </c>
    </row>
    <row r="1645" spans="1:17">
      <c r="A1645" s="87">
        <v>1714</v>
      </c>
      <c r="B1645" s="87" t="s">
        <v>564</v>
      </c>
      <c r="C1645" s="87" t="s">
        <v>21</v>
      </c>
      <c r="D1645" s="84">
        <v>42917</v>
      </c>
      <c r="E1645" s="88">
        <f t="shared" si="150"/>
        <v>2017</v>
      </c>
      <c r="F1645" s="89">
        <v>5542000000</v>
      </c>
      <c r="G1645" s="89">
        <v>3235000000</v>
      </c>
      <c r="H1645" s="89">
        <v>1199600000</v>
      </c>
      <c r="I1645" s="89">
        <v>0</v>
      </c>
      <c r="J1645" s="89">
        <v>0</v>
      </c>
      <c r="K1645" s="87" t="s">
        <v>28</v>
      </c>
      <c r="L1645" s="87" t="s">
        <v>63</v>
      </c>
      <c r="M1645" s="90">
        <f t="shared" si="153"/>
        <v>2307000000</v>
      </c>
      <c r="N1645" s="89">
        <f t="shared" si="154"/>
        <v>1199600000</v>
      </c>
      <c r="O1645" s="89">
        <f t="shared" si="155"/>
        <v>1107400000</v>
      </c>
      <c r="P1645" s="87">
        <f t="shared" si="151"/>
        <v>0.19981955972573079</v>
      </c>
      <c r="Q1645" s="87">
        <f t="shared" si="152"/>
        <v>0.41627571273908337</v>
      </c>
    </row>
    <row r="1646" spans="1:17">
      <c r="A1646" s="83">
        <v>1715</v>
      </c>
      <c r="B1646" s="83" t="s">
        <v>564</v>
      </c>
      <c r="C1646" s="83" t="s">
        <v>22</v>
      </c>
      <c r="D1646" s="84">
        <v>42918</v>
      </c>
      <c r="E1646" s="85">
        <f t="shared" si="150"/>
        <v>2017</v>
      </c>
      <c r="F1646" s="86">
        <v>5607200000</v>
      </c>
      <c r="G1646" s="86">
        <v>3297400000</v>
      </c>
      <c r="H1646" s="86">
        <v>1169300000</v>
      </c>
      <c r="I1646" s="86">
        <v>0</v>
      </c>
      <c r="J1646" s="86">
        <v>0</v>
      </c>
      <c r="K1646" s="83" t="s">
        <v>28</v>
      </c>
      <c r="L1646" s="83" t="s">
        <v>63</v>
      </c>
      <c r="M1646" s="91">
        <f t="shared" si="153"/>
        <v>2309800000</v>
      </c>
      <c r="N1646" s="86">
        <f t="shared" si="154"/>
        <v>1169300000</v>
      </c>
      <c r="O1646" s="86">
        <f t="shared" si="155"/>
        <v>1140500000</v>
      </c>
      <c r="P1646" s="83">
        <f t="shared" si="151"/>
        <v>0.20339920102725068</v>
      </c>
      <c r="Q1646" s="83">
        <f t="shared" si="152"/>
        <v>0.4119346554430019</v>
      </c>
    </row>
    <row r="1647" spans="1:17">
      <c r="A1647" s="87">
        <v>1716</v>
      </c>
      <c r="B1647" s="87" t="s">
        <v>564</v>
      </c>
      <c r="C1647" s="87" t="s">
        <v>23</v>
      </c>
      <c r="D1647" s="84">
        <v>42919</v>
      </c>
      <c r="E1647" s="88">
        <f t="shared" si="150"/>
        <v>2017</v>
      </c>
      <c r="F1647" s="89">
        <v>5483700000</v>
      </c>
      <c r="G1647" s="89">
        <v>3199400000</v>
      </c>
      <c r="H1647" s="89">
        <v>1174900000</v>
      </c>
      <c r="I1647" s="89">
        <v>0</v>
      </c>
      <c r="J1647" s="89">
        <v>0</v>
      </c>
      <c r="K1647" s="87" t="s">
        <v>28</v>
      </c>
      <c r="L1647" s="87" t="s">
        <v>63</v>
      </c>
      <c r="M1647" s="90">
        <f t="shared" si="153"/>
        <v>2284300000</v>
      </c>
      <c r="N1647" s="89">
        <f t="shared" si="154"/>
        <v>1174900000</v>
      </c>
      <c r="O1647" s="89">
        <f t="shared" si="155"/>
        <v>1109400000</v>
      </c>
      <c r="P1647" s="87">
        <f t="shared" si="151"/>
        <v>0.20230866021117128</v>
      </c>
      <c r="Q1647" s="87">
        <f t="shared" si="152"/>
        <v>0.41656181045644369</v>
      </c>
    </row>
    <row r="1648" spans="1:17">
      <c r="A1648" s="83">
        <v>1717</v>
      </c>
      <c r="B1648" s="83" t="s">
        <v>565</v>
      </c>
      <c r="C1648" s="83" t="s">
        <v>18</v>
      </c>
      <c r="D1648" s="84">
        <v>42920</v>
      </c>
      <c r="E1648" s="85">
        <f t="shared" si="150"/>
        <v>2017</v>
      </c>
      <c r="F1648" s="86">
        <v>5989000000</v>
      </c>
      <c r="G1648" s="86">
        <v>4993000000</v>
      </c>
      <c r="H1648" s="86">
        <v>320000000</v>
      </c>
      <c r="I1648" s="86">
        <v>32000000</v>
      </c>
      <c r="J1648" s="86">
        <v>0</v>
      </c>
      <c r="K1648" s="83" t="s">
        <v>58</v>
      </c>
      <c r="L1648" s="83" t="s">
        <v>59</v>
      </c>
      <c r="M1648" s="91">
        <f t="shared" si="153"/>
        <v>996000000</v>
      </c>
      <c r="N1648" s="86">
        <f t="shared" si="154"/>
        <v>352000000</v>
      </c>
      <c r="O1648" s="86">
        <f t="shared" si="155"/>
        <v>644000000</v>
      </c>
      <c r="P1648" s="83">
        <f t="shared" si="151"/>
        <v>0.10753047253297712</v>
      </c>
      <c r="Q1648" s="83">
        <f t="shared" si="152"/>
        <v>0.16630489230255463</v>
      </c>
    </row>
    <row r="1649" spans="1:17">
      <c r="A1649" s="87">
        <v>1718</v>
      </c>
      <c r="B1649" s="87" t="s">
        <v>565</v>
      </c>
      <c r="C1649" s="87" t="s">
        <v>21</v>
      </c>
      <c r="D1649" s="84">
        <v>42921</v>
      </c>
      <c r="E1649" s="88">
        <f t="shared" si="150"/>
        <v>2017</v>
      </c>
      <c r="F1649" s="89">
        <v>7254000000</v>
      </c>
      <c r="G1649" s="89">
        <v>5716000000</v>
      </c>
      <c r="H1649" s="89">
        <v>494000000</v>
      </c>
      <c r="I1649" s="89">
        <v>33000000</v>
      </c>
      <c r="J1649" s="89">
        <v>0</v>
      </c>
      <c r="K1649" s="87" t="s">
        <v>58</v>
      </c>
      <c r="L1649" s="87" t="s">
        <v>59</v>
      </c>
      <c r="M1649" s="90">
        <f t="shared" si="153"/>
        <v>1538000000</v>
      </c>
      <c r="N1649" s="89">
        <f t="shared" si="154"/>
        <v>527000000</v>
      </c>
      <c r="O1649" s="89">
        <f t="shared" si="155"/>
        <v>1011000000</v>
      </c>
      <c r="P1649" s="87">
        <f t="shared" si="151"/>
        <v>0.13937138130686519</v>
      </c>
      <c r="Q1649" s="87">
        <f t="shared" si="152"/>
        <v>0.21202095395643783</v>
      </c>
    </row>
    <row r="1650" spans="1:17">
      <c r="A1650" s="83">
        <v>1719</v>
      </c>
      <c r="B1650" s="83" t="s">
        <v>565</v>
      </c>
      <c r="C1650" s="83" t="s">
        <v>22</v>
      </c>
      <c r="D1650" s="84">
        <v>42922</v>
      </c>
      <c r="E1650" s="85">
        <f t="shared" si="150"/>
        <v>2017</v>
      </c>
      <c r="F1650" s="86">
        <v>7403000000</v>
      </c>
      <c r="G1650" s="86">
        <v>5763000000</v>
      </c>
      <c r="H1650" s="86">
        <v>249000000</v>
      </c>
      <c r="I1650" s="86">
        <v>27000000</v>
      </c>
      <c r="J1650" s="86">
        <v>0</v>
      </c>
      <c r="K1650" s="83" t="s">
        <v>58</v>
      </c>
      <c r="L1650" s="83" t="s">
        <v>59</v>
      </c>
      <c r="M1650" s="91">
        <f t="shared" si="153"/>
        <v>1640000000</v>
      </c>
      <c r="N1650" s="86">
        <f t="shared" si="154"/>
        <v>276000000</v>
      </c>
      <c r="O1650" s="86">
        <f t="shared" si="155"/>
        <v>1364000000</v>
      </c>
      <c r="P1650" s="83">
        <f t="shared" si="151"/>
        <v>0.18424962852897475</v>
      </c>
      <c r="Q1650" s="83">
        <f t="shared" si="152"/>
        <v>0.22153181142779954</v>
      </c>
    </row>
    <row r="1651" spans="1:17">
      <c r="A1651" s="87">
        <v>1720</v>
      </c>
      <c r="B1651" s="87" t="s">
        <v>565</v>
      </c>
      <c r="C1651" s="87" t="s">
        <v>23</v>
      </c>
      <c r="D1651" s="84">
        <v>42923</v>
      </c>
      <c r="E1651" s="88">
        <f t="shared" si="150"/>
        <v>2017</v>
      </c>
      <c r="F1651" s="89">
        <v>7082000000</v>
      </c>
      <c r="G1651" s="89">
        <v>5694000000</v>
      </c>
      <c r="H1651" s="89">
        <v>420000000</v>
      </c>
      <c r="I1651" s="89">
        <v>24000000</v>
      </c>
      <c r="J1651" s="89">
        <v>0</v>
      </c>
      <c r="K1651" s="87" t="s">
        <v>58</v>
      </c>
      <c r="L1651" s="87" t="s">
        <v>59</v>
      </c>
      <c r="M1651" s="90">
        <f t="shared" si="153"/>
        <v>1388000000</v>
      </c>
      <c r="N1651" s="89">
        <f t="shared" si="154"/>
        <v>444000000</v>
      </c>
      <c r="O1651" s="89">
        <f t="shared" si="155"/>
        <v>944000000</v>
      </c>
      <c r="P1651" s="87">
        <f t="shared" si="151"/>
        <v>0.13329567918667043</v>
      </c>
      <c r="Q1651" s="87">
        <f t="shared" si="152"/>
        <v>0.19598983338040099</v>
      </c>
    </row>
    <row r="1652" spans="1:17">
      <c r="A1652" s="83">
        <v>1721</v>
      </c>
      <c r="B1652" s="83" t="s">
        <v>566</v>
      </c>
      <c r="C1652" s="83" t="s">
        <v>18</v>
      </c>
      <c r="D1652" s="84">
        <v>42924</v>
      </c>
      <c r="E1652" s="85">
        <f t="shared" si="150"/>
        <v>2017</v>
      </c>
      <c r="F1652" s="86">
        <v>4534000000</v>
      </c>
      <c r="G1652" s="86">
        <v>2093000000</v>
      </c>
      <c r="H1652" s="86">
        <v>1389000000</v>
      </c>
      <c r="I1652" s="86">
        <v>0</v>
      </c>
      <c r="J1652" s="86">
        <v>185000000</v>
      </c>
      <c r="K1652" s="83" t="s">
        <v>25</v>
      </c>
      <c r="L1652" s="83" t="s">
        <v>139</v>
      </c>
      <c r="M1652" s="91">
        <f t="shared" si="153"/>
        <v>2441000000</v>
      </c>
      <c r="N1652" s="86">
        <f t="shared" si="154"/>
        <v>1574000000</v>
      </c>
      <c r="O1652" s="86">
        <f t="shared" si="155"/>
        <v>867000000</v>
      </c>
      <c r="P1652" s="83">
        <f t="shared" si="151"/>
        <v>0.19122187913542127</v>
      </c>
      <c r="Q1652" s="83">
        <f t="shared" si="152"/>
        <v>0.53837670930745474</v>
      </c>
    </row>
    <row r="1653" spans="1:17">
      <c r="A1653" s="87">
        <v>1722</v>
      </c>
      <c r="B1653" s="87" t="s">
        <v>566</v>
      </c>
      <c r="C1653" s="87" t="s">
        <v>21</v>
      </c>
      <c r="D1653" s="84">
        <v>42925</v>
      </c>
      <c r="E1653" s="88">
        <f t="shared" si="150"/>
        <v>2017</v>
      </c>
      <c r="F1653" s="89">
        <v>5009000000</v>
      </c>
      <c r="G1653" s="89">
        <v>2394000000</v>
      </c>
      <c r="H1653" s="89">
        <v>1471000000</v>
      </c>
      <c r="I1653" s="89">
        <v>0</v>
      </c>
      <c r="J1653" s="89">
        <v>216000000</v>
      </c>
      <c r="K1653" s="87" t="s">
        <v>25</v>
      </c>
      <c r="L1653" s="87" t="s">
        <v>139</v>
      </c>
      <c r="M1653" s="90">
        <f t="shared" si="153"/>
        <v>2615000000</v>
      </c>
      <c r="N1653" s="89">
        <f t="shared" si="154"/>
        <v>1687000000</v>
      </c>
      <c r="O1653" s="89">
        <f t="shared" si="155"/>
        <v>928000000</v>
      </c>
      <c r="P1653" s="87">
        <f t="shared" si="151"/>
        <v>0.18526652026352566</v>
      </c>
      <c r="Q1653" s="87">
        <f t="shared" si="152"/>
        <v>0.52206029147534438</v>
      </c>
    </row>
    <row r="1654" spans="1:17">
      <c r="A1654" s="83">
        <v>1723</v>
      </c>
      <c r="B1654" s="83" t="s">
        <v>566</v>
      </c>
      <c r="C1654" s="83" t="s">
        <v>22</v>
      </c>
      <c r="D1654" s="84">
        <v>42926</v>
      </c>
      <c r="E1654" s="85">
        <f t="shared" si="150"/>
        <v>2017</v>
      </c>
      <c r="F1654" s="86">
        <v>5281000000</v>
      </c>
      <c r="G1654" s="86">
        <v>2504000000</v>
      </c>
      <c r="H1654" s="86">
        <v>1557000000</v>
      </c>
      <c r="I1654" s="86">
        <v>0</v>
      </c>
      <c r="J1654" s="86">
        <v>233000000</v>
      </c>
      <c r="K1654" s="83" t="s">
        <v>25</v>
      </c>
      <c r="L1654" s="83" t="s">
        <v>139</v>
      </c>
      <c r="M1654" s="91">
        <f t="shared" si="153"/>
        <v>2777000000</v>
      </c>
      <c r="N1654" s="86">
        <f t="shared" si="154"/>
        <v>1790000000</v>
      </c>
      <c r="O1654" s="86">
        <f t="shared" si="155"/>
        <v>987000000</v>
      </c>
      <c r="P1654" s="83">
        <f t="shared" si="151"/>
        <v>0.1868964211323613</v>
      </c>
      <c r="Q1654" s="83">
        <f t="shared" si="152"/>
        <v>0.52584737739064569</v>
      </c>
    </row>
    <row r="1655" spans="1:17">
      <c r="A1655" s="87">
        <v>1724</v>
      </c>
      <c r="B1655" s="87" t="s">
        <v>566</v>
      </c>
      <c r="C1655" s="87" t="s">
        <v>23</v>
      </c>
      <c r="D1655" s="84">
        <v>42927</v>
      </c>
      <c r="E1655" s="88">
        <f t="shared" si="150"/>
        <v>2017</v>
      </c>
      <c r="F1655" s="89">
        <v>5536000000</v>
      </c>
      <c r="G1655" s="89">
        <v>2700000000</v>
      </c>
      <c r="H1655" s="89">
        <v>1574000000</v>
      </c>
      <c r="I1655" s="89">
        <v>0</v>
      </c>
      <c r="J1655" s="89">
        <v>234000000</v>
      </c>
      <c r="K1655" s="87" t="s">
        <v>25</v>
      </c>
      <c r="L1655" s="87" t="s">
        <v>139</v>
      </c>
      <c r="M1655" s="90">
        <f t="shared" si="153"/>
        <v>2836000000</v>
      </c>
      <c r="N1655" s="89">
        <f t="shared" si="154"/>
        <v>1808000000</v>
      </c>
      <c r="O1655" s="89">
        <f t="shared" si="155"/>
        <v>1028000000</v>
      </c>
      <c r="P1655" s="87">
        <f t="shared" si="151"/>
        <v>0.18569364161849711</v>
      </c>
      <c r="Q1655" s="87">
        <f t="shared" si="152"/>
        <v>0.51228323699421963</v>
      </c>
    </row>
    <row r="1656" spans="1:17">
      <c r="A1656" s="83">
        <v>1725</v>
      </c>
      <c r="B1656" s="83" t="s">
        <v>567</v>
      </c>
      <c r="C1656" s="83" t="s">
        <v>18</v>
      </c>
      <c r="D1656" s="84">
        <v>42928</v>
      </c>
      <c r="E1656" s="85">
        <f t="shared" si="150"/>
        <v>2017</v>
      </c>
      <c r="F1656" s="86">
        <v>5154284000</v>
      </c>
      <c r="G1656" s="86">
        <v>3251575000</v>
      </c>
      <c r="H1656" s="86">
        <v>481677000</v>
      </c>
      <c r="I1656" s="86">
        <v>0</v>
      </c>
      <c r="J1656" s="86">
        <v>373199000</v>
      </c>
      <c r="K1656" s="83" t="s">
        <v>25</v>
      </c>
      <c r="L1656" s="83" t="s">
        <v>568</v>
      </c>
      <c r="M1656" s="91">
        <f t="shared" si="153"/>
        <v>1902709000</v>
      </c>
      <c r="N1656" s="86">
        <f t="shared" si="154"/>
        <v>854876000</v>
      </c>
      <c r="O1656" s="86">
        <f t="shared" si="155"/>
        <v>1047833000</v>
      </c>
      <c r="P1656" s="83">
        <f t="shared" si="151"/>
        <v>0.20329360974288571</v>
      </c>
      <c r="Q1656" s="83">
        <f t="shared" si="152"/>
        <v>0.36915098197926233</v>
      </c>
    </row>
    <row r="1657" spans="1:17">
      <c r="A1657" s="87">
        <v>1726</v>
      </c>
      <c r="B1657" s="87" t="s">
        <v>567</v>
      </c>
      <c r="C1657" s="87" t="s">
        <v>21</v>
      </c>
      <c r="D1657" s="84">
        <v>42929</v>
      </c>
      <c r="E1657" s="88">
        <f t="shared" si="150"/>
        <v>2017</v>
      </c>
      <c r="F1657" s="89">
        <v>5620936000</v>
      </c>
      <c r="G1657" s="89">
        <v>3478822000</v>
      </c>
      <c r="H1657" s="89">
        <v>465926000</v>
      </c>
      <c r="I1657" s="89">
        <v>0</v>
      </c>
      <c r="J1657" s="89">
        <v>371051000</v>
      </c>
      <c r="K1657" s="87" t="s">
        <v>25</v>
      </c>
      <c r="L1657" s="87" t="s">
        <v>568</v>
      </c>
      <c r="M1657" s="90">
        <f t="shared" si="153"/>
        <v>2142114000</v>
      </c>
      <c r="N1657" s="89">
        <f t="shared" si="154"/>
        <v>836977000</v>
      </c>
      <c r="O1657" s="89">
        <f t="shared" si="155"/>
        <v>1305137000</v>
      </c>
      <c r="P1657" s="87">
        <f t="shared" si="151"/>
        <v>0.23219211177640164</v>
      </c>
      <c r="Q1657" s="87">
        <f t="shared" si="152"/>
        <v>0.38109560400616549</v>
      </c>
    </row>
    <row r="1658" spans="1:17">
      <c r="A1658" s="83">
        <v>1727</v>
      </c>
      <c r="B1658" s="83" t="s">
        <v>567</v>
      </c>
      <c r="C1658" s="83" t="s">
        <v>22</v>
      </c>
      <c r="D1658" s="84">
        <v>42930</v>
      </c>
      <c r="E1658" s="85">
        <f t="shared" si="150"/>
        <v>2017</v>
      </c>
      <c r="F1658" s="86">
        <v>5433661000</v>
      </c>
      <c r="G1658" s="86">
        <v>3316311000</v>
      </c>
      <c r="H1658" s="86">
        <v>502901000</v>
      </c>
      <c r="I1658" s="86">
        <v>0</v>
      </c>
      <c r="J1658" s="86">
        <v>314119000</v>
      </c>
      <c r="K1658" s="83" t="s">
        <v>25</v>
      </c>
      <c r="L1658" s="83" t="s">
        <v>568</v>
      </c>
      <c r="M1658" s="91">
        <f t="shared" si="153"/>
        <v>2117350000</v>
      </c>
      <c r="N1658" s="86">
        <f t="shared" si="154"/>
        <v>817020000</v>
      </c>
      <c r="O1658" s="86">
        <f t="shared" si="155"/>
        <v>1300330000</v>
      </c>
      <c r="P1658" s="83">
        <f t="shared" si="151"/>
        <v>0.23931010786282031</v>
      </c>
      <c r="Q1658" s="83">
        <f t="shared" si="152"/>
        <v>0.38967281911771823</v>
      </c>
    </row>
    <row r="1659" spans="1:17">
      <c r="A1659" s="87">
        <v>1728</v>
      </c>
      <c r="B1659" s="87" t="s">
        <v>567</v>
      </c>
      <c r="C1659" s="87" t="s">
        <v>23</v>
      </c>
      <c r="D1659" s="84">
        <v>42931</v>
      </c>
      <c r="E1659" s="88">
        <f t="shared" si="150"/>
        <v>2017</v>
      </c>
      <c r="F1659" s="89">
        <v>4075883000</v>
      </c>
      <c r="G1659" s="89">
        <v>2530374000</v>
      </c>
      <c r="H1659" s="89">
        <v>475328000</v>
      </c>
      <c r="I1659" s="89">
        <v>0</v>
      </c>
      <c r="J1659" s="89">
        <v>322629000</v>
      </c>
      <c r="K1659" s="87" t="s">
        <v>25</v>
      </c>
      <c r="L1659" s="87" t="s">
        <v>568</v>
      </c>
      <c r="M1659" s="90">
        <f t="shared" si="153"/>
        <v>1545509000</v>
      </c>
      <c r="N1659" s="89">
        <f t="shared" si="154"/>
        <v>797957000</v>
      </c>
      <c r="O1659" s="89">
        <f t="shared" si="155"/>
        <v>747552000</v>
      </c>
      <c r="P1659" s="87">
        <f t="shared" si="151"/>
        <v>0.18340860127731831</v>
      </c>
      <c r="Q1659" s="87">
        <f t="shared" si="152"/>
        <v>0.37918384801526439</v>
      </c>
    </row>
    <row r="1660" spans="1:17">
      <c r="A1660" s="83">
        <v>1729</v>
      </c>
      <c r="B1660" s="83" t="s">
        <v>569</v>
      </c>
      <c r="C1660" s="83" t="s">
        <v>18</v>
      </c>
      <c r="D1660" s="84">
        <v>42932</v>
      </c>
      <c r="E1660" s="85">
        <f t="shared" si="150"/>
        <v>2017</v>
      </c>
      <c r="F1660" s="86">
        <v>1623938000</v>
      </c>
      <c r="G1660" s="86">
        <v>337903000</v>
      </c>
      <c r="H1660" s="86">
        <v>188302000</v>
      </c>
      <c r="I1660" s="86">
        <v>0</v>
      </c>
      <c r="J1660" s="86">
        <v>513916000</v>
      </c>
      <c r="K1660" s="83" t="s">
        <v>89</v>
      </c>
      <c r="L1660" s="83" t="s">
        <v>90</v>
      </c>
      <c r="M1660" s="91">
        <f t="shared" si="153"/>
        <v>1286035000</v>
      </c>
      <c r="N1660" s="86">
        <f t="shared" si="154"/>
        <v>702218000</v>
      </c>
      <c r="O1660" s="86">
        <f t="shared" si="155"/>
        <v>583817000</v>
      </c>
      <c r="P1660" s="83">
        <f t="shared" si="151"/>
        <v>0.35950695162007418</v>
      </c>
      <c r="Q1660" s="83">
        <f t="shared" si="152"/>
        <v>0.79192370644692101</v>
      </c>
    </row>
    <row r="1661" spans="1:17">
      <c r="A1661" s="87">
        <v>1730</v>
      </c>
      <c r="B1661" s="87" t="s">
        <v>569</v>
      </c>
      <c r="C1661" s="87" t="s">
        <v>21</v>
      </c>
      <c r="D1661" s="84">
        <v>42933</v>
      </c>
      <c r="E1661" s="85">
        <f t="shared" si="150"/>
        <v>2017</v>
      </c>
      <c r="F1661" s="89">
        <v>1998051000</v>
      </c>
      <c r="G1661" s="89">
        <v>406198000</v>
      </c>
      <c r="H1661" s="89">
        <v>72143000</v>
      </c>
      <c r="I1661" s="89">
        <v>0</v>
      </c>
      <c r="J1661" s="89">
        <v>615874000</v>
      </c>
      <c r="K1661" s="87" t="s">
        <v>89</v>
      </c>
      <c r="L1661" s="87" t="s">
        <v>90</v>
      </c>
      <c r="M1661" s="90">
        <f t="shared" si="153"/>
        <v>1591853000</v>
      </c>
      <c r="N1661" s="89">
        <f t="shared" si="154"/>
        <v>688017000</v>
      </c>
      <c r="O1661" s="89">
        <f t="shared" si="155"/>
        <v>903836000</v>
      </c>
      <c r="P1661" s="87">
        <f t="shared" si="151"/>
        <v>0.45235882367366997</v>
      </c>
      <c r="Q1661" s="87">
        <f t="shared" si="152"/>
        <v>0.79670288696334579</v>
      </c>
    </row>
    <row r="1662" spans="1:17">
      <c r="A1662" s="83">
        <v>1731</v>
      </c>
      <c r="B1662" s="83" t="s">
        <v>569</v>
      </c>
      <c r="C1662" s="83" t="s">
        <v>22</v>
      </c>
      <c r="D1662" s="84">
        <v>42934</v>
      </c>
      <c r="E1662" s="85">
        <f t="shared" si="150"/>
        <v>2017</v>
      </c>
      <c r="F1662" s="86">
        <v>2424176000</v>
      </c>
      <c r="G1662" s="86">
        <v>572831000</v>
      </c>
      <c r="H1662" s="86">
        <v>225070000</v>
      </c>
      <c r="I1662" s="86">
        <v>0</v>
      </c>
      <c r="J1662" s="86">
        <v>806021000</v>
      </c>
      <c r="K1662" s="83" t="s">
        <v>89</v>
      </c>
      <c r="L1662" s="83" t="s">
        <v>90</v>
      </c>
      <c r="M1662" s="91">
        <f t="shared" si="153"/>
        <v>1851345000</v>
      </c>
      <c r="N1662" s="86">
        <f t="shared" si="154"/>
        <v>1031091000</v>
      </c>
      <c r="O1662" s="86">
        <f t="shared" si="155"/>
        <v>820254000</v>
      </c>
      <c r="P1662" s="83">
        <f t="shared" si="151"/>
        <v>0.33836404617486521</v>
      </c>
      <c r="Q1662" s="83">
        <f t="shared" si="152"/>
        <v>0.76370073790021853</v>
      </c>
    </row>
    <row r="1663" spans="1:17">
      <c r="A1663" s="87">
        <v>1732</v>
      </c>
      <c r="B1663" s="87" t="s">
        <v>569</v>
      </c>
      <c r="C1663" s="87" t="s">
        <v>23</v>
      </c>
      <c r="D1663" s="84">
        <v>42935</v>
      </c>
      <c r="E1663" s="85">
        <f t="shared" ref="E1663:E1711" si="156">YEAR(D1663)</f>
        <v>2017</v>
      </c>
      <c r="F1663" s="89">
        <v>1452619000</v>
      </c>
      <c r="G1663" s="89">
        <v>519874000</v>
      </c>
      <c r="H1663" s="89">
        <v>179867000</v>
      </c>
      <c r="I1663" s="89">
        <v>0</v>
      </c>
      <c r="J1663" s="89">
        <v>778923000</v>
      </c>
      <c r="K1663" s="87" t="s">
        <v>89</v>
      </c>
      <c r="L1663" s="87" t="s">
        <v>90</v>
      </c>
      <c r="M1663" s="90">
        <f t="shared" si="153"/>
        <v>932745000</v>
      </c>
      <c r="N1663" s="89">
        <f t="shared" si="154"/>
        <v>958790000</v>
      </c>
      <c r="O1663" s="89">
        <f t="shared" si="155"/>
        <v>-26045000</v>
      </c>
      <c r="P1663" s="87">
        <f t="shared" si="151"/>
        <v>-1.7929684246178797E-2</v>
      </c>
      <c r="Q1663" s="87">
        <f t="shared" si="152"/>
        <v>0.6421126255404892</v>
      </c>
    </row>
    <row r="1664" spans="1:17">
      <c r="A1664" s="83">
        <v>1733</v>
      </c>
      <c r="B1664" s="83" t="s">
        <v>570</v>
      </c>
      <c r="C1664" s="83" t="s">
        <v>18</v>
      </c>
      <c r="D1664" s="84">
        <v>42936</v>
      </c>
      <c r="E1664" s="85">
        <f t="shared" si="156"/>
        <v>2017</v>
      </c>
      <c r="F1664" s="86">
        <v>10128223000</v>
      </c>
      <c r="G1664" s="86">
        <v>6710036000</v>
      </c>
      <c r="H1664" s="86">
        <v>669451000</v>
      </c>
      <c r="I1664" s="86">
        <v>0</v>
      </c>
      <c r="J1664" s="86">
        <v>926053000</v>
      </c>
      <c r="K1664" s="83" t="s">
        <v>48</v>
      </c>
      <c r="L1664" s="83" t="s">
        <v>49</v>
      </c>
      <c r="M1664" s="91">
        <f t="shared" si="153"/>
        <v>3418187000</v>
      </c>
      <c r="N1664" s="86">
        <f t="shared" si="154"/>
        <v>1595504000</v>
      </c>
      <c r="O1664" s="86">
        <f t="shared" si="155"/>
        <v>1822683000</v>
      </c>
      <c r="P1664" s="83">
        <f t="shared" si="151"/>
        <v>0.17996078877805119</v>
      </c>
      <c r="Q1664" s="83">
        <f t="shared" si="152"/>
        <v>0.3374912854900608</v>
      </c>
    </row>
    <row r="1665" spans="1:17">
      <c r="A1665" s="87">
        <v>1734</v>
      </c>
      <c r="B1665" s="87" t="s">
        <v>570</v>
      </c>
      <c r="C1665" s="87" t="s">
        <v>21</v>
      </c>
      <c r="D1665" s="84">
        <v>42937</v>
      </c>
      <c r="E1665" s="88">
        <f t="shared" si="156"/>
        <v>2017</v>
      </c>
      <c r="F1665" s="89">
        <v>10914922000</v>
      </c>
      <c r="G1665" s="89">
        <v>7408278000</v>
      </c>
      <c r="H1665" s="89">
        <v>681226000</v>
      </c>
      <c r="I1665" s="89">
        <v>0</v>
      </c>
      <c r="J1665" s="89">
        <v>977863000</v>
      </c>
      <c r="K1665" s="87" t="s">
        <v>48</v>
      </c>
      <c r="L1665" s="87" t="s">
        <v>49</v>
      </c>
      <c r="M1665" s="90">
        <f t="shared" si="153"/>
        <v>3506644000</v>
      </c>
      <c r="N1665" s="89">
        <f t="shared" si="154"/>
        <v>1659089000</v>
      </c>
      <c r="O1665" s="89">
        <f t="shared" si="155"/>
        <v>1847555000</v>
      </c>
      <c r="P1665" s="87">
        <f t="shared" si="151"/>
        <v>0.16926873137526774</v>
      </c>
      <c r="Q1665" s="87">
        <f t="shared" si="152"/>
        <v>0.32127064215392465</v>
      </c>
    </row>
    <row r="1666" spans="1:17">
      <c r="A1666" s="83">
        <v>1735</v>
      </c>
      <c r="B1666" s="83" t="s">
        <v>570</v>
      </c>
      <c r="C1666" s="83" t="s">
        <v>22</v>
      </c>
      <c r="D1666" s="84">
        <v>42938</v>
      </c>
      <c r="E1666" s="85">
        <f t="shared" si="156"/>
        <v>2017</v>
      </c>
      <c r="F1666" s="86">
        <v>11686135000</v>
      </c>
      <c r="G1666" s="86">
        <v>7951352000</v>
      </c>
      <c r="H1666" s="86">
        <v>767608000</v>
      </c>
      <c r="I1666" s="86">
        <v>0</v>
      </c>
      <c r="J1666" s="86">
        <v>1019045000</v>
      </c>
      <c r="K1666" s="83" t="s">
        <v>48</v>
      </c>
      <c r="L1666" s="83" t="s">
        <v>49</v>
      </c>
      <c r="M1666" s="91">
        <f t="shared" si="153"/>
        <v>3734783000</v>
      </c>
      <c r="N1666" s="86">
        <f t="shared" si="154"/>
        <v>1786653000</v>
      </c>
      <c r="O1666" s="86">
        <f t="shared" si="155"/>
        <v>1948130000</v>
      </c>
      <c r="P1666" s="83">
        <f t="shared" ref="P1666:P1711" si="157">O1666/F1666</f>
        <v>0.16670438943243424</v>
      </c>
      <c r="Q1666" s="83">
        <f t="shared" ref="Q1666:Q1711" si="158">1-G1666/F1666</f>
        <v>0.31959095115707636</v>
      </c>
    </row>
    <row r="1667" spans="1:17">
      <c r="A1667" s="87">
        <v>1736</v>
      </c>
      <c r="B1667" s="87" t="s">
        <v>570</v>
      </c>
      <c r="C1667" s="87" t="s">
        <v>23</v>
      </c>
      <c r="D1667" s="84">
        <v>42939</v>
      </c>
      <c r="E1667" s="88">
        <f t="shared" si="156"/>
        <v>2017</v>
      </c>
      <c r="F1667" s="89">
        <v>11024486000</v>
      </c>
      <c r="G1667" s="89">
        <v>7033633000</v>
      </c>
      <c r="H1667" s="89">
        <v>865817000</v>
      </c>
      <c r="I1667" s="89">
        <v>0</v>
      </c>
      <c r="J1667" s="89">
        <v>1124524000</v>
      </c>
      <c r="K1667" s="87" t="s">
        <v>48</v>
      </c>
      <c r="L1667" s="87" t="s">
        <v>49</v>
      </c>
      <c r="M1667" s="90">
        <f t="shared" ref="M1667:M1711" si="159">F1667-G1667</f>
        <v>3990853000</v>
      </c>
      <c r="N1667" s="89">
        <f t="shared" ref="N1667:N1711" si="160">H1667+I1667+J1667</f>
        <v>1990341000</v>
      </c>
      <c r="O1667" s="89">
        <f t="shared" ref="O1667:O1711" si="161">M1667-N1667</f>
        <v>2000512000</v>
      </c>
      <c r="P1667" s="87">
        <f t="shared" si="157"/>
        <v>0.1814607955418511</v>
      </c>
      <c r="Q1667" s="87">
        <f t="shared" si="158"/>
        <v>0.36199900838914389</v>
      </c>
    </row>
    <row r="1668" spans="1:17">
      <c r="A1668" s="83">
        <v>1737</v>
      </c>
      <c r="B1668" s="83" t="s">
        <v>571</v>
      </c>
      <c r="C1668" s="83" t="s">
        <v>18</v>
      </c>
      <c r="D1668" s="84">
        <v>42940</v>
      </c>
      <c r="E1668" s="85">
        <f t="shared" si="156"/>
        <v>2017</v>
      </c>
      <c r="F1668" s="86">
        <v>7232397000</v>
      </c>
      <c r="G1668" s="86">
        <v>5165169000</v>
      </c>
      <c r="H1668" s="86">
        <v>0</v>
      </c>
      <c r="I1668" s="86">
        <v>0</v>
      </c>
      <c r="J1668" s="86">
        <v>1173955000</v>
      </c>
      <c r="K1668" s="83" t="s">
        <v>53</v>
      </c>
      <c r="L1668" s="83" t="s">
        <v>56</v>
      </c>
      <c r="M1668" s="91">
        <f t="shared" si="159"/>
        <v>2067228000</v>
      </c>
      <c r="N1668" s="86">
        <f t="shared" si="160"/>
        <v>1173955000</v>
      </c>
      <c r="O1668" s="86">
        <f t="shared" si="161"/>
        <v>893273000</v>
      </c>
      <c r="P1668" s="83">
        <f t="shared" si="157"/>
        <v>0.12350995112685324</v>
      </c>
      <c r="Q1668" s="83">
        <f t="shared" si="158"/>
        <v>0.28582888909444548</v>
      </c>
    </row>
    <row r="1669" spans="1:17">
      <c r="A1669" s="87">
        <v>1738</v>
      </c>
      <c r="B1669" s="87" t="s">
        <v>571</v>
      </c>
      <c r="C1669" s="87" t="s">
        <v>21</v>
      </c>
      <c r="D1669" s="84">
        <v>42941</v>
      </c>
      <c r="E1669" s="88">
        <f t="shared" si="156"/>
        <v>2017</v>
      </c>
      <c r="F1669" s="89">
        <v>7541234000</v>
      </c>
      <c r="G1669" s="89">
        <v>5106489000</v>
      </c>
      <c r="H1669" s="89">
        <v>0</v>
      </c>
      <c r="I1669" s="89">
        <v>0</v>
      </c>
      <c r="J1669" s="89">
        <v>1213178000</v>
      </c>
      <c r="K1669" s="87" t="s">
        <v>53</v>
      </c>
      <c r="L1669" s="87" t="s">
        <v>56</v>
      </c>
      <c r="M1669" s="90">
        <f t="shared" si="159"/>
        <v>2434745000</v>
      </c>
      <c r="N1669" s="89">
        <f t="shared" si="160"/>
        <v>1213178000</v>
      </c>
      <c r="O1669" s="89">
        <f t="shared" si="161"/>
        <v>1221567000</v>
      </c>
      <c r="P1669" s="87">
        <f t="shared" si="157"/>
        <v>0.16198502791452965</v>
      </c>
      <c r="Q1669" s="87">
        <f t="shared" si="158"/>
        <v>0.32285763841832782</v>
      </c>
    </row>
    <row r="1670" spans="1:17">
      <c r="A1670" s="83">
        <v>1739</v>
      </c>
      <c r="B1670" s="83" t="s">
        <v>571</v>
      </c>
      <c r="C1670" s="83" t="s">
        <v>22</v>
      </c>
      <c r="D1670" s="84">
        <v>42942</v>
      </c>
      <c r="E1670" s="85">
        <f t="shared" si="156"/>
        <v>2017</v>
      </c>
      <c r="F1670" s="86">
        <v>6602267000</v>
      </c>
      <c r="G1670" s="86">
        <v>4239474000</v>
      </c>
      <c r="H1670" s="86">
        <v>0</v>
      </c>
      <c r="I1670" s="86">
        <v>0</v>
      </c>
      <c r="J1670" s="86">
        <v>1341315000</v>
      </c>
      <c r="K1670" s="83" t="s">
        <v>53</v>
      </c>
      <c r="L1670" s="83" t="s">
        <v>56</v>
      </c>
      <c r="M1670" s="91">
        <f t="shared" si="159"/>
        <v>2362793000</v>
      </c>
      <c r="N1670" s="86">
        <f t="shared" si="160"/>
        <v>1341315000</v>
      </c>
      <c r="O1670" s="86">
        <f t="shared" si="161"/>
        <v>1021478000</v>
      </c>
      <c r="P1670" s="83">
        <f t="shared" si="157"/>
        <v>0.15471625125127475</v>
      </c>
      <c r="Q1670" s="83">
        <f t="shared" si="158"/>
        <v>0.35787601440535499</v>
      </c>
    </row>
    <row r="1671" spans="1:17">
      <c r="A1671" s="87">
        <v>1740</v>
      </c>
      <c r="B1671" s="87" t="s">
        <v>571</v>
      </c>
      <c r="C1671" s="87" t="s">
        <v>23</v>
      </c>
      <c r="D1671" s="84">
        <v>42943</v>
      </c>
      <c r="E1671" s="88">
        <f t="shared" si="156"/>
        <v>2017</v>
      </c>
      <c r="F1671" s="89">
        <v>9308926000</v>
      </c>
      <c r="G1671" s="89">
        <v>6199645000</v>
      </c>
      <c r="H1671" s="89">
        <v>0</v>
      </c>
      <c r="I1671" s="89">
        <v>0</v>
      </c>
      <c r="J1671" s="89">
        <v>1966939000</v>
      </c>
      <c r="K1671" s="87" t="s">
        <v>53</v>
      </c>
      <c r="L1671" s="87" t="s">
        <v>56</v>
      </c>
      <c r="M1671" s="90">
        <f t="shared" si="159"/>
        <v>3109281000</v>
      </c>
      <c r="N1671" s="89">
        <f t="shared" si="160"/>
        <v>1966939000</v>
      </c>
      <c r="O1671" s="89">
        <f t="shared" si="161"/>
        <v>1142342000</v>
      </c>
      <c r="P1671" s="87">
        <f t="shared" si="157"/>
        <v>0.12271469340286946</v>
      </c>
      <c r="Q1671" s="87">
        <f t="shared" si="158"/>
        <v>0.33401071186944664</v>
      </c>
    </row>
    <row r="1672" spans="1:17">
      <c r="A1672" s="83">
        <v>1741</v>
      </c>
      <c r="B1672" s="83" t="s">
        <v>572</v>
      </c>
      <c r="C1672" s="83" t="s">
        <v>18</v>
      </c>
      <c r="D1672" s="84">
        <v>42944</v>
      </c>
      <c r="E1672" s="85">
        <f t="shared" si="156"/>
        <v>2017</v>
      </c>
      <c r="F1672" s="86">
        <v>2168652000</v>
      </c>
      <c r="G1672" s="86">
        <v>737206000</v>
      </c>
      <c r="H1672" s="86">
        <v>365684000</v>
      </c>
      <c r="I1672" s="86">
        <v>475522000</v>
      </c>
      <c r="J1672" s="86">
        <v>9508000</v>
      </c>
      <c r="K1672" s="83" t="s">
        <v>28</v>
      </c>
      <c r="L1672" s="83" t="s">
        <v>40</v>
      </c>
      <c r="M1672" s="91">
        <f t="shared" si="159"/>
        <v>1431446000</v>
      </c>
      <c r="N1672" s="86">
        <f t="shared" si="160"/>
        <v>850714000</v>
      </c>
      <c r="O1672" s="86">
        <f t="shared" si="161"/>
        <v>580732000</v>
      </c>
      <c r="P1672" s="83">
        <f t="shared" si="157"/>
        <v>0.26778478059181465</v>
      </c>
      <c r="Q1672" s="83">
        <f t="shared" si="158"/>
        <v>0.66006256421039433</v>
      </c>
    </row>
    <row r="1673" spans="1:17">
      <c r="A1673" s="87">
        <v>1742</v>
      </c>
      <c r="B1673" s="87" t="s">
        <v>572</v>
      </c>
      <c r="C1673" s="87" t="s">
        <v>21</v>
      </c>
      <c r="D1673" s="84">
        <v>42945</v>
      </c>
      <c r="E1673" s="88">
        <f t="shared" si="156"/>
        <v>2017</v>
      </c>
      <c r="F1673" s="89">
        <v>2382531000</v>
      </c>
      <c r="G1673" s="89">
        <v>743253000</v>
      </c>
      <c r="H1673" s="89">
        <v>378607000</v>
      </c>
      <c r="I1673" s="89">
        <v>492447000</v>
      </c>
      <c r="J1673" s="89">
        <v>9887000</v>
      </c>
      <c r="K1673" s="87" t="s">
        <v>28</v>
      </c>
      <c r="L1673" s="87" t="s">
        <v>40</v>
      </c>
      <c r="M1673" s="90">
        <f t="shared" si="159"/>
        <v>1639278000</v>
      </c>
      <c r="N1673" s="89">
        <f t="shared" si="160"/>
        <v>880941000</v>
      </c>
      <c r="O1673" s="89">
        <f t="shared" si="161"/>
        <v>758337000</v>
      </c>
      <c r="P1673" s="87">
        <f t="shared" si="157"/>
        <v>0.3182905070280303</v>
      </c>
      <c r="Q1673" s="87">
        <f t="shared" si="158"/>
        <v>0.68804057533773955</v>
      </c>
    </row>
    <row r="1674" spans="1:17">
      <c r="A1674" s="83">
        <v>1743</v>
      </c>
      <c r="B1674" s="83" t="s">
        <v>572</v>
      </c>
      <c r="C1674" s="83" t="s">
        <v>22</v>
      </c>
      <c r="D1674" s="84">
        <v>42946</v>
      </c>
      <c r="E1674" s="85">
        <f t="shared" si="156"/>
        <v>2017</v>
      </c>
      <c r="F1674" s="86">
        <v>2377344000</v>
      </c>
      <c r="G1674" s="86">
        <v>708823000</v>
      </c>
      <c r="H1674" s="86">
        <v>353670000</v>
      </c>
      <c r="I1674" s="86">
        <v>525745000</v>
      </c>
      <c r="J1674" s="86">
        <v>9537000</v>
      </c>
      <c r="K1674" s="83" t="s">
        <v>28</v>
      </c>
      <c r="L1674" s="83" t="s">
        <v>40</v>
      </c>
      <c r="M1674" s="91">
        <f t="shared" si="159"/>
        <v>1668521000</v>
      </c>
      <c r="N1674" s="86">
        <f t="shared" si="160"/>
        <v>888952000</v>
      </c>
      <c r="O1674" s="86">
        <f t="shared" si="161"/>
        <v>779569000</v>
      </c>
      <c r="P1674" s="83">
        <f t="shared" si="157"/>
        <v>0.32791594317019329</v>
      </c>
      <c r="Q1674" s="83">
        <f t="shared" si="158"/>
        <v>0.70184247630969687</v>
      </c>
    </row>
    <row r="1675" spans="1:17">
      <c r="A1675" s="87">
        <v>1744</v>
      </c>
      <c r="B1675" s="87" t="s">
        <v>572</v>
      </c>
      <c r="C1675" s="87" t="s">
        <v>23</v>
      </c>
      <c r="D1675" s="84">
        <v>42947</v>
      </c>
      <c r="E1675" s="88">
        <f t="shared" si="156"/>
        <v>2017</v>
      </c>
      <c r="F1675" s="89">
        <v>2213881000</v>
      </c>
      <c r="G1675" s="89">
        <v>671907000</v>
      </c>
      <c r="H1675" s="89">
        <v>331652000</v>
      </c>
      <c r="I1675" s="89">
        <v>533891000</v>
      </c>
      <c r="J1675" s="89">
        <v>6550000</v>
      </c>
      <c r="K1675" s="87" t="s">
        <v>28</v>
      </c>
      <c r="L1675" s="87" t="s">
        <v>40</v>
      </c>
      <c r="M1675" s="90">
        <f t="shared" si="159"/>
        <v>1541974000</v>
      </c>
      <c r="N1675" s="89">
        <f t="shared" si="160"/>
        <v>872093000</v>
      </c>
      <c r="O1675" s="89">
        <f t="shared" si="161"/>
        <v>669881000</v>
      </c>
      <c r="P1675" s="87">
        <f t="shared" si="157"/>
        <v>0.30258220744475428</v>
      </c>
      <c r="Q1675" s="87">
        <f t="shared" si="158"/>
        <v>0.69650265755024776</v>
      </c>
    </row>
    <row r="1676" spans="1:17">
      <c r="A1676" s="83">
        <v>1745</v>
      </c>
      <c r="B1676" s="83" t="s">
        <v>573</v>
      </c>
      <c r="C1676" s="83" t="s">
        <v>18</v>
      </c>
      <c r="D1676" s="84">
        <v>42948</v>
      </c>
      <c r="E1676" s="85">
        <f t="shared" si="156"/>
        <v>2017</v>
      </c>
      <c r="F1676" s="86">
        <v>451509000000</v>
      </c>
      <c r="G1676" s="86">
        <v>302056000000</v>
      </c>
      <c r="H1676" s="86">
        <v>81844000000</v>
      </c>
      <c r="I1676" s="86">
        <v>0</v>
      </c>
      <c r="J1676" s="86">
        <v>15888000000</v>
      </c>
      <c r="K1676" s="83" t="s">
        <v>89</v>
      </c>
      <c r="L1676" s="83" t="s">
        <v>150</v>
      </c>
      <c r="M1676" s="91">
        <f t="shared" si="159"/>
        <v>149453000000</v>
      </c>
      <c r="N1676" s="86">
        <f t="shared" si="160"/>
        <v>97732000000</v>
      </c>
      <c r="O1676" s="86">
        <f t="shared" si="161"/>
        <v>51721000000</v>
      </c>
      <c r="P1676" s="83">
        <f t="shared" si="157"/>
        <v>0.11455142643889712</v>
      </c>
      <c r="Q1676" s="83">
        <f t="shared" si="158"/>
        <v>0.33100779829416471</v>
      </c>
    </row>
    <row r="1677" spans="1:17">
      <c r="A1677" s="87">
        <v>1746</v>
      </c>
      <c r="B1677" s="87" t="s">
        <v>573</v>
      </c>
      <c r="C1677" s="87" t="s">
        <v>21</v>
      </c>
      <c r="D1677" s="84">
        <v>42949</v>
      </c>
      <c r="E1677" s="88">
        <f t="shared" si="156"/>
        <v>2017</v>
      </c>
      <c r="F1677" s="89">
        <v>420836000000</v>
      </c>
      <c r="G1677" s="89">
        <v>284681000000</v>
      </c>
      <c r="H1677" s="89">
        <v>76696000000</v>
      </c>
      <c r="I1677" s="89">
        <v>0</v>
      </c>
      <c r="J1677" s="89">
        <v>17182000000</v>
      </c>
      <c r="K1677" s="87" t="s">
        <v>89</v>
      </c>
      <c r="L1677" s="87" t="s">
        <v>150</v>
      </c>
      <c r="M1677" s="90">
        <f t="shared" si="159"/>
        <v>136155000000</v>
      </c>
      <c r="N1677" s="89">
        <f t="shared" si="160"/>
        <v>93878000000</v>
      </c>
      <c r="O1677" s="89">
        <f t="shared" si="161"/>
        <v>42277000000</v>
      </c>
      <c r="P1677" s="87">
        <f t="shared" si="157"/>
        <v>0.10045956144436312</v>
      </c>
      <c r="Q1677" s="87">
        <f t="shared" si="158"/>
        <v>0.32353458354323295</v>
      </c>
    </row>
    <row r="1678" spans="1:17">
      <c r="A1678" s="83">
        <v>1747</v>
      </c>
      <c r="B1678" s="83" t="s">
        <v>573</v>
      </c>
      <c r="C1678" s="83" t="s">
        <v>22</v>
      </c>
      <c r="D1678" s="84">
        <v>42950</v>
      </c>
      <c r="E1678" s="85">
        <f t="shared" si="156"/>
        <v>2017</v>
      </c>
      <c r="F1678" s="86">
        <v>394105000000</v>
      </c>
      <c r="G1678" s="86">
        <v>266831000000</v>
      </c>
      <c r="H1678" s="86">
        <v>74226000000</v>
      </c>
      <c r="I1678" s="86">
        <v>0</v>
      </c>
      <c r="J1678" s="86">
        <v>17297000000</v>
      </c>
      <c r="K1678" s="83" t="s">
        <v>89</v>
      </c>
      <c r="L1678" s="83" t="s">
        <v>150</v>
      </c>
      <c r="M1678" s="91">
        <f t="shared" si="159"/>
        <v>127274000000</v>
      </c>
      <c r="N1678" s="86">
        <f t="shared" si="160"/>
        <v>91523000000</v>
      </c>
      <c r="O1678" s="86">
        <f t="shared" si="161"/>
        <v>35751000000</v>
      </c>
      <c r="P1678" s="83">
        <f t="shared" si="157"/>
        <v>9.0714403521904061E-2</v>
      </c>
      <c r="Q1678" s="83">
        <f t="shared" si="158"/>
        <v>0.3229443929917154</v>
      </c>
    </row>
    <row r="1679" spans="1:17">
      <c r="A1679" s="87">
        <v>1748</v>
      </c>
      <c r="B1679" s="87" t="s">
        <v>573</v>
      </c>
      <c r="C1679" s="87" t="s">
        <v>23</v>
      </c>
      <c r="D1679" s="84">
        <v>42951</v>
      </c>
      <c r="E1679" s="88">
        <f t="shared" si="156"/>
        <v>2017</v>
      </c>
      <c r="F1679" s="89">
        <v>259488000000</v>
      </c>
      <c r="G1679" s="89">
        <v>165590000000</v>
      </c>
      <c r="H1679" s="89">
        <v>61444000000</v>
      </c>
      <c r="I1679" s="89">
        <v>0</v>
      </c>
      <c r="J1679" s="89">
        <v>18048000000</v>
      </c>
      <c r="K1679" s="87" t="s">
        <v>89</v>
      </c>
      <c r="L1679" s="87" t="s">
        <v>150</v>
      </c>
      <c r="M1679" s="90">
        <f t="shared" si="159"/>
        <v>93898000000</v>
      </c>
      <c r="N1679" s="89">
        <f t="shared" si="160"/>
        <v>79492000000</v>
      </c>
      <c r="O1679" s="89">
        <f t="shared" si="161"/>
        <v>14406000000</v>
      </c>
      <c r="P1679" s="87">
        <f t="shared" si="157"/>
        <v>5.551701812800592E-2</v>
      </c>
      <c r="Q1679" s="87">
        <f t="shared" si="158"/>
        <v>0.36185873720557404</v>
      </c>
    </row>
    <row r="1680" spans="1:17">
      <c r="A1680" s="83">
        <v>1749</v>
      </c>
      <c r="B1680" s="83" t="s">
        <v>574</v>
      </c>
      <c r="C1680" s="83" t="s">
        <v>18</v>
      </c>
      <c r="D1680" s="84">
        <v>42952</v>
      </c>
      <c r="E1680" s="85">
        <f t="shared" si="156"/>
        <v>2017</v>
      </c>
      <c r="F1680" s="86">
        <v>2928429000</v>
      </c>
      <c r="G1680" s="86">
        <v>1372042000</v>
      </c>
      <c r="H1680" s="86">
        <v>1148731000</v>
      </c>
      <c r="I1680" s="86">
        <v>0</v>
      </c>
      <c r="J1680" s="86">
        <v>0</v>
      </c>
      <c r="K1680" s="83" t="s">
        <v>31</v>
      </c>
      <c r="L1680" s="83" t="s">
        <v>172</v>
      </c>
      <c r="M1680" s="91">
        <f t="shared" si="159"/>
        <v>1556387000</v>
      </c>
      <c r="N1680" s="86">
        <f t="shared" si="160"/>
        <v>1148731000</v>
      </c>
      <c r="O1680" s="86">
        <f t="shared" si="161"/>
        <v>407656000</v>
      </c>
      <c r="P1680" s="83">
        <f t="shared" si="157"/>
        <v>0.13920637993955121</v>
      </c>
      <c r="Q1680" s="83">
        <f t="shared" si="158"/>
        <v>0.53147506734839745</v>
      </c>
    </row>
    <row r="1681" spans="1:17">
      <c r="A1681" s="87">
        <v>1750</v>
      </c>
      <c r="B1681" s="87" t="s">
        <v>574</v>
      </c>
      <c r="C1681" s="87" t="s">
        <v>21</v>
      </c>
      <c r="D1681" s="84">
        <v>42953</v>
      </c>
      <c r="E1681" s="88">
        <f t="shared" si="156"/>
        <v>2017</v>
      </c>
      <c r="F1681" s="89">
        <v>2950800000</v>
      </c>
      <c r="G1681" s="89">
        <v>1373400000</v>
      </c>
      <c r="H1681" s="89">
        <v>1144800000</v>
      </c>
      <c r="I1681" s="89">
        <v>0</v>
      </c>
      <c r="J1681" s="89">
        <v>0</v>
      </c>
      <c r="K1681" s="87" t="s">
        <v>31</v>
      </c>
      <c r="L1681" s="87" t="s">
        <v>172</v>
      </c>
      <c r="M1681" s="90">
        <f t="shared" si="159"/>
        <v>1577400000</v>
      </c>
      <c r="N1681" s="89">
        <f t="shared" si="160"/>
        <v>1144800000</v>
      </c>
      <c r="O1681" s="89">
        <f t="shared" si="161"/>
        <v>432600000</v>
      </c>
      <c r="P1681" s="87">
        <f t="shared" si="157"/>
        <v>0.14660431069540464</v>
      </c>
      <c r="Q1681" s="87">
        <f t="shared" si="158"/>
        <v>0.53456689711264738</v>
      </c>
    </row>
    <row r="1682" spans="1:17">
      <c r="A1682" s="83">
        <v>1751</v>
      </c>
      <c r="B1682" s="83" t="s">
        <v>574</v>
      </c>
      <c r="C1682" s="83" t="s">
        <v>22</v>
      </c>
      <c r="D1682" s="84">
        <v>42954</v>
      </c>
      <c r="E1682" s="85">
        <f t="shared" si="156"/>
        <v>2017</v>
      </c>
      <c r="F1682" s="86">
        <v>2922600000</v>
      </c>
      <c r="G1682" s="86">
        <v>1322800000</v>
      </c>
      <c r="H1682" s="86">
        <v>1143100000</v>
      </c>
      <c r="I1682" s="86">
        <v>0</v>
      </c>
      <c r="J1682" s="86">
        <v>0</v>
      </c>
      <c r="K1682" s="83" t="s">
        <v>31</v>
      </c>
      <c r="L1682" s="83" t="s">
        <v>172</v>
      </c>
      <c r="M1682" s="91">
        <f t="shared" si="159"/>
        <v>1599800000</v>
      </c>
      <c r="N1682" s="86">
        <f t="shared" si="160"/>
        <v>1143100000</v>
      </c>
      <c r="O1682" s="86">
        <f t="shared" si="161"/>
        <v>456700000</v>
      </c>
      <c r="P1682" s="83">
        <f t="shared" si="157"/>
        <v>0.15626496954766303</v>
      </c>
      <c r="Q1682" s="83">
        <f t="shared" si="158"/>
        <v>0.54738931088756582</v>
      </c>
    </row>
    <row r="1683" spans="1:17">
      <c r="A1683" s="87">
        <v>1752</v>
      </c>
      <c r="B1683" s="87" t="s">
        <v>574</v>
      </c>
      <c r="C1683" s="87" t="s">
        <v>23</v>
      </c>
      <c r="D1683" s="84">
        <v>42955</v>
      </c>
      <c r="E1683" s="88">
        <f t="shared" si="156"/>
        <v>2017</v>
      </c>
      <c r="F1683" s="89">
        <v>2674300000</v>
      </c>
      <c r="G1683" s="89">
        <v>1157100000</v>
      </c>
      <c r="H1683" s="89">
        <v>1077300000</v>
      </c>
      <c r="I1683" s="89">
        <v>0</v>
      </c>
      <c r="J1683" s="89">
        <v>0</v>
      </c>
      <c r="K1683" s="87" t="s">
        <v>31</v>
      </c>
      <c r="L1683" s="87" t="s">
        <v>172</v>
      </c>
      <c r="M1683" s="90">
        <f t="shared" si="159"/>
        <v>1517200000</v>
      </c>
      <c r="N1683" s="89">
        <f t="shared" si="160"/>
        <v>1077300000</v>
      </c>
      <c r="O1683" s="89">
        <f t="shared" si="161"/>
        <v>439900000</v>
      </c>
      <c r="P1683" s="87">
        <f t="shared" si="157"/>
        <v>0.16449164267284896</v>
      </c>
      <c r="Q1683" s="87">
        <f t="shared" si="158"/>
        <v>0.56732602924129671</v>
      </c>
    </row>
    <row r="1684" spans="1:17">
      <c r="A1684" s="83">
        <v>1753</v>
      </c>
      <c r="B1684" s="83" t="s">
        <v>575</v>
      </c>
      <c r="C1684" s="83" t="s">
        <v>18</v>
      </c>
      <c r="D1684" s="84">
        <v>42956</v>
      </c>
      <c r="E1684" s="85">
        <f t="shared" si="156"/>
        <v>2017</v>
      </c>
      <c r="F1684" s="86">
        <v>20421000000</v>
      </c>
      <c r="G1684" s="86">
        <v>13634000000</v>
      </c>
      <c r="H1684" s="86">
        <v>4398000000</v>
      </c>
      <c r="I1684" s="86">
        <v>655000000</v>
      </c>
      <c r="J1684" s="86">
        <v>301000000</v>
      </c>
      <c r="K1684" s="83" t="s">
        <v>28</v>
      </c>
      <c r="L1684" s="83" t="s">
        <v>182</v>
      </c>
      <c r="M1684" s="91">
        <f t="shared" si="159"/>
        <v>6787000000</v>
      </c>
      <c r="N1684" s="86">
        <f t="shared" si="160"/>
        <v>5354000000</v>
      </c>
      <c r="O1684" s="86">
        <f t="shared" si="161"/>
        <v>1433000000</v>
      </c>
      <c r="P1684" s="83">
        <f t="shared" si="157"/>
        <v>7.0172861270261011E-2</v>
      </c>
      <c r="Q1684" s="83">
        <f t="shared" si="158"/>
        <v>0.33235394936584883</v>
      </c>
    </row>
    <row r="1685" spans="1:17">
      <c r="A1685" s="87">
        <v>1754</v>
      </c>
      <c r="B1685" s="87" t="s">
        <v>575</v>
      </c>
      <c r="C1685" s="87" t="s">
        <v>21</v>
      </c>
      <c r="D1685" s="84">
        <v>42957</v>
      </c>
      <c r="E1685" s="88">
        <f t="shared" si="156"/>
        <v>2017</v>
      </c>
      <c r="F1685" s="89">
        <v>20006000000</v>
      </c>
      <c r="G1685" s="89">
        <v>13521000000</v>
      </c>
      <c r="H1685" s="89">
        <v>4219000000</v>
      </c>
      <c r="I1685" s="89">
        <v>603000000</v>
      </c>
      <c r="J1685" s="89">
        <v>305000000</v>
      </c>
      <c r="K1685" s="87" t="s">
        <v>28</v>
      </c>
      <c r="L1685" s="87" t="s">
        <v>182</v>
      </c>
      <c r="M1685" s="90">
        <f t="shared" si="159"/>
        <v>6485000000</v>
      </c>
      <c r="N1685" s="89">
        <f t="shared" si="160"/>
        <v>5127000000</v>
      </c>
      <c r="O1685" s="89">
        <f t="shared" si="161"/>
        <v>1358000000</v>
      </c>
      <c r="P1685" s="87">
        <f t="shared" si="157"/>
        <v>6.7879636109167252E-2</v>
      </c>
      <c r="Q1685" s="87">
        <f t="shared" si="158"/>
        <v>0.32415275417374789</v>
      </c>
    </row>
    <row r="1686" spans="1:17">
      <c r="A1686" s="83">
        <v>1755</v>
      </c>
      <c r="B1686" s="83" t="s">
        <v>575</v>
      </c>
      <c r="C1686" s="83" t="s">
        <v>22</v>
      </c>
      <c r="D1686" s="84">
        <v>42958</v>
      </c>
      <c r="E1686" s="85">
        <f t="shared" si="156"/>
        <v>2017</v>
      </c>
      <c r="F1686" s="86">
        <v>19540000000</v>
      </c>
      <c r="G1686" s="86">
        <v>13294000000</v>
      </c>
      <c r="H1686" s="86">
        <v>4020000000</v>
      </c>
      <c r="I1686" s="86">
        <v>577000000</v>
      </c>
      <c r="J1686" s="86">
        <v>315000000</v>
      </c>
      <c r="K1686" s="83" t="s">
        <v>28</v>
      </c>
      <c r="L1686" s="83" t="s">
        <v>182</v>
      </c>
      <c r="M1686" s="91">
        <f t="shared" si="159"/>
        <v>6246000000</v>
      </c>
      <c r="N1686" s="86">
        <f t="shared" si="160"/>
        <v>4912000000</v>
      </c>
      <c r="O1686" s="86">
        <f t="shared" si="161"/>
        <v>1334000000</v>
      </c>
      <c r="P1686" s="83">
        <f t="shared" si="157"/>
        <v>6.8270214943705221E-2</v>
      </c>
      <c r="Q1686" s="83">
        <f t="shared" si="158"/>
        <v>0.31965199590583415</v>
      </c>
    </row>
    <row r="1687" spans="1:17">
      <c r="A1687" s="87">
        <v>1756</v>
      </c>
      <c r="B1687" s="87" t="s">
        <v>575</v>
      </c>
      <c r="C1687" s="87" t="s">
        <v>23</v>
      </c>
      <c r="D1687" s="84">
        <v>42959</v>
      </c>
      <c r="E1687" s="88">
        <f t="shared" si="156"/>
        <v>2017</v>
      </c>
      <c r="F1687" s="89">
        <v>18045000000</v>
      </c>
      <c r="G1687" s="89">
        <v>12782000000</v>
      </c>
      <c r="H1687" s="89">
        <v>3792000000</v>
      </c>
      <c r="I1687" s="89">
        <v>563000000</v>
      </c>
      <c r="J1687" s="89">
        <v>310000000</v>
      </c>
      <c r="K1687" s="87" t="s">
        <v>28</v>
      </c>
      <c r="L1687" s="87" t="s">
        <v>182</v>
      </c>
      <c r="M1687" s="90">
        <f t="shared" si="159"/>
        <v>5263000000</v>
      </c>
      <c r="N1687" s="89">
        <f t="shared" si="160"/>
        <v>4665000000</v>
      </c>
      <c r="O1687" s="89">
        <f t="shared" si="161"/>
        <v>598000000</v>
      </c>
      <c r="P1687" s="87">
        <f t="shared" si="157"/>
        <v>3.3139373787752842E-2</v>
      </c>
      <c r="Q1687" s="87">
        <f t="shared" si="158"/>
        <v>0.29165973954003876</v>
      </c>
    </row>
    <row r="1688" spans="1:17">
      <c r="A1688" s="83">
        <v>1757</v>
      </c>
      <c r="B1688" s="83" t="s">
        <v>576</v>
      </c>
      <c r="C1688" s="83" t="s">
        <v>18</v>
      </c>
      <c r="D1688" s="84">
        <v>42960</v>
      </c>
      <c r="E1688" s="85">
        <f t="shared" si="156"/>
        <v>2017</v>
      </c>
      <c r="F1688" s="86">
        <v>3791000000</v>
      </c>
      <c r="G1688" s="86">
        <v>2289000000</v>
      </c>
      <c r="H1688" s="86">
        <v>936000000</v>
      </c>
      <c r="I1688" s="86">
        <v>106000000</v>
      </c>
      <c r="J1688" s="86">
        <v>0</v>
      </c>
      <c r="K1688" s="83" t="s">
        <v>19</v>
      </c>
      <c r="L1688" s="83" t="s">
        <v>170</v>
      </c>
      <c r="M1688" s="91">
        <f t="shared" si="159"/>
        <v>1502000000</v>
      </c>
      <c r="N1688" s="86">
        <f t="shared" si="160"/>
        <v>1042000000</v>
      </c>
      <c r="O1688" s="86">
        <f t="shared" si="161"/>
        <v>460000000</v>
      </c>
      <c r="P1688" s="83">
        <f t="shared" si="157"/>
        <v>0.12134001582695858</v>
      </c>
      <c r="Q1688" s="83">
        <f t="shared" si="158"/>
        <v>0.39620152993933</v>
      </c>
    </row>
    <row r="1689" spans="1:17">
      <c r="A1689" s="87">
        <v>1758</v>
      </c>
      <c r="B1689" s="87" t="s">
        <v>576</v>
      </c>
      <c r="C1689" s="87" t="s">
        <v>21</v>
      </c>
      <c r="D1689" s="84">
        <v>42961</v>
      </c>
      <c r="E1689" s="88">
        <f t="shared" si="156"/>
        <v>2017</v>
      </c>
      <c r="F1689" s="89">
        <v>3837000000</v>
      </c>
      <c r="G1689" s="89">
        <v>2338000000</v>
      </c>
      <c r="H1689" s="89">
        <v>990000000</v>
      </c>
      <c r="I1689" s="89">
        <v>104000000</v>
      </c>
      <c r="J1689" s="89">
        <v>0</v>
      </c>
      <c r="K1689" s="87" t="s">
        <v>19</v>
      </c>
      <c r="L1689" s="87" t="s">
        <v>170</v>
      </c>
      <c r="M1689" s="90">
        <f t="shared" si="159"/>
        <v>1499000000</v>
      </c>
      <c r="N1689" s="89">
        <f t="shared" si="160"/>
        <v>1094000000</v>
      </c>
      <c r="O1689" s="89">
        <f t="shared" si="161"/>
        <v>405000000</v>
      </c>
      <c r="P1689" s="87">
        <f t="shared" si="157"/>
        <v>0.1055512118842846</v>
      </c>
      <c r="Q1689" s="87">
        <f t="shared" si="158"/>
        <v>0.39066979410998171</v>
      </c>
    </row>
    <row r="1690" spans="1:17">
      <c r="A1690" s="83">
        <v>1759</v>
      </c>
      <c r="B1690" s="83" t="s">
        <v>576</v>
      </c>
      <c r="C1690" s="83" t="s">
        <v>22</v>
      </c>
      <c r="D1690" s="84">
        <v>42962</v>
      </c>
      <c r="E1690" s="85">
        <f t="shared" si="156"/>
        <v>2017</v>
      </c>
      <c r="F1690" s="86">
        <v>3916000000</v>
      </c>
      <c r="G1690" s="86">
        <v>2403000000</v>
      </c>
      <c r="H1690" s="86">
        <v>920000000</v>
      </c>
      <c r="I1690" s="86">
        <v>104000000</v>
      </c>
      <c r="J1690" s="86">
        <v>0</v>
      </c>
      <c r="K1690" s="83" t="s">
        <v>19</v>
      </c>
      <c r="L1690" s="83" t="s">
        <v>170</v>
      </c>
      <c r="M1690" s="91">
        <f t="shared" si="159"/>
        <v>1513000000</v>
      </c>
      <c r="N1690" s="86">
        <f t="shared" si="160"/>
        <v>1024000000</v>
      </c>
      <c r="O1690" s="86">
        <f t="shared" si="161"/>
        <v>489000000</v>
      </c>
      <c r="P1690" s="83">
        <f t="shared" si="157"/>
        <v>0.12487231869254341</v>
      </c>
      <c r="Q1690" s="83">
        <f t="shared" si="158"/>
        <v>0.38636363636363635</v>
      </c>
    </row>
    <row r="1691" spans="1:17">
      <c r="A1691" s="87">
        <v>1760</v>
      </c>
      <c r="B1691" s="87" t="s">
        <v>576</v>
      </c>
      <c r="C1691" s="87" t="s">
        <v>23</v>
      </c>
      <c r="D1691" s="84">
        <v>42963</v>
      </c>
      <c r="E1691" s="88">
        <f t="shared" si="156"/>
        <v>2017</v>
      </c>
      <c r="F1691" s="89">
        <v>3653000000</v>
      </c>
      <c r="G1691" s="89">
        <v>2249000000</v>
      </c>
      <c r="H1691" s="89">
        <v>854000000</v>
      </c>
      <c r="I1691" s="89">
        <v>95000000</v>
      </c>
      <c r="J1691" s="89">
        <v>0</v>
      </c>
      <c r="K1691" s="87" t="s">
        <v>19</v>
      </c>
      <c r="L1691" s="87" t="s">
        <v>170</v>
      </c>
      <c r="M1691" s="90">
        <f t="shared" si="159"/>
        <v>1404000000</v>
      </c>
      <c r="N1691" s="89">
        <f t="shared" si="160"/>
        <v>949000000</v>
      </c>
      <c r="O1691" s="89">
        <f t="shared" si="161"/>
        <v>455000000</v>
      </c>
      <c r="P1691" s="87">
        <f t="shared" si="157"/>
        <v>0.12455516014234876</v>
      </c>
      <c r="Q1691" s="87">
        <f t="shared" si="158"/>
        <v>0.38434163701067614</v>
      </c>
    </row>
    <row r="1692" spans="1:17">
      <c r="A1692" s="83">
        <v>1761</v>
      </c>
      <c r="B1692" s="83" t="s">
        <v>577</v>
      </c>
      <c r="C1692" s="83" t="s">
        <v>18</v>
      </c>
      <c r="D1692" s="84">
        <v>42964</v>
      </c>
      <c r="E1692" s="85">
        <f t="shared" si="156"/>
        <v>2017</v>
      </c>
      <c r="F1692" s="86">
        <v>4986566000</v>
      </c>
      <c r="G1692" s="86">
        <v>1620566000</v>
      </c>
      <c r="H1692" s="86">
        <v>1641819000</v>
      </c>
      <c r="I1692" s="86">
        <v>885824000</v>
      </c>
      <c r="J1692" s="86">
        <v>35819000</v>
      </c>
      <c r="K1692" s="83" t="s">
        <v>28</v>
      </c>
      <c r="L1692" s="83" t="s">
        <v>63</v>
      </c>
      <c r="M1692" s="91">
        <f t="shared" si="159"/>
        <v>3366000000</v>
      </c>
      <c r="N1692" s="86">
        <f t="shared" si="160"/>
        <v>2563462000</v>
      </c>
      <c r="O1692" s="86">
        <f t="shared" si="161"/>
        <v>802538000</v>
      </c>
      <c r="P1692" s="83">
        <f t="shared" si="157"/>
        <v>0.16094001362861737</v>
      </c>
      <c r="Q1692" s="83">
        <f t="shared" si="158"/>
        <v>0.67501362661198105</v>
      </c>
    </row>
    <row r="1693" spans="1:17">
      <c r="A1693" s="87">
        <v>1762</v>
      </c>
      <c r="B1693" s="87" t="s">
        <v>577</v>
      </c>
      <c r="C1693" s="87" t="s">
        <v>21</v>
      </c>
      <c r="D1693" s="84">
        <v>42965</v>
      </c>
      <c r="E1693" s="88">
        <f t="shared" si="156"/>
        <v>2017</v>
      </c>
      <c r="F1693" s="89">
        <v>4680380000</v>
      </c>
      <c r="G1693" s="89">
        <v>1349380000</v>
      </c>
      <c r="H1693" s="89">
        <v>1751275000</v>
      </c>
      <c r="I1693" s="89">
        <v>957587000</v>
      </c>
      <c r="J1693" s="89">
        <v>44841000</v>
      </c>
      <c r="K1693" s="87" t="s">
        <v>28</v>
      </c>
      <c r="L1693" s="87" t="s">
        <v>63</v>
      </c>
      <c r="M1693" s="90">
        <f t="shared" si="159"/>
        <v>3331000000</v>
      </c>
      <c r="N1693" s="89">
        <f t="shared" si="160"/>
        <v>2753703000</v>
      </c>
      <c r="O1693" s="89">
        <f t="shared" si="161"/>
        <v>577297000</v>
      </c>
      <c r="P1693" s="87">
        <f t="shared" si="157"/>
        <v>0.12334404471431806</v>
      </c>
      <c r="Q1693" s="87">
        <f t="shared" si="158"/>
        <v>0.71169434960409195</v>
      </c>
    </row>
    <row r="1694" spans="1:17">
      <c r="A1694" s="83">
        <v>1763</v>
      </c>
      <c r="B1694" s="83" t="s">
        <v>577</v>
      </c>
      <c r="C1694" s="83" t="s">
        <v>22</v>
      </c>
      <c r="D1694" s="84">
        <v>42966</v>
      </c>
      <c r="E1694" s="85">
        <f t="shared" si="156"/>
        <v>2017</v>
      </c>
      <c r="F1694" s="86">
        <v>4618133000</v>
      </c>
      <c r="G1694" s="86">
        <v>1387375000</v>
      </c>
      <c r="H1694" s="86">
        <v>1770710000</v>
      </c>
      <c r="I1694" s="86">
        <v>1156386000</v>
      </c>
      <c r="J1694" s="86">
        <v>66750000</v>
      </c>
      <c r="K1694" s="83" t="s">
        <v>28</v>
      </c>
      <c r="L1694" s="83" t="s">
        <v>63</v>
      </c>
      <c r="M1694" s="91">
        <f t="shared" si="159"/>
        <v>3230758000</v>
      </c>
      <c r="N1694" s="86">
        <f t="shared" si="160"/>
        <v>2993846000</v>
      </c>
      <c r="O1694" s="86">
        <f t="shared" si="161"/>
        <v>236912000</v>
      </c>
      <c r="P1694" s="83">
        <f t="shared" si="157"/>
        <v>5.1300384809185876E-2</v>
      </c>
      <c r="Q1694" s="83">
        <f t="shared" si="158"/>
        <v>0.69958097785403761</v>
      </c>
    </row>
    <row r="1695" spans="1:17">
      <c r="A1695" s="87">
        <v>1764</v>
      </c>
      <c r="B1695" s="87" t="s">
        <v>577</v>
      </c>
      <c r="C1695" s="87" t="s">
        <v>23</v>
      </c>
      <c r="D1695" s="84">
        <v>42967</v>
      </c>
      <c r="E1695" s="88">
        <f t="shared" si="156"/>
        <v>2017</v>
      </c>
      <c r="F1695" s="89">
        <v>4968301000</v>
      </c>
      <c r="G1695" s="89">
        <v>2077748000</v>
      </c>
      <c r="H1695" s="89">
        <v>1768522000</v>
      </c>
      <c r="I1695" s="89">
        <v>1177923000</v>
      </c>
      <c r="J1695" s="89">
        <v>79042000</v>
      </c>
      <c r="K1695" s="87" t="s">
        <v>28</v>
      </c>
      <c r="L1695" s="87" t="s">
        <v>63</v>
      </c>
      <c r="M1695" s="90">
        <f t="shared" si="159"/>
        <v>2890553000</v>
      </c>
      <c r="N1695" s="89">
        <f t="shared" si="160"/>
        <v>3025487000</v>
      </c>
      <c r="O1695" s="89">
        <f t="shared" si="161"/>
        <v>-134934000</v>
      </c>
      <c r="P1695" s="87">
        <f t="shared" si="157"/>
        <v>-2.7158982517363581E-2</v>
      </c>
      <c r="Q1695" s="87">
        <f t="shared" si="158"/>
        <v>0.58179908986995754</v>
      </c>
    </row>
    <row r="1696" spans="1:17">
      <c r="A1696" s="83">
        <v>1765</v>
      </c>
      <c r="B1696" s="83" t="s">
        <v>578</v>
      </c>
      <c r="C1696" s="83" t="s">
        <v>18</v>
      </c>
      <c r="D1696" s="84">
        <v>42968</v>
      </c>
      <c r="E1696" s="85">
        <f t="shared" si="156"/>
        <v>2017</v>
      </c>
      <c r="F1696" s="86">
        <v>13633000000</v>
      </c>
      <c r="G1696" s="86">
        <v>9852000000</v>
      </c>
      <c r="H1696" s="86">
        <v>1450000000</v>
      </c>
      <c r="I1696" s="86">
        <v>0</v>
      </c>
      <c r="J1696" s="86">
        <v>0</v>
      </c>
      <c r="K1696" s="83" t="s">
        <v>25</v>
      </c>
      <c r="L1696" s="83" t="s">
        <v>161</v>
      </c>
      <c r="M1696" s="91">
        <f t="shared" si="159"/>
        <v>3781000000</v>
      </c>
      <c r="N1696" s="86">
        <f t="shared" si="160"/>
        <v>1450000000</v>
      </c>
      <c r="O1696" s="86">
        <f t="shared" si="161"/>
        <v>2331000000</v>
      </c>
      <c r="P1696" s="83">
        <f t="shared" si="157"/>
        <v>0.17098217560331549</v>
      </c>
      <c r="Q1696" s="83">
        <f t="shared" si="158"/>
        <v>0.2773417442969266</v>
      </c>
    </row>
    <row r="1697" spans="1:17">
      <c r="A1697" s="87">
        <v>1766</v>
      </c>
      <c r="B1697" s="87" t="s">
        <v>578</v>
      </c>
      <c r="C1697" s="87" t="s">
        <v>21</v>
      </c>
      <c r="D1697" s="84">
        <v>42969</v>
      </c>
      <c r="E1697" s="88">
        <f t="shared" si="156"/>
        <v>2017</v>
      </c>
      <c r="F1697" s="89">
        <v>13084000000</v>
      </c>
      <c r="G1697" s="89">
        <v>9501000000</v>
      </c>
      <c r="H1697" s="89">
        <v>1454000000</v>
      </c>
      <c r="I1697" s="89">
        <v>0</v>
      </c>
      <c r="J1697" s="89">
        <v>0</v>
      </c>
      <c r="K1697" s="87" t="s">
        <v>25</v>
      </c>
      <c r="L1697" s="87" t="s">
        <v>161</v>
      </c>
      <c r="M1697" s="90">
        <f t="shared" si="159"/>
        <v>3583000000</v>
      </c>
      <c r="N1697" s="89">
        <f t="shared" si="160"/>
        <v>1454000000</v>
      </c>
      <c r="O1697" s="89">
        <f t="shared" si="161"/>
        <v>2129000000</v>
      </c>
      <c r="P1697" s="87">
        <f t="shared" si="157"/>
        <v>0.16271782329562826</v>
      </c>
      <c r="Q1697" s="87">
        <f t="shared" si="158"/>
        <v>0.27384591867930297</v>
      </c>
    </row>
    <row r="1698" spans="1:17">
      <c r="A1698" s="83">
        <v>1767</v>
      </c>
      <c r="B1698" s="83" t="s">
        <v>578</v>
      </c>
      <c r="C1698" s="83" t="s">
        <v>22</v>
      </c>
      <c r="D1698" s="84">
        <v>42970</v>
      </c>
      <c r="E1698" s="85">
        <f t="shared" si="156"/>
        <v>2017</v>
      </c>
      <c r="F1698" s="86">
        <v>13279000000</v>
      </c>
      <c r="G1698" s="86">
        <v>9682000000</v>
      </c>
      <c r="H1698" s="86">
        <v>1505000000</v>
      </c>
      <c r="I1698" s="86">
        <v>0</v>
      </c>
      <c r="J1698" s="86">
        <v>0</v>
      </c>
      <c r="K1698" s="83" t="s">
        <v>25</v>
      </c>
      <c r="L1698" s="83" t="s">
        <v>161</v>
      </c>
      <c r="M1698" s="91">
        <f t="shared" si="159"/>
        <v>3597000000</v>
      </c>
      <c r="N1698" s="86">
        <f t="shared" si="160"/>
        <v>1505000000</v>
      </c>
      <c r="O1698" s="86">
        <f t="shared" si="161"/>
        <v>2092000000</v>
      </c>
      <c r="P1698" s="83">
        <f t="shared" si="157"/>
        <v>0.15754198358310115</v>
      </c>
      <c r="Q1698" s="83">
        <f t="shared" si="158"/>
        <v>0.27087883123729195</v>
      </c>
    </row>
    <row r="1699" spans="1:17">
      <c r="A1699" s="87">
        <v>1768</v>
      </c>
      <c r="B1699" s="87" t="s">
        <v>578</v>
      </c>
      <c r="C1699" s="87" t="s">
        <v>23</v>
      </c>
      <c r="D1699" s="84">
        <v>42971</v>
      </c>
      <c r="E1699" s="88">
        <f t="shared" si="156"/>
        <v>2017</v>
      </c>
      <c r="F1699" s="89">
        <v>13105000000</v>
      </c>
      <c r="G1699" s="89">
        <v>9359000000</v>
      </c>
      <c r="H1699" s="89">
        <v>1746000000</v>
      </c>
      <c r="I1699" s="89">
        <v>0</v>
      </c>
      <c r="J1699" s="89">
        <v>0</v>
      </c>
      <c r="K1699" s="87" t="s">
        <v>25</v>
      </c>
      <c r="L1699" s="87" t="s">
        <v>161</v>
      </c>
      <c r="M1699" s="90">
        <f t="shared" si="159"/>
        <v>3746000000</v>
      </c>
      <c r="N1699" s="89">
        <f t="shared" si="160"/>
        <v>1746000000</v>
      </c>
      <c r="O1699" s="89">
        <f t="shared" si="161"/>
        <v>2000000000</v>
      </c>
      <c r="P1699" s="87">
        <f t="shared" si="157"/>
        <v>0.15261350629530712</v>
      </c>
      <c r="Q1699" s="87">
        <f t="shared" si="158"/>
        <v>0.28584509729111029</v>
      </c>
    </row>
    <row r="1700" spans="1:17">
      <c r="A1700" s="83">
        <v>1769</v>
      </c>
      <c r="B1700" s="83" t="s">
        <v>579</v>
      </c>
      <c r="C1700" s="83" t="s">
        <v>18</v>
      </c>
      <c r="D1700" s="84">
        <v>42972</v>
      </c>
      <c r="E1700" s="85">
        <f t="shared" si="156"/>
        <v>2017</v>
      </c>
      <c r="F1700" s="86">
        <v>4471700000</v>
      </c>
      <c r="G1700" s="86">
        <v>1125200000</v>
      </c>
      <c r="H1700" s="86">
        <v>1822100000</v>
      </c>
      <c r="I1700" s="86">
        <v>225600000</v>
      </c>
      <c r="J1700" s="86">
        <v>0</v>
      </c>
      <c r="K1700" s="83" t="s">
        <v>31</v>
      </c>
      <c r="L1700" s="83" t="s">
        <v>36</v>
      </c>
      <c r="M1700" s="91">
        <f t="shared" si="159"/>
        <v>3346500000</v>
      </c>
      <c r="N1700" s="86">
        <f t="shared" si="160"/>
        <v>2047700000</v>
      </c>
      <c r="O1700" s="86">
        <f t="shared" si="161"/>
        <v>1298800000</v>
      </c>
      <c r="P1700" s="83">
        <f t="shared" si="157"/>
        <v>0.29044882259543353</v>
      </c>
      <c r="Q1700" s="83">
        <f t="shared" si="158"/>
        <v>0.74837310195227769</v>
      </c>
    </row>
    <row r="1701" spans="1:17">
      <c r="A1701" s="87">
        <v>1770</v>
      </c>
      <c r="B1701" s="87" t="s">
        <v>579</v>
      </c>
      <c r="C1701" s="87" t="s">
        <v>21</v>
      </c>
      <c r="D1701" s="84">
        <v>42973</v>
      </c>
      <c r="E1701" s="88">
        <f t="shared" si="156"/>
        <v>2017</v>
      </c>
      <c r="F1701" s="89">
        <v>4623400000</v>
      </c>
      <c r="G1701" s="89">
        <v>1266700000</v>
      </c>
      <c r="H1701" s="89">
        <v>1796300000</v>
      </c>
      <c r="I1701" s="89">
        <v>203000000</v>
      </c>
      <c r="J1701" s="89">
        <v>78500000</v>
      </c>
      <c r="K1701" s="87" t="s">
        <v>31</v>
      </c>
      <c r="L1701" s="87" t="s">
        <v>36</v>
      </c>
      <c r="M1701" s="90">
        <f t="shared" si="159"/>
        <v>3356700000</v>
      </c>
      <c r="N1701" s="89">
        <f t="shared" si="160"/>
        <v>2077800000</v>
      </c>
      <c r="O1701" s="89">
        <f t="shared" si="161"/>
        <v>1278900000</v>
      </c>
      <c r="P1701" s="87">
        <f t="shared" si="157"/>
        <v>0.27661461262274517</v>
      </c>
      <c r="Q1701" s="87">
        <f t="shared" si="158"/>
        <v>0.72602413808020072</v>
      </c>
    </row>
    <row r="1702" spans="1:17">
      <c r="A1702" s="83">
        <v>1771</v>
      </c>
      <c r="B1702" s="83" t="s">
        <v>579</v>
      </c>
      <c r="C1702" s="83" t="s">
        <v>22</v>
      </c>
      <c r="D1702" s="84">
        <v>42974</v>
      </c>
      <c r="E1702" s="85">
        <f t="shared" si="156"/>
        <v>2017</v>
      </c>
      <c r="F1702" s="86">
        <v>4673300000</v>
      </c>
      <c r="G1702" s="86">
        <v>1242800000</v>
      </c>
      <c r="H1702" s="86">
        <v>1772200000</v>
      </c>
      <c r="I1702" s="86">
        <v>187400000</v>
      </c>
      <c r="J1702" s="86">
        <v>92500000</v>
      </c>
      <c r="K1702" s="83" t="s">
        <v>31</v>
      </c>
      <c r="L1702" s="83" t="s">
        <v>36</v>
      </c>
      <c r="M1702" s="91">
        <f t="shared" si="159"/>
        <v>3430500000</v>
      </c>
      <c r="N1702" s="86">
        <f t="shared" si="160"/>
        <v>2052100000</v>
      </c>
      <c r="O1702" s="86">
        <f t="shared" si="161"/>
        <v>1378400000</v>
      </c>
      <c r="P1702" s="83">
        <f t="shared" si="157"/>
        <v>0.29495217512250443</v>
      </c>
      <c r="Q1702" s="83">
        <f t="shared" si="158"/>
        <v>0.73406372370701645</v>
      </c>
    </row>
    <row r="1703" spans="1:17">
      <c r="A1703" s="87">
        <v>1772</v>
      </c>
      <c r="B1703" s="87" t="s">
        <v>579</v>
      </c>
      <c r="C1703" s="87" t="s">
        <v>23</v>
      </c>
      <c r="D1703" s="84">
        <v>42975</v>
      </c>
      <c r="E1703" s="88">
        <f t="shared" si="156"/>
        <v>2017</v>
      </c>
      <c r="F1703" s="89">
        <v>5997800000</v>
      </c>
      <c r="G1703" s="89">
        <v>1800600000</v>
      </c>
      <c r="H1703" s="89">
        <v>2291900000</v>
      </c>
      <c r="I1703" s="89">
        <v>268800000</v>
      </c>
      <c r="J1703" s="89">
        <v>337400000</v>
      </c>
      <c r="K1703" s="87" t="s">
        <v>31</v>
      </c>
      <c r="L1703" s="87" t="s">
        <v>36</v>
      </c>
      <c r="M1703" s="90">
        <f t="shared" si="159"/>
        <v>4197200000</v>
      </c>
      <c r="N1703" s="89">
        <f t="shared" si="160"/>
        <v>2898100000</v>
      </c>
      <c r="O1703" s="89">
        <f t="shared" si="161"/>
        <v>1299100000</v>
      </c>
      <c r="P1703" s="87">
        <f t="shared" si="157"/>
        <v>0.21659608523125146</v>
      </c>
      <c r="Q1703" s="87">
        <f t="shared" si="158"/>
        <v>0.69978992297175635</v>
      </c>
    </row>
    <row r="1704" spans="1:17">
      <c r="A1704" s="83">
        <v>1773</v>
      </c>
      <c r="B1704" s="83" t="s">
        <v>580</v>
      </c>
      <c r="C1704" s="83" t="s">
        <v>18</v>
      </c>
      <c r="D1704" s="84">
        <v>42976</v>
      </c>
      <c r="E1704" s="85">
        <f t="shared" si="156"/>
        <v>2017</v>
      </c>
      <c r="F1704" s="86">
        <v>2458592000</v>
      </c>
      <c r="G1704" s="86">
        <v>80146000</v>
      </c>
      <c r="H1704" s="86">
        <v>1579007000</v>
      </c>
      <c r="I1704" s="86">
        <v>0</v>
      </c>
      <c r="J1704" s="86">
        <v>31237000</v>
      </c>
      <c r="K1704" s="83" t="s">
        <v>53</v>
      </c>
      <c r="L1704" s="83" t="s">
        <v>146</v>
      </c>
      <c r="M1704" s="91">
        <f t="shared" si="159"/>
        <v>2378446000</v>
      </c>
      <c r="N1704" s="86">
        <f t="shared" si="160"/>
        <v>1610244000</v>
      </c>
      <c r="O1704" s="86">
        <f t="shared" si="161"/>
        <v>768202000</v>
      </c>
      <c r="P1704" s="83">
        <f t="shared" si="157"/>
        <v>0.31245607241868517</v>
      </c>
      <c r="Q1704" s="83">
        <f t="shared" si="158"/>
        <v>0.96740166729575305</v>
      </c>
    </row>
    <row r="1705" spans="1:17">
      <c r="A1705" s="87">
        <v>1774</v>
      </c>
      <c r="B1705" s="87" t="s">
        <v>580</v>
      </c>
      <c r="C1705" s="87" t="s">
        <v>21</v>
      </c>
      <c r="D1705" s="84">
        <v>42977</v>
      </c>
      <c r="E1705" s="88">
        <f t="shared" si="156"/>
        <v>2017</v>
      </c>
      <c r="F1705" s="89">
        <v>2278812000</v>
      </c>
      <c r="G1705" s="89">
        <v>58913000</v>
      </c>
      <c r="H1705" s="89">
        <v>1700064000</v>
      </c>
      <c r="I1705" s="89">
        <v>0</v>
      </c>
      <c r="J1705" s="89">
        <v>-72761000</v>
      </c>
      <c r="K1705" s="87" t="s">
        <v>53</v>
      </c>
      <c r="L1705" s="87" t="s">
        <v>146</v>
      </c>
      <c r="M1705" s="90">
        <f t="shared" si="159"/>
        <v>2219899000</v>
      </c>
      <c r="N1705" s="89">
        <f t="shared" si="160"/>
        <v>1627303000</v>
      </c>
      <c r="O1705" s="89">
        <f t="shared" si="161"/>
        <v>592596000</v>
      </c>
      <c r="P1705" s="87">
        <f t="shared" si="157"/>
        <v>0.26004602398091636</v>
      </c>
      <c r="Q1705" s="87">
        <f t="shared" si="158"/>
        <v>0.97414749439620296</v>
      </c>
    </row>
    <row r="1706" spans="1:17">
      <c r="A1706" s="83">
        <v>1775</v>
      </c>
      <c r="B1706" s="83" t="s">
        <v>580</v>
      </c>
      <c r="C1706" s="83" t="s">
        <v>22</v>
      </c>
      <c r="D1706" s="84">
        <v>42978</v>
      </c>
      <c r="E1706" s="85">
        <f t="shared" si="156"/>
        <v>2017</v>
      </c>
      <c r="F1706" s="86">
        <v>2361631000</v>
      </c>
      <c r="G1706" s="86">
        <v>49736000</v>
      </c>
      <c r="H1706" s="86">
        <v>1654369000</v>
      </c>
      <c r="I1706" s="86">
        <v>0</v>
      </c>
      <c r="J1706" s="86">
        <v>-87159000</v>
      </c>
      <c r="K1706" s="83" t="s">
        <v>53</v>
      </c>
      <c r="L1706" s="83" t="s">
        <v>146</v>
      </c>
      <c r="M1706" s="91">
        <f t="shared" si="159"/>
        <v>2311895000</v>
      </c>
      <c r="N1706" s="86">
        <f t="shared" si="160"/>
        <v>1567210000</v>
      </c>
      <c r="O1706" s="86">
        <f t="shared" si="161"/>
        <v>744685000</v>
      </c>
      <c r="P1706" s="83">
        <f t="shared" si="157"/>
        <v>0.31532656879927473</v>
      </c>
      <c r="Q1706" s="83">
        <f t="shared" si="158"/>
        <v>0.97893997834547397</v>
      </c>
    </row>
    <row r="1707" spans="1:17">
      <c r="A1707" s="87">
        <v>1776</v>
      </c>
      <c r="B1707" s="87" t="s">
        <v>580</v>
      </c>
      <c r="C1707" s="87" t="s">
        <v>23</v>
      </c>
      <c r="D1707" s="84">
        <v>42979</v>
      </c>
      <c r="E1707" s="88">
        <f t="shared" si="156"/>
        <v>2017</v>
      </c>
      <c r="F1707" s="89">
        <v>2210591000</v>
      </c>
      <c r="G1707" s="89">
        <v>49344000</v>
      </c>
      <c r="H1707" s="89">
        <v>1591239000</v>
      </c>
      <c r="I1707" s="89">
        <v>0</v>
      </c>
      <c r="J1707" s="89">
        <v>49282000</v>
      </c>
      <c r="K1707" s="87" t="s">
        <v>53</v>
      </c>
      <c r="L1707" s="87" t="s">
        <v>146</v>
      </c>
      <c r="M1707" s="90">
        <f t="shared" si="159"/>
        <v>2161247000</v>
      </c>
      <c r="N1707" s="89">
        <f t="shared" si="160"/>
        <v>1640521000</v>
      </c>
      <c r="O1707" s="89">
        <f t="shared" si="161"/>
        <v>520726000</v>
      </c>
      <c r="P1707" s="87">
        <f t="shared" si="157"/>
        <v>0.23555963088603907</v>
      </c>
      <c r="Q1707" s="87">
        <f t="shared" si="158"/>
        <v>0.97767836745919978</v>
      </c>
    </row>
    <row r="1708" spans="1:17">
      <c r="A1708" s="83">
        <v>1777</v>
      </c>
      <c r="B1708" s="83" t="s">
        <v>581</v>
      </c>
      <c r="C1708" s="83" t="s">
        <v>18</v>
      </c>
      <c r="D1708" s="84">
        <v>42980</v>
      </c>
      <c r="E1708" s="85">
        <f t="shared" si="156"/>
        <v>2017</v>
      </c>
      <c r="F1708" s="86">
        <v>4561000000</v>
      </c>
      <c r="G1708" s="86">
        <v>1669000000</v>
      </c>
      <c r="H1708" s="86">
        <v>1613000000</v>
      </c>
      <c r="I1708" s="86">
        <v>399000000</v>
      </c>
      <c r="J1708" s="86">
        <v>60000000</v>
      </c>
      <c r="K1708" s="83" t="s">
        <v>31</v>
      </c>
      <c r="L1708" s="83" t="s">
        <v>32</v>
      </c>
      <c r="M1708" s="91">
        <f t="shared" si="159"/>
        <v>2892000000</v>
      </c>
      <c r="N1708" s="86">
        <f t="shared" si="160"/>
        <v>2072000000</v>
      </c>
      <c r="O1708" s="86">
        <f t="shared" si="161"/>
        <v>820000000</v>
      </c>
      <c r="P1708" s="83">
        <f t="shared" si="157"/>
        <v>0.17978513483885114</v>
      </c>
      <c r="Q1708" s="83">
        <f t="shared" si="158"/>
        <v>0.63407147555360666</v>
      </c>
    </row>
    <row r="1709" spans="1:17">
      <c r="A1709" s="87">
        <v>1778</v>
      </c>
      <c r="B1709" s="87" t="s">
        <v>581</v>
      </c>
      <c r="C1709" s="87" t="s">
        <v>21</v>
      </c>
      <c r="D1709" s="84">
        <v>42981</v>
      </c>
      <c r="E1709" s="88">
        <f t="shared" si="156"/>
        <v>2017</v>
      </c>
      <c r="F1709" s="89">
        <v>4785000000</v>
      </c>
      <c r="G1709" s="89">
        <v>1717000000</v>
      </c>
      <c r="H1709" s="89">
        <v>1643000000</v>
      </c>
      <c r="I1709" s="89">
        <v>396000000</v>
      </c>
      <c r="J1709" s="89">
        <v>60000000</v>
      </c>
      <c r="K1709" s="87" t="s">
        <v>31</v>
      </c>
      <c r="L1709" s="87" t="s">
        <v>32</v>
      </c>
      <c r="M1709" s="90">
        <f t="shared" si="159"/>
        <v>3068000000</v>
      </c>
      <c r="N1709" s="89">
        <f t="shared" si="160"/>
        <v>2099000000</v>
      </c>
      <c r="O1709" s="89">
        <f t="shared" si="161"/>
        <v>969000000</v>
      </c>
      <c r="P1709" s="87">
        <f t="shared" si="157"/>
        <v>0.2025078369905956</v>
      </c>
      <c r="Q1709" s="87">
        <f t="shared" si="158"/>
        <v>0.64117032392894457</v>
      </c>
    </row>
    <row r="1710" spans="1:17">
      <c r="A1710" s="83">
        <v>1779</v>
      </c>
      <c r="B1710" s="83" t="s">
        <v>581</v>
      </c>
      <c r="C1710" s="83" t="s">
        <v>22</v>
      </c>
      <c r="D1710" s="84">
        <v>42982</v>
      </c>
      <c r="E1710" s="85">
        <f t="shared" si="156"/>
        <v>2017</v>
      </c>
      <c r="F1710" s="86">
        <v>4765000000</v>
      </c>
      <c r="G1710" s="86">
        <v>1738000000</v>
      </c>
      <c r="H1710" s="86">
        <v>1532000000</v>
      </c>
      <c r="I1710" s="86">
        <v>364000000</v>
      </c>
      <c r="J1710" s="86">
        <v>61000000</v>
      </c>
      <c r="K1710" s="83" t="s">
        <v>31</v>
      </c>
      <c r="L1710" s="83" t="s">
        <v>32</v>
      </c>
      <c r="M1710" s="91">
        <f t="shared" si="159"/>
        <v>3027000000</v>
      </c>
      <c r="N1710" s="86">
        <f t="shared" si="160"/>
        <v>1957000000</v>
      </c>
      <c r="O1710" s="86">
        <f t="shared" si="161"/>
        <v>1070000000</v>
      </c>
      <c r="P1710" s="83">
        <f t="shared" si="157"/>
        <v>0.22455403987408185</v>
      </c>
      <c r="Q1710" s="83">
        <f t="shared" si="158"/>
        <v>0.63525708289611749</v>
      </c>
    </row>
    <row r="1711" spans="1:17">
      <c r="A1711" s="87">
        <v>1780</v>
      </c>
      <c r="B1711" s="87" t="s">
        <v>581</v>
      </c>
      <c r="C1711" s="87" t="s">
        <v>23</v>
      </c>
      <c r="D1711" s="84">
        <v>42983</v>
      </c>
      <c r="E1711" s="88">
        <f t="shared" si="156"/>
        <v>2017</v>
      </c>
      <c r="F1711" s="89">
        <v>4888000000</v>
      </c>
      <c r="G1711" s="89">
        <v>1666000000</v>
      </c>
      <c r="H1711" s="89">
        <v>1364000000</v>
      </c>
      <c r="I1711" s="89">
        <v>376000000</v>
      </c>
      <c r="J1711" s="89">
        <v>85000000</v>
      </c>
      <c r="K1711" s="87" t="s">
        <v>31</v>
      </c>
      <c r="L1711" s="87" t="s">
        <v>32</v>
      </c>
      <c r="M1711" s="90">
        <f t="shared" si="159"/>
        <v>3222000000</v>
      </c>
      <c r="N1711" s="89">
        <f t="shared" si="160"/>
        <v>1825000000</v>
      </c>
      <c r="O1711" s="89">
        <f t="shared" si="161"/>
        <v>1397000000</v>
      </c>
      <c r="P1711" s="87">
        <f t="shared" si="157"/>
        <v>0.28580196399345337</v>
      </c>
      <c r="Q1711" s="87">
        <f t="shared" si="158"/>
        <v>0.6591653027823241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D6E6D-DDD9-464C-A76D-EDDAF1695D25}">
  <dimension ref="A1:E1711"/>
  <sheetViews>
    <sheetView workbookViewId="0">
      <selection activeCell="F129" sqref="F129"/>
    </sheetView>
  </sheetViews>
  <sheetFormatPr defaultRowHeight="14.25"/>
  <cols>
    <col min="1" max="1" width="26.125" bestFit="1" customWidth="1"/>
    <col min="2" max="2" width="41" bestFit="1" customWidth="1"/>
    <col min="3" max="3" width="17.25" style="17" bestFit="1" customWidth="1"/>
    <col min="5" max="5" width="20.5" customWidth="1"/>
  </cols>
  <sheetData>
    <row r="1" spans="1:3" ht="15">
      <c r="A1" s="1" t="s">
        <v>10</v>
      </c>
      <c r="B1" s="1" t="s">
        <v>11</v>
      </c>
      <c r="C1" s="2" t="s">
        <v>5</v>
      </c>
    </row>
    <row r="2" spans="1:3" hidden="1">
      <c r="A2" s="3" t="s">
        <v>19</v>
      </c>
      <c r="B2" s="3" t="s">
        <v>20</v>
      </c>
      <c r="C2" s="4">
        <v>24855000000</v>
      </c>
    </row>
    <row r="3" spans="1:3" hidden="1">
      <c r="A3" s="5" t="s">
        <v>19</v>
      </c>
      <c r="B3" s="5" t="s">
        <v>20</v>
      </c>
      <c r="C3" s="6">
        <v>26743000000</v>
      </c>
    </row>
    <row r="4" spans="1:3" hidden="1">
      <c r="A4" s="3" t="s">
        <v>19</v>
      </c>
      <c r="B4" s="3" t="s">
        <v>20</v>
      </c>
      <c r="C4" s="4">
        <v>42650000000</v>
      </c>
    </row>
    <row r="5" spans="1:3" hidden="1">
      <c r="A5" s="5" t="s">
        <v>19</v>
      </c>
      <c r="B5" s="5" t="s">
        <v>20</v>
      </c>
      <c r="C5" s="6">
        <v>40990000000</v>
      </c>
    </row>
    <row r="6" spans="1:3" hidden="1">
      <c r="A6" s="3" t="s">
        <v>25</v>
      </c>
      <c r="B6" s="3" t="s">
        <v>26</v>
      </c>
      <c r="C6" s="4">
        <v>6205003000</v>
      </c>
    </row>
    <row r="7" spans="1:3" hidden="1">
      <c r="A7" s="5" t="s">
        <v>25</v>
      </c>
      <c r="B7" s="5" t="s">
        <v>26</v>
      </c>
      <c r="C7" s="6">
        <v>6493814000</v>
      </c>
    </row>
    <row r="8" spans="1:3" hidden="1">
      <c r="A8" s="3" t="s">
        <v>25</v>
      </c>
      <c r="B8" s="3" t="s">
        <v>26</v>
      </c>
      <c r="C8" s="4">
        <v>9843861000</v>
      </c>
    </row>
    <row r="9" spans="1:3" hidden="1">
      <c r="A9" s="5" t="s">
        <v>25</v>
      </c>
      <c r="B9" s="5" t="s">
        <v>26</v>
      </c>
      <c r="C9" s="6">
        <v>9737018000</v>
      </c>
    </row>
    <row r="10" spans="1:3" hidden="1">
      <c r="A10" s="3" t="s">
        <v>28</v>
      </c>
      <c r="B10" s="3" t="s">
        <v>29</v>
      </c>
      <c r="C10" s="4">
        <v>170910000000</v>
      </c>
    </row>
    <row r="11" spans="1:3" hidden="1">
      <c r="A11" s="5" t="s">
        <v>28</v>
      </c>
      <c r="B11" s="5" t="s">
        <v>29</v>
      </c>
      <c r="C11" s="6">
        <v>182795000000</v>
      </c>
    </row>
    <row r="12" spans="1:3" hidden="1">
      <c r="A12" s="3" t="s">
        <v>28</v>
      </c>
      <c r="B12" s="3" t="s">
        <v>29</v>
      </c>
      <c r="C12" s="4">
        <v>233715000000</v>
      </c>
    </row>
    <row r="13" spans="1:3" hidden="1">
      <c r="A13" s="5" t="s">
        <v>28</v>
      </c>
      <c r="B13" s="5" t="s">
        <v>29</v>
      </c>
      <c r="C13" s="6">
        <v>215639000000</v>
      </c>
    </row>
    <row r="14" spans="1:3" hidden="1">
      <c r="A14" s="3" t="s">
        <v>31</v>
      </c>
      <c r="B14" s="3" t="s">
        <v>32</v>
      </c>
      <c r="C14" s="4">
        <v>18380000000</v>
      </c>
    </row>
    <row r="15" spans="1:3" hidden="1">
      <c r="A15" s="5" t="s">
        <v>31</v>
      </c>
      <c r="B15" s="5" t="s">
        <v>32</v>
      </c>
      <c r="C15" s="6">
        <v>18790000000</v>
      </c>
    </row>
    <row r="16" spans="1:3" hidden="1">
      <c r="A16" s="3" t="s">
        <v>31</v>
      </c>
      <c r="B16" s="3" t="s">
        <v>32</v>
      </c>
      <c r="C16" s="4">
        <v>19960000000</v>
      </c>
    </row>
    <row r="17" spans="1:3" hidden="1">
      <c r="A17" s="5" t="s">
        <v>31</v>
      </c>
      <c r="B17" s="5" t="s">
        <v>32</v>
      </c>
      <c r="C17" s="6">
        <v>22859000000</v>
      </c>
    </row>
    <row r="18" spans="1:3" hidden="1">
      <c r="A18" s="3" t="s">
        <v>31</v>
      </c>
      <c r="B18" s="3" t="s">
        <v>34</v>
      </c>
      <c r="C18" s="4">
        <v>87959167000</v>
      </c>
    </row>
    <row r="19" spans="1:3" hidden="1">
      <c r="A19" s="5" t="s">
        <v>31</v>
      </c>
      <c r="B19" s="5" t="s">
        <v>34</v>
      </c>
      <c r="C19" s="6">
        <v>119569127000</v>
      </c>
    </row>
    <row r="20" spans="1:3" hidden="1">
      <c r="A20" s="3" t="s">
        <v>31</v>
      </c>
      <c r="B20" s="3" t="s">
        <v>34</v>
      </c>
      <c r="C20" s="4">
        <v>135961803000</v>
      </c>
    </row>
    <row r="21" spans="1:3" hidden="1">
      <c r="A21" s="5" t="s">
        <v>31</v>
      </c>
      <c r="B21" s="5" t="s">
        <v>34</v>
      </c>
      <c r="C21" s="6">
        <v>146849686000</v>
      </c>
    </row>
    <row r="22" spans="1:3" hidden="1">
      <c r="A22" s="3" t="s">
        <v>31</v>
      </c>
      <c r="B22" s="3" t="s">
        <v>36</v>
      </c>
      <c r="C22" s="4">
        <v>19050000000</v>
      </c>
    </row>
    <row r="23" spans="1:3" hidden="1">
      <c r="A23" s="5" t="s">
        <v>31</v>
      </c>
      <c r="B23" s="5" t="s">
        <v>36</v>
      </c>
      <c r="C23" s="6">
        <v>19657000000</v>
      </c>
    </row>
    <row r="24" spans="1:3" hidden="1">
      <c r="A24" s="3" t="s">
        <v>31</v>
      </c>
      <c r="B24" s="3" t="s">
        <v>36</v>
      </c>
      <c r="C24" s="4">
        <v>20247000000</v>
      </c>
    </row>
    <row r="25" spans="1:3" hidden="1">
      <c r="A25" s="5" t="s">
        <v>31</v>
      </c>
      <c r="B25" s="5" t="s">
        <v>36</v>
      </c>
      <c r="C25" s="6">
        <v>20405000000</v>
      </c>
    </row>
    <row r="26" spans="1:3" hidden="1">
      <c r="A26" s="3" t="s">
        <v>28</v>
      </c>
      <c r="B26" s="3" t="s">
        <v>38</v>
      </c>
      <c r="C26" s="4">
        <v>4055240000</v>
      </c>
    </row>
    <row r="27" spans="1:3" hidden="1">
      <c r="A27" s="5" t="s">
        <v>28</v>
      </c>
      <c r="B27" s="5" t="s">
        <v>38</v>
      </c>
      <c r="C27" s="6">
        <v>4147065000</v>
      </c>
    </row>
    <row r="28" spans="1:3" hidden="1">
      <c r="A28" s="3" t="s">
        <v>28</v>
      </c>
      <c r="B28" s="3" t="s">
        <v>38</v>
      </c>
      <c r="C28" s="4">
        <v>4795511000</v>
      </c>
    </row>
    <row r="29" spans="1:3" hidden="1">
      <c r="A29" s="5" t="s">
        <v>28</v>
      </c>
      <c r="B29" s="5" t="s">
        <v>38</v>
      </c>
      <c r="C29" s="6">
        <v>5854430000</v>
      </c>
    </row>
    <row r="30" spans="1:3" hidden="1">
      <c r="A30" s="3" t="s">
        <v>28</v>
      </c>
      <c r="B30" s="3" t="s">
        <v>40</v>
      </c>
      <c r="C30" s="4">
        <v>2633689000</v>
      </c>
    </row>
    <row r="31" spans="1:3" hidden="1">
      <c r="A31" s="5" t="s">
        <v>28</v>
      </c>
      <c r="B31" s="5" t="s">
        <v>40</v>
      </c>
      <c r="C31" s="6">
        <v>2864773000</v>
      </c>
    </row>
    <row r="32" spans="1:3" hidden="1">
      <c r="A32" s="3" t="s">
        <v>28</v>
      </c>
      <c r="B32" s="3" t="s">
        <v>40</v>
      </c>
      <c r="C32" s="4">
        <v>3435092000</v>
      </c>
    </row>
    <row r="33" spans="1:3" hidden="1">
      <c r="A33" s="5" t="s">
        <v>28</v>
      </c>
      <c r="B33" s="5" t="s">
        <v>40</v>
      </c>
      <c r="C33" s="6">
        <v>3421409000</v>
      </c>
    </row>
    <row r="34" spans="1:3" hidden="1">
      <c r="A34" s="3" t="s">
        <v>42</v>
      </c>
      <c r="B34" s="3" t="s">
        <v>43</v>
      </c>
      <c r="C34" s="4">
        <v>90559000000</v>
      </c>
    </row>
    <row r="35" spans="1:3" hidden="1">
      <c r="A35" s="5" t="s">
        <v>42</v>
      </c>
      <c r="B35" s="5" t="s">
        <v>43</v>
      </c>
      <c r="C35" s="6">
        <v>89804000000</v>
      </c>
    </row>
    <row r="36" spans="1:3" hidden="1">
      <c r="A36" s="3" t="s">
        <v>42</v>
      </c>
      <c r="B36" s="3" t="s">
        <v>43</v>
      </c>
      <c r="C36" s="4">
        <v>81201000000</v>
      </c>
    </row>
    <row r="37" spans="1:3" hidden="1">
      <c r="A37" s="5" t="s">
        <v>42</v>
      </c>
      <c r="B37" s="5" t="s">
        <v>43</v>
      </c>
      <c r="C37" s="6">
        <v>67702000000</v>
      </c>
    </row>
    <row r="38" spans="1:3" hidden="1">
      <c r="A38" s="3" t="s">
        <v>28</v>
      </c>
      <c r="B38" s="3" t="s">
        <v>45</v>
      </c>
      <c r="C38" s="4">
        <v>3641390000</v>
      </c>
    </row>
    <row r="39" spans="1:3" hidden="1">
      <c r="A39" s="5" t="s">
        <v>28</v>
      </c>
      <c r="B39" s="5" t="s">
        <v>45</v>
      </c>
      <c r="C39" s="6">
        <v>4319063000</v>
      </c>
    </row>
    <row r="40" spans="1:3" hidden="1">
      <c r="A40" s="3" t="s">
        <v>28</v>
      </c>
      <c r="B40" s="3" t="s">
        <v>45</v>
      </c>
      <c r="C40" s="4">
        <v>5302940000</v>
      </c>
    </row>
    <row r="41" spans="1:3" hidden="1">
      <c r="A41" s="5" t="s">
        <v>28</v>
      </c>
      <c r="B41" s="5" t="s">
        <v>45</v>
      </c>
      <c r="C41" s="6">
        <v>6439746000</v>
      </c>
    </row>
    <row r="42" spans="1:3" hidden="1">
      <c r="A42" s="3" t="s">
        <v>28</v>
      </c>
      <c r="B42" s="3" t="s">
        <v>38</v>
      </c>
      <c r="C42" s="4">
        <v>2312200000</v>
      </c>
    </row>
    <row r="43" spans="1:3" hidden="1">
      <c r="A43" s="5" t="s">
        <v>28</v>
      </c>
      <c r="B43" s="5" t="s">
        <v>38</v>
      </c>
      <c r="C43" s="6">
        <v>2273900000</v>
      </c>
    </row>
    <row r="44" spans="1:3" hidden="1">
      <c r="A44" s="3" t="s">
        <v>28</v>
      </c>
      <c r="B44" s="3" t="s">
        <v>38</v>
      </c>
      <c r="C44" s="4">
        <v>2512200000</v>
      </c>
    </row>
    <row r="45" spans="1:3" hidden="1">
      <c r="A45" s="5" t="s">
        <v>28</v>
      </c>
      <c r="B45" s="5" t="s">
        <v>38</v>
      </c>
      <c r="C45" s="6">
        <v>2504100000</v>
      </c>
    </row>
    <row r="46" spans="1:3" hidden="1">
      <c r="A46" s="3" t="s">
        <v>48</v>
      </c>
      <c r="B46" s="3" t="s">
        <v>49</v>
      </c>
      <c r="C46" s="4">
        <v>5781000000</v>
      </c>
    </row>
    <row r="47" spans="1:3" hidden="1">
      <c r="A47" s="5" t="s">
        <v>48</v>
      </c>
      <c r="B47" s="5" t="s">
        <v>49</v>
      </c>
      <c r="C47" s="6">
        <v>5838000000</v>
      </c>
    </row>
    <row r="48" spans="1:3" hidden="1">
      <c r="A48" s="3" t="s">
        <v>48</v>
      </c>
      <c r="B48" s="3" t="s">
        <v>49</v>
      </c>
      <c r="C48" s="4">
        <v>6053000000</v>
      </c>
    </row>
    <row r="49" spans="1:3" hidden="1">
      <c r="A49" s="5" t="s">
        <v>48</v>
      </c>
      <c r="B49" s="5" t="s">
        <v>49</v>
      </c>
      <c r="C49" s="6">
        <v>6098000000</v>
      </c>
    </row>
    <row r="50" spans="1:3" hidden="1">
      <c r="A50" s="3" t="s">
        <v>48</v>
      </c>
      <c r="B50" s="3" t="s">
        <v>51</v>
      </c>
      <c r="C50" s="4">
        <v>14945000000</v>
      </c>
    </row>
    <row r="51" spans="1:3" hidden="1">
      <c r="A51" s="5" t="s">
        <v>48</v>
      </c>
      <c r="B51" s="5" t="s">
        <v>51</v>
      </c>
      <c r="C51" s="6">
        <v>14813500000</v>
      </c>
    </row>
    <row r="52" spans="1:3" hidden="1">
      <c r="A52" s="3" t="s">
        <v>48</v>
      </c>
      <c r="B52" s="3" t="s">
        <v>51</v>
      </c>
      <c r="C52" s="4">
        <v>16378600000</v>
      </c>
    </row>
    <row r="53" spans="1:3" hidden="1">
      <c r="A53" s="5" t="s">
        <v>48</v>
      </c>
      <c r="B53" s="5" t="s">
        <v>51</v>
      </c>
      <c r="C53" s="6">
        <v>16453200000</v>
      </c>
    </row>
    <row r="54" spans="1:3" hidden="1">
      <c r="A54" s="3" t="s">
        <v>53</v>
      </c>
      <c r="B54" s="3" t="s">
        <v>54</v>
      </c>
      <c r="C54" s="4">
        <v>25364000000</v>
      </c>
    </row>
    <row r="55" spans="1:3" hidden="1">
      <c r="A55" s="5" t="s">
        <v>53</v>
      </c>
      <c r="B55" s="5" t="s">
        <v>54</v>
      </c>
      <c r="C55" s="6">
        <v>23939000000</v>
      </c>
    </row>
    <row r="56" spans="1:3" hidden="1">
      <c r="A56" s="3" t="s">
        <v>53</v>
      </c>
      <c r="B56" s="3" t="s">
        <v>54</v>
      </c>
      <c r="C56" s="4">
        <v>22728000000</v>
      </c>
    </row>
    <row r="57" spans="1:3" hidden="1">
      <c r="A57" s="5" t="s">
        <v>53</v>
      </c>
      <c r="B57" s="5" t="s">
        <v>54</v>
      </c>
      <c r="C57" s="6">
        <v>20872000000</v>
      </c>
    </row>
    <row r="58" spans="1:3" hidden="1">
      <c r="A58" s="3" t="s">
        <v>53</v>
      </c>
      <c r="B58" s="3" t="s">
        <v>56</v>
      </c>
      <c r="C58" s="4">
        <v>71214000000</v>
      </c>
    </row>
    <row r="59" spans="1:3" hidden="1">
      <c r="A59" s="5" t="s">
        <v>53</v>
      </c>
      <c r="B59" s="5" t="s">
        <v>56</v>
      </c>
      <c r="C59" s="6">
        <v>68874000000</v>
      </c>
    </row>
    <row r="60" spans="1:3" hidden="1">
      <c r="A60" s="3" t="s">
        <v>53</v>
      </c>
      <c r="B60" s="3" t="s">
        <v>56</v>
      </c>
      <c r="C60" s="4">
        <v>64406000000</v>
      </c>
    </row>
    <row r="61" spans="1:3" hidden="1">
      <c r="A61" s="5" t="s">
        <v>53</v>
      </c>
      <c r="B61" s="5" t="s">
        <v>56</v>
      </c>
      <c r="C61" s="6">
        <v>58327000000</v>
      </c>
    </row>
    <row r="62" spans="1:3" hidden="1">
      <c r="A62" s="3" t="s">
        <v>58</v>
      </c>
      <c r="B62" s="3" t="s">
        <v>59</v>
      </c>
      <c r="C62" s="4">
        <v>958511000</v>
      </c>
    </row>
    <row r="63" spans="1:3" hidden="1">
      <c r="A63" s="5" t="s">
        <v>58</v>
      </c>
      <c r="B63" s="5" t="s">
        <v>59</v>
      </c>
      <c r="C63" s="6">
        <v>974053000</v>
      </c>
    </row>
    <row r="64" spans="1:3" hidden="1">
      <c r="A64" s="3" t="s">
        <v>58</v>
      </c>
      <c r="B64" s="3" t="s">
        <v>59</v>
      </c>
      <c r="C64" s="4">
        <v>984363000</v>
      </c>
    </row>
    <row r="65" spans="1:3" hidden="1">
      <c r="A65" s="5" t="s">
        <v>58</v>
      </c>
      <c r="B65" s="5" t="s">
        <v>59</v>
      </c>
      <c r="C65" s="6">
        <v>981310000</v>
      </c>
    </row>
    <row r="66" spans="1:3" hidden="1">
      <c r="A66" s="3" t="s">
        <v>53</v>
      </c>
      <c r="B66" s="3" t="s">
        <v>61</v>
      </c>
      <c r="C66" s="4">
        <v>9047657000</v>
      </c>
    </row>
    <row r="67" spans="1:3" hidden="1">
      <c r="A67" s="5" t="s">
        <v>53</v>
      </c>
      <c r="B67" s="5" t="s">
        <v>61</v>
      </c>
      <c r="C67" s="6">
        <v>10381653000</v>
      </c>
    </row>
    <row r="68" spans="1:3" hidden="1">
      <c r="A68" s="3" t="s">
        <v>53</v>
      </c>
      <c r="B68" s="3" t="s">
        <v>61</v>
      </c>
      <c r="C68" s="4">
        <v>10325494000</v>
      </c>
    </row>
    <row r="69" spans="1:3" hidden="1">
      <c r="A69" s="5" t="s">
        <v>53</v>
      </c>
      <c r="B69" s="5" t="s">
        <v>61</v>
      </c>
      <c r="C69" s="6">
        <v>7531780000</v>
      </c>
    </row>
    <row r="70" spans="1:3" hidden="1">
      <c r="A70" s="3" t="s">
        <v>28</v>
      </c>
      <c r="B70" s="3" t="s">
        <v>63</v>
      </c>
      <c r="C70" s="4">
        <v>1373947000</v>
      </c>
    </row>
    <row r="71" spans="1:3" hidden="1">
      <c r="A71" s="5" t="s">
        <v>28</v>
      </c>
      <c r="B71" s="5" t="s">
        <v>63</v>
      </c>
      <c r="C71" s="6">
        <v>1577922000</v>
      </c>
    </row>
    <row r="72" spans="1:3" hidden="1">
      <c r="A72" s="3" t="s">
        <v>28</v>
      </c>
      <c r="B72" s="3" t="s">
        <v>63</v>
      </c>
      <c r="C72" s="4">
        <v>1963874000</v>
      </c>
    </row>
    <row r="73" spans="1:3" hidden="1">
      <c r="A73" s="5" t="s">
        <v>28</v>
      </c>
      <c r="B73" s="5" t="s">
        <v>63</v>
      </c>
      <c r="C73" s="6">
        <v>2197448000</v>
      </c>
    </row>
    <row r="74" spans="1:3" hidden="1">
      <c r="A74" s="3" t="s">
        <v>65</v>
      </c>
      <c r="B74" s="3" t="s">
        <v>66</v>
      </c>
      <c r="C74" s="4">
        <v>2519154000</v>
      </c>
    </row>
    <row r="75" spans="1:3" hidden="1">
      <c r="A75" s="5" t="s">
        <v>65</v>
      </c>
      <c r="B75" s="5" t="s">
        <v>66</v>
      </c>
      <c r="C75" s="6">
        <v>2394270000</v>
      </c>
    </row>
    <row r="76" spans="1:3" hidden="1">
      <c r="A76" s="3" t="s">
        <v>65</v>
      </c>
      <c r="B76" s="3" t="s">
        <v>66</v>
      </c>
      <c r="C76" s="4">
        <v>2445548000</v>
      </c>
    </row>
    <row r="77" spans="1:3" hidden="1">
      <c r="A77" s="5" t="s">
        <v>65</v>
      </c>
      <c r="B77" s="5" t="s">
        <v>66</v>
      </c>
      <c r="C77" s="6">
        <v>3651335000</v>
      </c>
    </row>
    <row r="78" spans="1:3" hidden="1">
      <c r="A78" s="3" t="s">
        <v>19</v>
      </c>
      <c r="B78" s="3" t="s">
        <v>20</v>
      </c>
      <c r="C78" s="4">
        <v>4657000000</v>
      </c>
    </row>
    <row r="79" spans="1:3" hidden="1">
      <c r="A79" s="5" t="s">
        <v>19</v>
      </c>
      <c r="B79" s="5" t="s">
        <v>20</v>
      </c>
      <c r="C79" s="6">
        <v>5156000000</v>
      </c>
    </row>
    <row r="80" spans="1:3" hidden="1">
      <c r="A80" s="3" t="s">
        <v>19</v>
      </c>
      <c r="B80" s="3" t="s">
        <v>20</v>
      </c>
      <c r="C80" s="4">
        <v>5368000000</v>
      </c>
    </row>
    <row r="81" spans="1:3" hidden="1">
      <c r="A81" s="5" t="s">
        <v>19</v>
      </c>
      <c r="B81" s="5" t="s">
        <v>20</v>
      </c>
      <c r="C81" s="6">
        <v>5598000000</v>
      </c>
    </row>
    <row r="82" spans="1:3" hidden="1">
      <c r="A82" s="3" t="s">
        <v>53</v>
      </c>
      <c r="B82" s="3" t="s">
        <v>56</v>
      </c>
      <c r="C82" s="4">
        <v>33315000000</v>
      </c>
    </row>
    <row r="83" spans="1:3" hidden="1">
      <c r="A83" s="5" t="s">
        <v>53</v>
      </c>
      <c r="B83" s="5" t="s">
        <v>56</v>
      </c>
      <c r="C83" s="6">
        <v>34507000000</v>
      </c>
    </row>
    <row r="84" spans="1:3" hidden="1">
      <c r="A84" s="3" t="s">
        <v>53</v>
      </c>
      <c r="B84" s="3" t="s">
        <v>56</v>
      </c>
      <c r="C84" s="4">
        <v>35239000000</v>
      </c>
    </row>
    <row r="85" spans="1:3" hidden="1">
      <c r="A85" s="5" t="s">
        <v>53</v>
      </c>
      <c r="B85" s="5" t="s">
        <v>56</v>
      </c>
      <c r="C85" s="6">
        <v>35653000000</v>
      </c>
    </row>
    <row r="86" spans="1:3" hidden="1">
      <c r="A86" s="3" t="s">
        <v>19</v>
      </c>
      <c r="B86" s="3" t="s">
        <v>70</v>
      </c>
      <c r="C86" s="4">
        <v>2069600000</v>
      </c>
    </row>
    <row r="87" spans="1:3" hidden="1">
      <c r="A87" s="5" t="s">
        <v>19</v>
      </c>
      <c r="B87" s="5" t="s">
        <v>70</v>
      </c>
      <c r="C87" s="6">
        <v>2118300000</v>
      </c>
    </row>
    <row r="88" spans="1:3" hidden="1">
      <c r="A88" s="3" t="s">
        <v>19</v>
      </c>
      <c r="B88" s="3" t="s">
        <v>70</v>
      </c>
      <c r="C88" s="4">
        <v>2068100000</v>
      </c>
    </row>
    <row r="89" spans="1:3" hidden="1">
      <c r="A89" s="5" t="s">
        <v>19</v>
      </c>
      <c r="B89" s="5" t="s">
        <v>70</v>
      </c>
      <c r="C89" s="6">
        <v>2238000000</v>
      </c>
    </row>
    <row r="90" spans="1:3" hidden="1">
      <c r="A90" s="3" t="s">
        <v>31</v>
      </c>
      <c r="B90" s="3" t="s">
        <v>72</v>
      </c>
      <c r="C90" s="4">
        <v>1551346000</v>
      </c>
    </row>
    <row r="91" spans="1:3" hidden="1">
      <c r="A91" s="5" t="s">
        <v>31</v>
      </c>
      <c r="B91" s="5" t="s">
        <v>72</v>
      </c>
      <c r="C91" s="6">
        <v>2234000000</v>
      </c>
    </row>
    <row r="92" spans="1:3" hidden="1">
      <c r="A92" s="3" t="s">
        <v>31</v>
      </c>
      <c r="B92" s="3" t="s">
        <v>72</v>
      </c>
      <c r="C92" s="4">
        <v>2604000000</v>
      </c>
    </row>
    <row r="93" spans="1:3" hidden="1">
      <c r="A93" s="5" t="s">
        <v>31</v>
      </c>
      <c r="B93" s="5" t="s">
        <v>72</v>
      </c>
      <c r="C93" s="6">
        <v>3084000000</v>
      </c>
    </row>
    <row r="94" spans="1:3" hidden="1">
      <c r="A94" s="3" t="s">
        <v>28</v>
      </c>
      <c r="B94" s="3" t="s">
        <v>74</v>
      </c>
      <c r="C94" s="4">
        <v>7509000000</v>
      </c>
    </row>
    <row r="95" spans="1:3" hidden="1">
      <c r="A95" s="5" t="s">
        <v>28</v>
      </c>
      <c r="B95" s="5" t="s">
        <v>74</v>
      </c>
      <c r="C95" s="6">
        <v>9072000000</v>
      </c>
    </row>
    <row r="96" spans="1:3" hidden="1">
      <c r="A96" s="3" t="s">
        <v>28</v>
      </c>
      <c r="B96" s="3" t="s">
        <v>74</v>
      </c>
      <c r="C96" s="4">
        <v>9659000000</v>
      </c>
    </row>
    <row r="97" spans="1:3" hidden="1">
      <c r="A97" s="5" t="s">
        <v>28</v>
      </c>
      <c r="B97" s="5" t="s">
        <v>74</v>
      </c>
      <c r="C97" s="6">
        <v>10825000000</v>
      </c>
    </row>
    <row r="98" spans="1:3" hidden="1">
      <c r="A98" s="3" t="s">
        <v>19</v>
      </c>
      <c r="B98" s="3" t="s">
        <v>76</v>
      </c>
      <c r="C98" s="4">
        <v>3334213000</v>
      </c>
    </row>
    <row r="99" spans="1:3" hidden="1">
      <c r="A99" s="5" t="s">
        <v>19</v>
      </c>
      <c r="B99" s="5" t="s">
        <v>76</v>
      </c>
      <c r="C99" s="6">
        <v>3594136000</v>
      </c>
    </row>
    <row r="100" spans="1:3" hidden="1">
      <c r="A100" s="3" t="s">
        <v>19</v>
      </c>
      <c r="B100" s="3" t="s">
        <v>76</v>
      </c>
      <c r="C100" s="4">
        <v>4021964000</v>
      </c>
    </row>
    <row r="101" spans="1:3" hidden="1">
      <c r="A101" s="5" t="s">
        <v>19</v>
      </c>
      <c r="B101" s="5" t="s">
        <v>76</v>
      </c>
      <c r="C101" s="6">
        <v>3974295000</v>
      </c>
    </row>
    <row r="102" spans="1:3" hidden="1">
      <c r="A102" s="3" t="s">
        <v>31</v>
      </c>
      <c r="B102" s="3" t="s">
        <v>72</v>
      </c>
      <c r="C102" s="4">
        <v>18676000000</v>
      </c>
    </row>
    <row r="103" spans="1:3" hidden="1">
      <c r="A103" s="5" t="s">
        <v>31</v>
      </c>
      <c r="B103" s="5" t="s">
        <v>72</v>
      </c>
      <c r="C103" s="6">
        <v>20063000000</v>
      </c>
    </row>
    <row r="104" spans="1:3" hidden="1">
      <c r="A104" s="3" t="s">
        <v>31</v>
      </c>
      <c r="B104" s="3" t="s">
        <v>72</v>
      </c>
      <c r="C104" s="4">
        <v>21662000000</v>
      </c>
    </row>
    <row r="105" spans="1:3" hidden="1">
      <c r="A105" s="5" t="s">
        <v>31</v>
      </c>
      <c r="B105" s="5" t="s">
        <v>72</v>
      </c>
      <c r="C105" s="6">
        <v>22991000000</v>
      </c>
    </row>
    <row r="106" spans="1:3" hidden="1">
      <c r="A106" s="3" t="s">
        <v>53</v>
      </c>
      <c r="B106" s="3" t="s">
        <v>79</v>
      </c>
      <c r="C106" s="4">
        <v>10259000000</v>
      </c>
    </row>
    <row r="107" spans="1:3" hidden="1">
      <c r="A107" s="5" t="s">
        <v>53</v>
      </c>
      <c r="B107" s="5" t="s">
        <v>79</v>
      </c>
      <c r="C107" s="6">
        <v>11230000000</v>
      </c>
    </row>
    <row r="108" spans="1:3" hidden="1">
      <c r="A108" s="3" t="s">
        <v>53</v>
      </c>
      <c r="B108" s="3" t="s">
        <v>79</v>
      </c>
      <c r="C108" s="4">
        <v>12296000000</v>
      </c>
    </row>
    <row r="109" spans="1:3" hidden="1">
      <c r="A109" s="5" t="s">
        <v>53</v>
      </c>
      <c r="B109" s="5" t="s">
        <v>79</v>
      </c>
      <c r="C109" s="6">
        <v>12200000000</v>
      </c>
    </row>
    <row r="110" spans="1:3" hidden="1">
      <c r="A110" s="3" t="s">
        <v>58</v>
      </c>
      <c r="B110" s="3" t="s">
        <v>81</v>
      </c>
      <c r="C110" s="4">
        <v>2875960000</v>
      </c>
    </row>
    <row r="111" spans="1:3" hidden="1">
      <c r="A111" s="5" t="s">
        <v>58</v>
      </c>
      <c r="B111" s="5" t="s">
        <v>81</v>
      </c>
      <c r="C111" s="6">
        <v>3361407000</v>
      </c>
    </row>
    <row r="112" spans="1:3" hidden="1">
      <c r="A112" s="3" t="s">
        <v>58</v>
      </c>
      <c r="B112" s="3" t="s">
        <v>81</v>
      </c>
      <c r="C112" s="4">
        <v>4100048000</v>
      </c>
    </row>
    <row r="113" spans="1:5" hidden="1">
      <c r="A113" s="5" t="s">
        <v>58</v>
      </c>
      <c r="B113" s="5" t="s">
        <v>81</v>
      </c>
      <c r="C113" s="6">
        <v>4771516000</v>
      </c>
    </row>
    <row r="114" spans="1:5" hidden="1">
      <c r="A114" s="3" t="s">
        <v>25</v>
      </c>
      <c r="B114" s="3" t="s">
        <v>83</v>
      </c>
      <c r="C114" s="4">
        <v>74452000000</v>
      </c>
    </row>
    <row r="115" spans="1:5" hidden="1">
      <c r="A115" s="5" t="s">
        <v>25</v>
      </c>
      <c r="B115" s="5" t="s">
        <v>83</v>
      </c>
      <c r="C115" s="6">
        <v>88988000000</v>
      </c>
    </row>
    <row r="116" spans="1:5" hidden="1">
      <c r="A116" s="3" t="s">
        <v>25</v>
      </c>
      <c r="B116" s="3" t="s">
        <v>83</v>
      </c>
      <c r="C116" s="4">
        <v>107006000000</v>
      </c>
    </row>
    <row r="117" spans="1:5" hidden="1">
      <c r="A117" s="5" t="s">
        <v>25</v>
      </c>
      <c r="B117" s="5" t="s">
        <v>83</v>
      </c>
      <c r="C117" s="6">
        <v>135987000000</v>
      </c>
    </row>
    <row r="118" spans="1:5" hidden="1">
      <c r="A118" s="3" t="s">
        <v>25</v>
      </c>
      <c r="B118" s="3" t="s">
        <v>85</v>
      </c>
      <c r="C118" s="4">
        <v>17517600000</v>
      </c>
    </row>
    <row r="119" spans="1:5" hidden="1">
      <c r="A119" s="5" t="s">
        <v>25</v>
      </c>
      <c r="B119" s="5" t="s">
        <v>85</v>
      </c>
      <c r="C119" s="6">
        <v>19108800000</v>
      </c>
    </row>
    <row r="120" spans="1:5" hidden="1">
      <c r="A120" s="3" t="s">
        <v>25</v>
      </c>
      <c r="B120" s="3" t="s">
        <v>85</v>
      </c>
      <c r="C120" s="4">
        <v>20862000000</v>
      </c>
    </row>
    <row r="121" spans="1:5" hidden="1">
      <c r="A121" s="5" t="s">
        <v>25</v>
      </c>
      <c r="B121" s="5" t="s">
        <v>85</v>
      </c>
      <c r="C121" s="6">
        <v>21609000000</v>
      </c>
    </row>
    <row r="122" spans="1:5" hidden="1">
      <c r="A122" s="3" t="s">
        <v>31</v>
      </c>
      <c r="B122" s="3" t="s">
        <v>87</v>
      </c>
      <c r="C122" s="4">
        <v>61497200000</v>
      </c>
    </row>
    <row r="123" spans="1:5" hidden="1">
      <c r="A123" s="5" t="s">
        <v>31</v>
      </c>
      <c r="B123" s="5" t="s">
        <v>87</v>
      </c>
      <c r="C123" s="6">
        <v>71023500000</v>
      </c>
    </row>
    <row r="124" spans="1:5" hidden="1">
      <c r="A124" s="3" t="s">
        <v>31</v>
      </c>
      <c r="B124" s="3" t="s">
        <v>87</v>
      </c>
      <c r="C124" s="4">
        <v>73874100000</v>
      </c>
    </row>
    <row r="125" spans="1:5" hidden="1">
      <c r="A125" s="5" t="s">
        <v>31</v>
      </c>
      <c r="B125" s="5" t="s">
        <v>87</v>
      </c>
      <c r="C125" s="6">
        <v>79156500000</v>
      </c>
    </row>
    <row r="126" spans="1:5">
      <c r="A126" s="3" t="s">
        <v>89</v>
      </c>
      <c r="B126" s="3" t="s">
        <v>90</v>
      </c>
      <c r="C126" s="4">
        <v>16428000000</v>
      </c>
    </row>
    <row r="127" spans="1:5">
      <c r="A127" s="5" t="s">
        <v>89</v>
      </c>
      <c r="B127" s="5" t="s">
        <v>90</v>
      </c>
      <c r="C127" s="6">
        <v>14771000000</v>
      </c>
    </row>
    <row r="128" spans="1:5">
      <c r="A128" s="3" t="s">
        <v>89</v>
      </c>
      <c r="B128" s="3" t="s">
        <v>90</v>
      </c>
      <c r="C128" s="4">
        <v>12691000000</v>
      </c>
      <c r="D128" t="s">
        <v>582</v>
      </c>
      <c r="E128" s="17">
        <f>MIN(C:C)</f>
        <v>1514000</v>
      </c>
    </row>
    <row r="129" spans="1:5">
      <c r="A129" s="5" t="s">
        <v>89</v>
      </c>
      <c r="B129" s="5" t="s">
        <v>90</v>
      </c>
      <c r="C129" s="6">
        <v>6383000000</v>
      </c>
      <c r="D129" t="s">
        <v>583</v>
      </c>
      <c r="E129" s="17">
        <f>MAX(C:C)</f>
        <v>485651000000</v>
      </c>
    </row>
    <row r="130" spans="1:5">
      <c r="A130" s="3" t="s">
        <v>89</v>
      </c>
      <c r="B130" s="3" t="s">
        <v>90</v>
      </c>
      <c r="C130" s="4">
        <v>14581000000</v>
      </c>
      <c r="D130" t="s">
        <v>584</v>
      </c>
      <c r="E130" s="17">
        <f>AVERAGE(C:C)</f>
        <v>20721007249.122807</v>
      </c>
    </row>
    <row r="131" spans="1:5">
      <c r="A131" s="5" t="s">
        <v>89</v>
      </c>
      <c r="B131" s="5" t="s">
        <v>90</v>
      </c>
      <c r="C131" s="6">
        <v>18470000000</v>
      </c>
      <c r="D131" t="s">
        <v>585</v>
      </c>
      <c r="E131" s="81">
        <f>STDEV(C:C)</f>
        <v>41638455339.417374</v>
      </c>
    </row>
    <row r="132" spans="1:5">
      <c r="A132" s="3" t="s">
        <v>89</v>
      </c>
      <c r="B132" s="3" t="s">
        <v>90</v>
      </c>
      <c r="C132" s="4">
        <v>8698000000</v>
      </c>
      <c r="D132" t="s">
        <v>586</v>
      </c>
      <c r="E132" s="17">
        <f>MEDIAN(C127:C146)</f>
        <v>10037650000</v>
      </c>
    </row>
    <row r="133" spans="1:5">
      <c r="A133" s="5" t="s">
        <v>89</v>
      </c>
      <c r="B133" s="5" t="s">
        <v>90</v>
      </c>
      <c r="C133" s="6">
        <v>7869000000</v>
      </c>
    </row>
    <row r="134" spans="1:5" hidden="1">
      <c r="A134" s="3" t="s">
        <v>65</v>
      </c>
      <c r="B134" s="3" t="s">
        <v>93</v>
      </c>
      <c r="C134" s="4">
        <v>10180400000</v>
      </c>
    </row>
    <row r="135" spans="1:5" hidden="1">
      <c r="A135" s="5" t="s">
        <v>65</v>
      </c>
      <c r="B135" s="5" t="s">
        <v>93</v>
      </c>
      <c r="C135" s="6">
        <v>10439000000</v>
      </c>
    </row>
    <row r="136" spans="1:5" hidden="1">
      <c r="A136" s="3" t="s">
        <v>65</v>
      </c>
      <c r="B136" s="3" t="s">
        <v>93</v>
      </c>
      <c r="C136" s="4">
        <v>9894900000</v>
      </c>
    </row>
    <row r="137" spans="1:5" hidden="1">
      <c r="A137" s="5" t="s">
        <v>65</v>
      </c>
      <c r="B137" s="5" t="s">
        <v>93</v>
      </c>
      <c r="C137" s="6">
        <v>9524400000</v>
      </c>
    </row>
    <row r="138" spans="1:5" hidden="1">
      <c r="A138" s="3" t="s">
        <v>28</v>
      </c>
      <c r="B138" s="3" t="s">
        <v>95</v>
      </c>
      <c r="C138" s="4">
        <v>4292100000</v>
      </c>
    </row>
    <row r="139" spans="1:5" hidden="1">
      <c r="A139" s="5" t="s">
        <v>28</v>
      </c>
      <c r="B139" s="5" t="s">
        <v>95</v>
      </c>
      <c r="C139" s="6">
        <v>4614700000</v>
      </c>
    </row>
    <row r="140" spans="1:5" hidden="1">
      <c r="A140" s="3" t="s">
        <v>28</v>
      </c>
      <c r="B140" s="3" t="s">
        <v>95</v>
      </c>
      <c r="C140" s="4">
        <v>5345500000</v>
      </c>
    </row>
    <row r="141" spans="1:5" hidden="1">
      <c r="A141" s="5" t="s">
        <v>28</v>
      </c>
      <c r="B141" s="5" t="s">
        <v>95</v>
      </c>
      <c r="C141" s="6">
        <v>5568700000</v>
      </c>
    </row>
    <row r="142" spans="1:5" hidden="1">
      <c r="A142" s="3" t="s">
        <v>19</v>
      </c>
      <c r="B142" s="3" t="s">
        <v>97</v>
      </c>
      <c r="C142" s="4">
        <v>23700000000</v>
      </c>
    </row>
    <row r="143" spans="1:5" hidden="1">
      <c r="A143" s="5" t="s">
        <v>19</v>
      </c>
      <c r="B143" s="5" t="s">
        <v>97</v>
      </c>
      <c r="C143" s="6">
        <v>23032000000</v>
      </c>
    </row>
    <row r="144" spans="1:5" hidden="1">
      <c r="A144" s="3" t="s">
        <v>19</v>
      </c>
      <c r="B144" s="3" t="s">
        <v>97</v>
      </c>
      <c r="C144" s="4">
        <v>23906000000</v>
      </c>
    </row>
    <row r="145" spans="1:3" hidden="1">
      <c r="A145" s="5" t="s">
        <v>19</v>
      </c>
      <c r="B145" s="5" t="s">
        <v>97</v>
      </c>
      <c r="C145" s="6">
        <v>22534000000</v>
      </c>
    </row>
    <row r="146" spans="1:3" hidden="1">
      <c r="A146" s="3" t="s">
        <v>28</v>
      </c>
      <c r="B146" s="3" t="s">
        <v>99</v>
      </c>
      <c r="C146" s="4">
        <v>4856000000</v>
      </c>
    </row>
    <row r="147" spans="1:3" hidden="1">
      <c r="A147" s="5" t="s">
        <v>28</v>
      </c>
      <c r="B147" s="5" t="s">
        <v>99</v>
      </c>
      <c r="C147" s="6">
        <v>4583000000</v>
      </c>
    </row>
    <row r="148" spans="1:3" hidden="1">
      <c r="A148" s="3" t="s">
        <v>28</v>
      </c>
      <c r="B148" s="3" t="s">
        <v>99</v>
      </c>
      <c r="C148" s="4">
        <v>4408000000</v>
      </c>
    </row>
    <row r="149" spans="1:3" hidden="1">
      <c r="A149" s="5" t="s">
        <v>28</v>
      </c>
      <c r="B149" s="5" t="s">
        <v>99</v>
      </c>
      <c r="C149" s="6">
        <v>4664000000</v>
      </c>
    </row>
    <row r="150" spans="1:3" hidden="1">
      <c r="A150" s="3" t="s">
        <v>28</v>
      </c>
      <c r="B150" s="3" t="s">
        <v>40</v>
      </c>
      <c r="C150" s="4">
        <v>6824000000</v>
      </c>
    </row>
    <row r="151" spans="1:3" hidden="1">
      <c r="A151" s="5" t="s">
        <v>28</v>
      </c>
      <c r="B151" s="5" t="s">
        <v>40</v>
      </c>
      <c r="C151" s="6">
        <v>13240000000</v>
      </c>
    </row>
    <row r="152" spans="1:3" hidden="1">
      <c r="A152" s="3" t="s">
        <v>65</v>
      </c>
      <c r="B152" s="3" t="s">
        <v>102</v>
      </c>
      <c r="C152" s="4">
        <v>5863500000</v>
      </c>
    </row>
    <row r="153" spans="1:3" hidden="1">
      <c r="A153" s="5" t="s">
        <v>65</v>
      </c>
      <c r="B153" s="5" t="s">
        <v>102</v>
      </c>
      <c r="C153" s="6">
        <v>6140000000</v>
      </c>
    </row>
    <row r="154" spans="1:3" hidden="1">
      <c r="A154" s="3" t="s">
        <v>65</v>
      </c>
      <c r="B154" s="3" t="s">
        <v>102</v>
      </c>
      <c r="C154" s="4">
        <v>6330300000</v>
      </c>
    </row>
    <row r="155" spans="1:3" hidden="1">
      <c r="A155" s="5" t="s">
        <v>65</v>
      </c>
      <c r="B155" s="5" t="s">
        <v>102</v>
      </c>
      <c r="C155" s="6">
        <v>5966900000</v>
      </c>
    </row>
    <row r="156" spans="1:3" hidden="1">
      <c r="A156" s="3" t="s">
        <v>48</v>
      </c>
      <c r="B156" s="3" t="s">
        <v>104</v>
      </c>
      <c r="C156" s="4">
        <v>2853926000</v>
      </c>
    </row>
    <row r="157" spans="1:3" hidden="1">
      <c r="A157" s="5" t="s">
        <v>48</v>
      </c>
      <c r="B157" s="5" t="s">
        <v>104</v>
      </c>
      <c r="C157" s="6">
        <v>2879000000</v>
      </c>
    </row>
    <row r="158" spans="1:3" hidden="1">
      <c r="A158" s="3" t="s">
        <v>48</v>
      </c>
      <c r="B158" s="3" t="s">
        <v>104</v>
      </c>
      <c r="C158" s="4">
        <v>3011000000</v>
      </c>
    </row>
    <row r="159" spans="1:3" hidden="1">
      <c r="A159" s="5" t="s">
        <v>48</v>
      </c>
      <c r="B159" s="5" t="s">
        <v>104</v>
      </c>
      <c r="C159" s="6">
        <v>3159000000</v>
      </c>
    </row>
    <row r="160" spans="1:3" hidden="1">
      <c r="A160" s="3" t="s">
        <v>53</v>
      </c>
      <c r="B160" s="3" t="s">
        <v>106</v>
      </c>
      <c r="C160" s="4">
        <v>33781000000</v>
      </c>
    </row>
    <row r="161" spans="1:3" hidden="1">
      <c r="A161" s="5" t="s">
        <v>53</v>
      </c>
      <c r="B161" s="5" t="s">
        <v>106</v>
      </c>
      <c r="C161" s="6">
        <v>34828000000</v>
      </c>
    </row>
    <row r="162" spans="1:3" hidden="1">
      <c r="A162" s="3" t="s">
        <v>53</v>
      </c>
      <c r="B162" s="3" t="s">
        <v>106</v>
      </c>
      <c r="C162" s="4">
        <v>35895000000</v>
      </c>
    </row>
    <row r="163" spans="1:3" hidden="1">
      <c r="A163" s="5" t="s">
        <v>53</v>
      </c>
      <c r="B163" s="5" t="s">
        <v>106</v>
      </c>
      <c r="C163" s="6">
        <v>34441000000</v>
      </c>
    </row>
    <row r="164" spans="1:3" hidden="1">
      <c r="A164" s="3" t="s">
        <v>19</v>
      </c>
      <c r="B164" s="3" t="s">
        <v>76</v>
      </c>
      <c r="C164" s="4">
        <v>2089100000</v>
      </c>
    </row>
    <row r="165" spans="1:3" hidden="1">
      <c r="A165" s="5" t="s">
        <v>19</v>
      </c>
      <c r="B165" s="5" t="s">
        <v>76</v>
      </c>
      <c r="C165" s="6">
        <v>2393500000</v>
      </c>
    </row>
    <row r="166" spans="1:3" hidden="1">
      <c r="A166" s="3" t="s">
        <v>19</v>
      </c>
      <c r="B166" s="3" t="s">
        <v>76</v>
      </c>
      <c r="C166" s="4">
        <v>2706700000</v>
      </c>
    </row>
    <row r="167" spans="1:3" hidden="1">
      <c r="A167" s="5" t="s">
        <v>19</v>
      </c>
      <c r="B167" s="5" t="s">
        <v>76</v>
      </c>
      <c r="C167" s="6">
        <v>3291300000</v>
      </c>
    </row>
    <row r="168" spans="1:3" hidden="1">
      <c r="A168" s="3" t="s">
        <v>25</v>
      </c>
      <c r="B168" s="3" t="s">
        <v>85</v>
      </c>
      <c r="C168" s="4">
        <v>9147530000</v>
      </c>
    </row>
    <row r="169" spans="1:3" hidden="1">
      <c r="A169" s="5" t="s">
        <v>25</v>
      </c>
      <c r="B169" s="5" t="s">
        <v>85</v>
      </c>
      <c r="C169" s="6">
        <v>9475313000</v>
      </c>
    </row>
    <row r="170" spans="1:3" hidden="1">
      <c r="A170" s="3" t="s">
        <v>25</v>
      </c>
      <c r="B170" s="3" t="s">
        <v>85</v>
      </c>
      <c r="C170" s="4">
        <v>10187340000</v>
      </c>
    </row>
    <row r="171" spans="1:3" hidden="1">
      <c r="A171" s="5" t="s">
        <v>25</v>
      </c>
      <c r="B171" s="5" t="s">
        <v>85</v>
      </c>
      <c r="C171" s="6">
        <v>10635676000</v>
      </c>
    </row>
    <row r="172" spans="1:3" hidden="1">
      <c r="A172" s="3" t="s">
        <v>19</v>
      </c>
      <c r="B172" s="3" t="s">
        <v>97</v>
      </c>
      <c r="C172" s="4">
        <v>86623000000</v>
      </c>
    </row>
    <row r="173" spans="1:3" hidden="1">
      <c r="A173" s="5" t="s">
        <v>19</v>
      </c>
      <c r="B173" s="5" t="s">
        <v>97</v>
      </c>
      <c r="C173" s="6">
        <v>90762000000</v>
      </c>
    </row>
    <row r="174" spans="1:3" hidden="1">
      <c r="A174" s="3" t="s">
        <v>19</v>
      </c>
      <c r="B174" s="3" t="s">
        <v>97</v>
      </c>
      <c r="C174" s="4">
        <v>96114000000</v>
      </c>
    </row>
    <row r="175" spans="1:3" hidden="1">
      <c r="A175" s="5" t="s">
        <v>19</v>
      </c>
      <c r="B175" s="5" t="s">
        <v>97</v>
      </c>
      <c r="C175" s="6">
        <v>94571000000</v>
      </c>
    </row>
    <row r="176" spans="1:3" hidden="1">
      <c r="A176" s="3" t="s">
        <v>53</v>
      </c>
      <c r="B176" s="3" t="s">
        <v>111</v>
      </c>
      <c r="C176" s="4">
        <v>100078000000</v>
      </c>
    </row>
    <row r="177" spans="1:3" hidden="1">
      <c r="A177" s="5" t="s">
        <v>53</v>
      </c>
      <c r="B177" s="5" t="s">
        <v>111</v>
      </c>
      <c r="C177" s="6">
        <v>101697000000</v>
      </c>
    </row>
    <row r="178" spans="1:3" hidden="1">
      <c r="A178" s="3" t="s">
        <v>53</v>
      </c>
      <c r="B178" s="3" t="s">
        <v>111</v>
      </c>
      <c r="C178" s="4">
        <v>95181000000</v>
      </c>
    </row>
    <row r="179" spans="1:3" hidden="1">
      <c r="A179" s="5" t="s">
        <v>53</v>
      </c>
      <c r="B179" s="5" t="s">
        <v>111</v>
      </c>
      <c r="C179" s="6">
        <v>93056000000</v>
      </c>
    </row>
    <row r="180" spans="1:3" hidden="1">
      <c r="A180" s="3" t="s">
        <v>31</v>
      </c>
      <c r="B180" s="3" t="s">
        <v>36</v>
      </c>
      <c r="C180" s="4">
        <v>13936000000</v>
      </c>
    </row>
    <row r="181" spans="1:3" hidden="1">
      <c r="A181" s="5" t="s">
        <v>31</v>
      </c>
      <c r="B181" s="5" t="s">
        <v>36</v>
      </c>
      <c r="C181" s="6">
        <v>9413000000</v>
      </c>
    </row>
    <row r="182" spans="1:3" hidden="1">
      <c r="A182" s="3" t="s">
        <v>31</v>
      </c>
      <c r="B182" s="3" t="s">
        <v>36</v>
      </c>
      <c r="C182" s="4">
        <v>10719000000</v>
      </c>
    </row>
    <row r="183" spans="1:3" hidden="1">
      <c r="A183" s="5" t="s">
        <v>31</v>
      </c>
      <c r="B183" s="5" t="s">
        <v>36</v>
      </c>
      <c r="C183" s="6">
        <v>9968000000</v>
      </c>
    </row>
    <row r="184" spans="1:3" hidden="1">
      <c r="A184" s="3" t="s">
        <v>25</v>
      </c>
      <c r="B184" s="3" t="s">
        <v>85</v>
      </c>
      <c r="C184" s="4">
        <v>10914585000</v>
      </c>
    </row>
    <row r="185" spans="1:3" hidden="1">
      <c r="A185" s="5" t="s">
        <v>25</v>
      </c>
      <c r="B185" s="5" t="s">
        <v>85</v>
      </c>
      <c r="C185" s="6">
        <v>11503963000</v>
      </c>
    </row>
    <row r="186" spans="1:3" hidden="1">
      <c r="A186" s="3" t="s">
        <v>25</v>
      </c>
      <c r="B186" s="3" t="s">
        <v>85</v>
      </c>
      <c r="C186" s="4">
        <v>11881176000</v>
      </c>
    </row>
    <row r="187" spans="1:3" hidden="1">
      <c r="A187" s="5" t="s">
        <v>25</v>
      </c>
      <c r="B187" s="5" t="s">
        <v>85</v>
      </c>
      <c r="C187" s="6">
        <v>12103887000</v>
      </c>
    </row>
    <row r="188" spans="1:3" hidden="1">
      <c r="A188" s="3" t="s">
        <v>53</v>
      </c>
      <c r="B188" s="3" t="s">
        <v>111</v>
      </c>
      <c r="C188" s="4">
        <v>10737000000</v>
      </c>
    </row>
    <row r="189" spans="1:3" hidden="1">
      <c r="A189" s="5" t="s">
        <v>53</v>
      </c>
      <c r="B189" s="5" t="s">
        <v>111</v>
      </c>
      <c r="C189" s="6">
        <v>10543000000</v>
      </c>
    </row>
    <row r="190" spans="1:3" hidden="1">
      <c r="A190" s="3" t="s">
        <v>53</v>
      </c>
      <c r="B190" s="3" t="s">
        <v>111</v>
      </c>
      <c r="C190" s="4">
        <v>9998000000</v>
      </c>
    </row>
    <row r="191" spans="1:3" hidden="1">
      <c r="A191" s="5" t="s">
        <v>53</v>
      </c>
      <c r="B191" s="5" t="s">
        <v>111</v>
      </c>
      <c r="C191" s="6">
        <v>10346000000</v>
      </c>
    </row>
    <row r="192" spans="1:3" hidden="1">
      <c r="A192" s="3" t="s">
        <v>25</v>
      </c>
      <c r="B192" s="3" t="s">
        <v>116</v>
      </c>
      <c r="C192" s="4">
        <v>45457000000</v>
      </c>
    </row>
    <row r="193" spans="1:3" hidden="1">
      <c r="A193" s="5" t="s">
        <v>25</v>
      </c>
      <c r="B193" s="5" t="s">
        <v>116</v>
      </c>
      <c r="C193" s="6">
        <v>40611000000</v>
      </c>
    </row>
    <row r="194" spans="1:3" hidden="1">
      <c r="A194" s="3" t="s">
        <v>25</v>
      </c>
      <c r="B194" s="3" t="s">
        <v>116</v>
      </c>
      <c r="C194" s="4">
        <v>40339000000</v>
      </c>
    </row>
    <row r="195" spans="1:3" hidden="1">
      <c r="A195" s="5" t="s">
        <v>25</v>
      </c>
      <c r="B195" s="5" t="s">
        <v>116</v>
      </c>
      <c r="C195" s="6">
        <v>39528000000</v>
      </c>
    </row>
    <row r="196" spans="1:3" hidden="1">
      <c r="A196" s="3" t="s">
        <v>31</v>
      </c>
      <c r="B196" s="3" t="s">
        <v>36</v>
      </c>
      <c r="C196" s="4">
        <v>3049500000</v>
      </c>
    </row>
    <row r="197" spans="1:3" hidden="1">
      <c r="A197" s="5" t="s">
        <v>31</v>
      </c>
      <c r="B197" s="5" t="s">
        <v>36</v>
      </c>
      <c r="C197" s="6">
        <v>3323600000</v>
      </c>
    </row>
    <row r="198" spans="1:3" hidden="1">
      <c r="A198" s="3" t="s">
        <v>31</v>
      </c>
      <c r="B198" s="3" t="s">
        <v>36</v>
      </c>
      <c r="C198" s="4">
        <v>3416000000</v>
      </c>
    </row>
    <row r="199" spans="1:3" hidden="1">
      <c r="A199" s="5" t="s">
        <v>31</v>
      </c>
      <c r="B199" s="5" t="s">
        <v>36</v>
      </c>
      <c r="C199" s="6">
        <v>3714000000</v>
      </c>
    </row>
    <row r="200" spans="1:3" hidden="1">
      <c r="A200" s="3" t="s">
        <v>31</v>
      </c>
      <c r="B200" s="3" t="s">
        <v>36</v>
      </c>
      <c r="C200" s="4">
        <v>8054000000</v>
      </c>
    </row>
    <row r="201" spans="1:3" hidden="1">
      <c r="A201" s="5" t="s">
        <v>31</v>
      </c>
      <c r="B201" s="5" t="s">
        <v>36</v>
      </c>
      <c r="C201" s="6">
        <v>8446000000</v>
      </c>
    </row>
    <row r="202" spans="1:3" hidden="1">
      <c r="A202" s="3" t="s">
        <v>31</v>
      </c>
      <c r="B202" s="3" t="s">
        <v>36</v>
      </c>
      <c r="C202" s="4">
        <v>10282000000</v>
      </c>
    </row>
    <row r="203" spans="1:3" hidden="1">
      <c r="A203" s="5" t="s">
        <v>31</v>
      </c>
      <c r="B203" s="5" t="s">
        <v>36</v>
      </c>
      <c r="C203" s="6">
        <v>12483000000</v>
      </c>
    </row>
    <row r="204" spans="1:3">
      <c r="A204" s="3" t="s">
        <v>89</v>
      </c>
      <c r="B204" s="3" t="s">
        <v>120</v>
      </c>
      <c r="C204" s="4">
        <v>22364000000</v>
      </c>
    </row>
    <row r="205" spans="1:3">
      <c r="A205" s="5" t="s">
        <v>89</v>
      </c>
      <c r="B205" s="5" t="s">
        <v>120</v>
      </c>
      <c r="C205" s="6">
        <v>24551000000</v>
      </c>
    </row>
    <row r="206" spans="1:3">
      <c r="A206" s="3" t="s">
        <v>89</v>
      </c>
      <c r="B206" s="3" t="s">
        <v>120</v>
      </c>
      <c r="C206" s="4">
        <v>15742000000</v>
      </c>
    </row>
    <row r="207" spans="1:3">
      <c r="A207" s="5" t="s">
        <v>89</v>
      </c>
      <c r="B207" s="5" t="s">
        <v>120</v>
      </c>
      <c r="C207" s="6">
        <v>9841000000</v>
      </c>
    </row>
    <row r="208" spans="1:3" hidden="1">
      <c r="A208" s="3" t="s">
        <v>31</v>
      </c>
      <c r="B208" s="3" t="s">
        <v>72</v>
      </c>
      <c r="C208" s="4">
        <v>6932200000</v>
      </c>
    </row>
    <row r="209" spans="1:3" hidden="1">
      <c r="A209" s="5" t="s">
        <v>31</v>
      </c>
      <c r="B209" s="5" t="s">
        <v>72</v>
      </c>
      <c r="C209" s="6">
        <v>9703300000</v>
      </c>
    </row>
    <row r="210" spans="1:3" hidden="1">
      <c r="A210" s="3" t="s">
        <v>31</v>
      </c>
      <c r="B210" s="3" t="s">
        <v>72</v>
      </c>
      <c r="C210" s="4">
        <v>10763800000</v>
      </c>
    </row>
    <row r="211" spans="1:3" hidden="1">
      <c r="A211" s="5" t="s">
        <v>31</v>
      </c>
      <c r="B211" s="5" t="s">
        <v>72</v>
      </c>
      <c r="C211" s="6">
        <v>11448800000</v>
      </c>
    </row>
    <row r="212" spans="1:3" hidden="1">
      <c r="A212" s="3" t="s">
        <v>65</v>
      </c>
      <c r="B212" s="3" t="s">
        <v>123</v>
      </c>
      <c r="C212" s="4">
        <v>8735700000</v>
      </c>
    </row>
    <row r="213" spans="1:3" hidden="1">
      <c r="A213" s="5" t="s">
        <v>65</v>
      </c>
      <c r="B213" s="5" t="s">
        <v>123</v>
      </c>
      <c r="C213" s="6">
        <v>8468100000</v>
      </c>
    </row>
    <row r="214" spans="1:3" hidden="1">
      <c r="A214" s="3" t="s">
        <v>65</v>
      </c>
      <c r="B214" s="3" t="s">
        <v>123</v>
      </c>
      <c r="C214" s="4">
        <v>8570000000</v>
      </c>
    </row>
    <row r="215" spans="1:3" hidden="1">
      <c r="A215" s="5" t="s">
        <v>65</v>
      </c>
      <c r="B215" s="5" t="s">
        <v>123</v>
      </c>
      <c r="C215" s="6">
        <v>7997000000</v>
      </c>
    </row>
    <row r="216" spans="1:3" hidden="1">
      <c r="A216" s="3" t="s">
        <v>31</v>
      </c>
      <c r="B216" s="3" t="s">
        <v>34</v>
      </c>
      <c r="C216" s="4">
        <v>17621000000</v>
      </c>
    </row>
    <row r="217" spans="1:3" hidden="1">
      <c r="A217" s="5" t="s">
        <v>31</v>
      </c>
      <c r="B217" s="5" t="s">
        <v>34</v>
      </c>
      <c r="C217" s="6">
        <v>16385000000</v>
      </c>
    </row>
    <row r="218" spans="1:3" hidden="1">
      <c r="A218" s="3" t="s">
        <v>31</v>
      </c>
      <c r="B218" s="3" t="s">
        <v>34</v>
      </c>
      <c r="C218" s="4">
        <v>15879000000</v>
      </c>
    </row>
    <row r="219" spans="1:3" hidden="1">
      <c r="A219" s="5" t="s">
        <v>31</v>
      </c>
      <c r="B219" s="5" t="s">
        <v>34</v>
      </c>
      <c r="C219" s="6">
        <v>16560000000</v>
      </c>
    </row>
    <row r="220" spans="1:3" hidden="1">
      <c r="A220" s="3" t="s">
        <v>31</v>
      </c>
      <c r="B220" s="3" t="s">
        <v>36</v>
      </c>
      <c r="C220" s="4">
        <v>7249000000</v>
      </c>
    </row>
    <row r="221" spans="1:3" hidden="1">
      <c r="A221" s="5" t="s">
        <v>31</v>
      </c>
      <c r="B221" s="5" t="s">
        <v>36</v>
      </c>
      <c r="C221" s="6">
        <v>7143000000</v>
      </c>
    </row>
    <row r="222" spans="1:3" hidden="1">
      <c r="A222" s="3" t="s">
        <v>31</v>
      </c>
      <c r="B222" s="3" t="s">
        <v>36</v>
      </c>
      <c r="C222" s="4">
        <v>7380000000</v>
      </c>
    </row>
    <row r="223" spans="1:3" hidden="1">
      <c r="A223" s="5" t="s">
        <v>31</v>
      </c>
      <c r="B223" s="5" t="s">
        <v>36</v>
      </c>
      <c r="C223" s="6">
        <v>7477000000</v>
      </c>
    </row>
    <row r="224" spans="1:3" hidden="1">
      <c r="A224" s="3" t="s">
        <v>25</v>
      </c>
      <c r="B224" s="3" t="s">
        <v>127</v>
      </c>
      <c r="C224" s="4">
        <v>7436600000</v>
      </c>
    </row>
    <row r="225" spans="1:3" hidden="1">
      <c r="A225" s="5" t="s">
        <v>25</v>
      </c>
      <c r="B225" s="5" t="s">
        <v>127</v>
      </c>
      <c r="C225" s="6">
        <v>8305100000</v>
      </c>
    </row>
    <row r="226" spans="1:3" hidden="1">
      <c r="A226" s="3" t="s">
        <v>25</v>
      </c>
      <c r="B226" s="3" t="s">
        <v>127</v>
      </c>
      <c r="C226" s="4">
        <v>8023200000</v>
      </c>
    </row>
    <row r="227" spans="1:3" hidden="1">
      <c r="A227" s="5" t="s">
        <v>25</v>
      </c>
      <c r="B227" s="5" t="s">
        <v>127</v>
      </c>
      <c r="C227" s="6">
        <v>9071000000</v>
      </c>
    </row>
    <row r="228" spans="1:3" hidden="1">
      <c r="A228" s="3" t="s">
        <v>58</v>
      </c>
      <c r="B228" s="3" t="s">
        <v>59</v>
      </c>
      <c r="C228" s="4">
        <v>1847186000</v>
      </c>
    </row>
    <row r="229" spans="1:3" hidden="1">
      <c r="A229" s="5" t="s">
        <v>58</v>
      </c>
      <c r="B229" s="5" t="s">
        <v>59</v>
      </c>
      <c r="C229" s="6">
        <v>2135539000</v>
      </c>
    </row>
    <row r="230" spans="1:3" hidden="1">
      <c r="A230" s="3" t="s">
        <v>58</v>
      </c>
      <c r="B230" s="3" t="s">
        <v>59</v>
      </c>
      <c r="C230" s="4">
        <v>2396998000</v>
      </c>
    </row>
    <row r="231" spans="1:3" hidden="1">
      <c r="A231" s="5" t="s">
        <v>58</v>
      </c>
      <c r="B231" s="5" t="s">
        <v>59</v>
      </c>
      <c r="C231" s="6">
        <v>2490821000</v>
      </c>
    </row>
    <row r="232" spans="1:3" hidden="1">
      <c r="A232" s="3" t="s">
        <v>42</v>
      </c>
      <c r="B232" s="3" t="s">
        <v>130</v>
      </c>
      <c r="C232" s="4">
        <v>13469300000</v>
      </c>
    </row>
    <row r="233" spans="1:3" hidden="1">
      <c r="A233" s="5" t="s">
        <v>42</v>
      </c>
      <c r="B233" s="5" t="s">
        <v>130</v>
      </c>
      <c r="C233" s="6">
        <v>11838200000</v>
      </c>
    </row>
    <row r="234" spans="1:3" hidden="1">
      <c r="A234" s="3" t="s">
        <v>42</v>
      </c>
      <c r="B234" s="3" t="s">
        <v>130</v>
      </c>
      <c r="C234" s="4">
        <v>11937000000</v>
      </c>
    </row>
    <row r="235" spans="1:3" hidden="1">
      <c r="A235" s="5" t="s">
        <v>42</v>
      </c>
      <c r="B235" s="5" t="s">
        <v>130</v>
      </c>
      <c r="C235" s="6">
        <v>11642900000</v>
      </c>
    </row>
    <row r="236" spans="1:3" hidden="1">
      <c r="A236" s="3" t="s">
        <v>31</v>
      </c>
      <c r="B236" s="3" t="s">
        <v>34</v>
      </c>
      <c r="C236" s="4">
        <v>101093000000</v>
      </c>
    </row>
    <row r="237" spans="1:3" hidden="1">
      <c r="A237" s="5" t="s">
        <v>31</v>
      </c>
      <c r="B237" s="5" t="s">
        <v>34</v>
      </c>
      <c r="C237" s="6">
        <v>91084000000</v>
      </c>
    </row>
    <row r="238" spans="1:3" hidden="1">
      <c r="A238" s="3" t="s">
        <v>31</v>
      </c>
      <c r="B238" s="3" t="s">
        <v>34</v>
      </c>
      <c r="C238" s="4">
        <v>102531000000</v>
      </c>
    </row>
    <row r="239" spans="1:3" hidden="1">
      <c r="A239" s="5" t="s">
        <v>31</v>
      </c>
      <c r="B239" s="5" t="s">
        <v>34</v>
      </c>
      <c r="C239" s="6">
        <v>121546000000</v>
      </c>
    </row>
    <row r="240" spans="1:3" hidden="1">
      <c r="A240" s="3" t="s">
        <v>19</v>
      </c>
      <c r="B240" s="3" t="s">
        <v>133</v>
      </c>
      <c r="C240" s="4">
        <v>55656000000</v>
      </c>
    </row>
    <row r="241" spans="1:3" hidden="1">
      <c r="A241" s="5" t="s">
        <v>19</v>
      </c>
      <c r="B241" s="5" t="s">
        <v>133</v>
      </c>
      <c r="C241" s="6">
        <v>55184000000</v>
      </c>
    </row>
    <row r="242" spans="1:3" hidden="1">
      <c r="A242" s="3" t="s">
        <v>19</v>
      </c>
      <c r="B242" s="3" t="s">
        <v>133</v>
      </c>
      <c r="C242" s="4">
        <v>47011000000</v>
      </c>
    </row>
    <row r="243" spans="1:3" hidden="1">
      <c r="A243" s="5" t="s">
        <v>19</v>
      </c>
      <c r="B243" s="5" t="s">
        <v>133</v>
      </c>
      <c r="C243" s="6">
        <v>38537000000</v>
      </c>
    </row>
    <row r="244" spans="1:3" hidden="1">
      <c r="A244" s="3" t="s">
        <v>53</v>
      </c>
      <c r="B244" s="3" t="s">
        <v>56</v>
      </c>
      <c r="C244" s="4">
        <v>17936000000</v>
      </c>
    </row>
    <row r="245" spans="1:3" hidden="1">
      <c r="A245" s="5" t="s">
        <v>53</v>
      </c>
      <c r="B245" s="5" t="s">
        <v>56</v>
      </c>
      <c r="C245" s="6">
        <v>19261000000</v>
      </c>
    </row>
    <row r="246" spans="1:3" hidden="1">
      <c r="A246" s="3" t="s">
        <v>53</v>
      </c>
      <c r="B246" s="3" t="s">
        <v>56</v>
      </c>
      <c r="C246" s="4">
        <v>19171000000</v>
      </c>
    </row>
    <row r="247" spans="1:3" hidden="1">
      <c r="A247" s="5" t="s">
        <v>53</v>
      </c>
      <c r="B247" s="5" t="s">
        <v>56</v>
      </c>
      <c r="C247" s="6">
        <v>18987000000</v>
      </c>
    </row>
    <row r="248" spans="1:3" hidden="1">
      <c r="A248" s="3" t="s">
        <v>58</v>
      </c>
      <c r="B248" s="3" t="s">
        <v>136</v>
      </c>
      <c r="C248" s="4">
        <v>6514099000</v>
      </c>
    </row>
    <row r="249" spans="1:3" hidden="1">
      <c r="A249" s="5" t="s">
        <v>58</v>
      </c>
      <c r="B249" s="5" t="s">
        <v>136</v>
      </c>
      <c r="C249" s="6">
        <v>7184794000</v>
      </c>
    </row>
    <row r="250" spans="1:3" hidden="1">
      <c r="A250" s="3" t="s">
        <v>58</v>
      </c>
      <c r="B250" s="3" t="s">
        <v>136</v>
      </c>
      <c r="C250" s="4">
        <v>9049918000</v>
      </c>
    </row>
    <row r="251" spans="1:3" hidden="1">
      <c r="A251" s="5" t="s">
        <v>58</v>
      </c>
      <c r="B251" s="5" t="s">
        <v>136</v>
      </c>
      <c r="C251" s="6">
        <v>10855810000</v>
      </c>
    </row>
    <row r="252" spans="1:3" hidden="1">
      <c r="A252" s="3" t="s">
        <v>58</v>
      </c>
      <c r="B252" s="3" t="s">
        <v>59</v>
      </c>
      <c r="C252" s="4">
        <v>2432680000</v>
      </c>
    </row>
    <row r="253" spans="1:3" hidden="1">
      <c r="A253" s="5" t="s">
        <v>58</v>
      </c>
      <c r="B253" s="5" t="s">
        <v>59</v>
      </c>
      <c r="C253" s="6">
        <v>2865751000</v>
      </c>
    </row>
    <row r="254" spans="1:3" hidden="1">
      <c r="A254" s="3" t="s">
        <v>58</v>
      </c>
      <c r="B254" s="3" t="s">
        <v>59</v>
      </c>
      <c r="C254" s="4">
        <v>3538756000</v>
      </c>
    </row>
    <row r="255" spans="1:3" hidden="1">
      <c r="A255" s="5" t="s">
        <v>58</v>
      </c>
      <c r="B255" s="5" t="s">
        <v>59</v>
      </c>
      <c r="C255" s="6">
        <v>3663851000</v>
      </c>
    </row>
    <row r="256" spans="1:3" hidden="1">
      <c r="A256" s="3" t="s">
        <v>25</v>
      </c>
      <c r="B256" s="3" t="s">
        <v>139</v>
      </c>
      <c r="C256" s="4">
        <v>15456000000</v>
      </c>
    </row>
    <row r="257" spans="1:3" hidden="1">
      <c r="A257" s="5" t="s">
        <v>25</v>
      </c>
      <c r="B257" s="5" t="s">
        <v>139</v>
      </c>
      <c r="C257" s="6">
        <v>15884000000</v>
      </c>
    </row>
    <row r="258" spans="1:3" hidden="1">
      <c r="A258" s="3" t="s">
        <v>25</v>
      </c>
      <c r="B258" s="3" t="s">
        <v>139</v>
      </c>
      <c r="C258" s="4">
        <v>15714000000</v>
      </c>
    </row>
    <row r="259" spans="1:3" hidden="1">
      <c r="A259" s="5" t="s">
        <v>25</v>
      </c>
      <c r="B259" s="5" t="s">
        <v>139</v>
      </c>
      <c r="C259" s="6">
        <v>16389000000</v>
      </c>
    </row>
    <row r="260" spans="1:3" hidden="1">
      <c r="A260" s="3" t="s">
        <v>31</v>
      </c>
      <c r="B260" s="3" t="s">
        <v>72</v>
      </c>
      <c r="C260" s="4">
        <v>6493900000</v>
      </c>
    </row>
    <row r="261" spans="1:3" hidden="1">
      <c r="A261" s="5" t="s">
        <v>31</v>
      </c>
      <c r="B261" s="5" t="s">
        <v>72</v>
      </c>
      <c r="C261" s="6">
        <v>7670400000</v>
      </c>
    </row>
    <row r="262" spans="1:3" hidden="1">
      <c r="A262" s="3" t="s">
        <v>31</v>
      </c>
      <c r="B262" s="3" t="s">
        <v>72</v>
      </c>
      <c r="C262" s="4">
        <v>9256000000</v>
      </c>
    </row>
    <row r="263" spans="1:3" hidden="1">
      <c r="A263" s="5" t="s">
        <v>31</v>
      </c>
      <c r="B263" s="5" t="s">
        <v>72</v>
      </c>
      <c r="C263" s="6">
        <v>11229200000</v>
      </c>
    </row>
    <row r="264" spans="1:3" hidden="1">
      <c r="A264" s="3" t="s">
        <v>31</v>
      </c>
      <c r="B264" s="3" t="s">
        <v>142</v>
      </c>
      <c r="C264" s="4">
        <v>2910748000</v>
      </c>
    </row>
    <row r="265" spans="1:3" hidden="1">
      <c r="A265" s="5" t="s">
        <v>31</v>
      </c>
      <c r="B265" s="5" t="s">
        <v>142</v>
      </c>
      <c r="C265" s="6">
        <v>3402703000</v>
      </c>
    </row>
    <row r="266" spans="1:3" hidden="1">
      <c r="A266" s="3" t="s">
        <v>31</v>
      </c>
      <c r="B266" s="3" t="s">
        <v>142</v>
      </c>
      <c r="C266" s="4">
        <v>4425267000</v>
      </c>
    </row>
    <row r="267" spans="1:3" hidden="1">
      <c r="A267" s="5" t="s">
        <v>31</v>
      </c>
      <c r="B267" s="5" t="s">
        <v>142</v>
      </c>
      <c r="C267" s="6">
        <v>4796473000</v>
      </c>
    </row>
    <row r="268" spans="1:3" hidden="1">
      <c r="A268" s="3" t="s">
        <v>65</v>
      </c>
      <c r="B268" s="3" t="s">
        <v>144</v>
      </c>
      <c r="C268" s="4">
        <v>6104000000</v>
      </c>
    </row>
    <row r="269" spans="1:3" hidden="1">
      <c r="A269" s="5" t="s">
        <v>65</v>
      </c>
      <c r="B269" s="5" t="s">
        <v>144</v>
      </c>
      <c r="C269" s="6">
        <v>5474700000</v>
      </c>
    </row>
    <row r="270" spans="1:3" hidden="1">
      <c r="A270" s="3" t="s">
        <v>65</v>
      </c>
      <c r="B270" s="3" t="s">
        <v>144</v>
      </c>
      <c r="C270" s="4">
        <v>4743200000</v>
      </c>
    </row>
    <row r="271" spans="1:3" hidden="1">
      <c r="A271" s="5" t="s">
        <v>65</v>
      </c>
      <c r="B271" s="5" t="s">
        <v>144</v>
      </c>
      <c r="C271" s="6">
        <v>4308300000</v>
      </c>
    </row>
    <row r="272" spans="1:3" hidden="1">
      <c r="A272" s="3" t="s">
        <v>53</v>
      </c>
      <c r="B272" s="3" t="s">
        <v>146</v>
      </c>
      <c r="C272" s="4">
        <v>5513000000</v>
      </c>
    </row>
    <row r="273" spans="1:3" hidden="1">
      <c r="A273" s="5" t="s">
        <v>53</v>
      </c>
      <c r="B273" s="5" t="s">
        <v>146</v>
      </c>
      <c r="C273" s="6">
        <v>5133000000</v>
      </c>
    </row>
    <row r="274" spans="1:3" hidden="1">
      <c r="A274" s="3" t="s">
        <v>53</v>
      </c>
      <c r="B274" s="3" t="s">
        <v>146</v>
      </c>
      <c r="C274" s="4">
        <v>5342000000</v>
      </c>
    </row>
    <row r="275" spans="1:3" hidden="1">
      <c r="A275" s="5" t="s">
        <v>53</v>
      </c>
      <c r="B275" s="5" t="s">
        <v>146</v>
      </c>
      <c r="C275" s="6">
        <v>5276000000</v>
      </c>
    </row>
    <row r="276" spans="1:3" hidden="1">
      <c r="A276" s="3" t="s">
        <v>42</v>
      </c>
      <c r="B276" s="3" t="s">
        <v>148</v>
      </c>
      <c r="C276" s="4">
        <v>2921900000</v>
      </c>
    </row>
    <row r="277" spans="1:3" hidden="1">
      <c r="A277" s="5" t="s">
        <v>42</v>
      </c>
      <c r="B277" s="5" t="s">
        <v>148</v>
      </c>
      <c r="C277" s="6">
        <v>3194300000</v>
      </c>
    </row>
    <row r="278" spans="1:3" hidden="1">
      <c r="A278" s="3" t="s">
        <v>42</v>
      </c>
      <c r="B278" s="3" t="s">
        <v>148</v>
      </c>
      <c r="C278" s="4">
        <v>3297600000</v>
      </c>
    </row>
    <row r="279" spans="1:3" hidden="1">
      <c r="A279" s="5" t="s">
        <v>42</v>
      </c>
      <c r="B279" s="5" t="s">
        <v>148</v>
      </c>
      <c r="C279" s="6">
        <v>3394800000</v>
      </c>
    </row>
    <row r="280" spans="1:3">
      <c r="A280" s="3" t="s">
        <v>89</v>
      </c>
      <c r="B280" s="3" t="s">
        <v>150</v>
      </c>
      <c r="C280" s="4">
        <v>12316000000</v>
      </c>
    </row>
    <row r="281" spans="1:3">
      <c r="A281" s="5" t="s">
        <v>89</v>
      </c>
      <c r="B281" s="5" t="s">
        <v>150</v>
      </c>
      <c r="C281" s="6">
        <v>19080000000</v>
      </c>
    </row>
    <row r="282" spans="1:3">
      <c r="A282" s="3" t="s">
        <v>89</v>
      </c>
      <c r="B282" s="3" t="s">
        <v>150</v>
      </c>
      <c r="C282" s="4">
        <v>23125000000</v>
      </c>
    </row>
    <row r="283" spans="1:3">
      <c r="A283" s="5" t="s">
        <v>89</v>
      </c>
      <c r="B283" s="5" t="s">
        <v>150</v>
      </c>
      <c r="C283" s="6">
        <v>12764000000</v>
      </c>
    </row>
    <row r="284" spans="1:3" hidden="1">
      <c r="A284" s="3" t="s">
        <v>19</v>
      </c>
      <c r="B284" s="3" t="s">
        <v>152</v>
      </c>
      <c r="C284" s="4">
        <v>11359113000</v>
      </c>
    </row>
    <row r="285" spans="1:3" hidden="1">
      <c r="A285" s="5" t="s">
        <v>19</v>
      </c>
      <c r="B285" s="5" t="s">
        <v>152</v>
      </c>
      <c r="C285" s="6">
        <v>12752076000</v>
      </c>
    </row>
    <row r="286" spans="1:3" hidden="1">
      <c r="A286" s="3" t="s">
        <v>19</v>
      </c>
      <c r="B286" s="3" t="s">
        <v>152</v>
      </c>
      <c r="C286" s="4">
        <v>13470067000</v>
      </c>
    </row>
    <row r="287" spans="1:3" hidden="1">
      <c r="A287" s="5" t="s">
        <v>19</v>
      </c>
      <c r="B287" s="5" t="s">
        <v>152</v>
      </c>
      <c r="C287" s="6">
        <v>13476084000</v>
      </c>
    </row>
    <row r="288" spans="1:3" hidden="1">
      <c r="A288" s="3" t="s">
        <v>25</v>
      </c>
      <c r="B288" s="3" t="s">
        <v>154</v>
      </c>
      <c r="C288" s="4">
        <v>8155000000</v>
      </c>
    </row>
    <row r="289" spans="1:3" hidden="1">
      <c r="A289" s="5" t="s">
        <v>25</v>
      </c>
      <c r="B289" s="5" t="s">
        <v>154</v>
      </c>
      <c r="C289" s="6">
        <v>9108000000</v>
      </c>
    </row>
    <row r="290" spans="1:3" hidden="1">
      <c r="A290" s="3" t="s">
        <v>25</v>
      </c>
      <c r="B290" s="3" t="s">
        <v>154</v>
      </c>
      <c r="C290" s="4">
        <v>9754000000</v>
      </c>
    </row>
    <row r="291" spans="1:3" hidden="1">
      <c r="A291" s="5" t="s">
        <v>25</v>
      </c>
      <c r="B291" s="5" t="s">
        <v>154</v>
      </c>
      <c r="C291" s="6">
        <v>29003000000</v>
      </c>
    </row>
    <row r="292" spans="1:3" hidden="1">
      <c r="A292" s="3" t="s">
        <v>31</v>
      </c>
      <c r="B292" s="3" t="s">
        <v>87</v>
      </c>
      <c r="C292" s="4">
        <v>29119000000</v>
      </c>
    </row>
    <row r="293" spans="1:3" hidden="1">
      <c r="A293" s="5" t="s">
        <v>31</v>
      </c>
      <c r="B293" s="5" t="s">
        <v>87</v>
      </c>
      <c r="C293" s="6">
        <v>32380000000</v>
      </c>
    </row>
    <row r="294" spans="1:3" hidden="1">
      <c r="A294" s="3" t="s">
        <v>31</v>
      </c>
      <c r="B294" s="3" t="s">
        <v>87</v>
      </c>
      <c r="C294" s="4">
        <v>34914000000</v>
      </c>
    </row>
    <row r="295" spans="1:3" hidden="1">
      <c r="A295" s="5" t="s">
        <v>31</v>
      </c>
      <c r="B295" s="5" t="s">
        <v>87</v>
      </c>
      <c r="C295" s="6">
        <v>37876000000</v>
      </c>
    </row>
    <row r="296" spans="1:3" hidden="1">
      <c r="A296" s="3" t="s">
        <v>53</v>
      </c>
      <c r="B296" s="3" t="s">
        <v>56</v>
      </c>
      <c r="C296" s="4">
        <v>4111000000</v>
      </c>
    </row>
    <row r="297" spans="1:3" hidden="1">
      <c r="A297" s="5" t="s">
        <v>53</v>
      </c>
      <c r="B297" s="5" t="s">
        <v>56</v>
      </c>
      <c r="C297" s="6">
        <v>4531000000</v>
      </c>
    </row>
    <row r="298" spans="1:3" hidden="1">
      <c r="A298" s="3" t="s">
        <v>53</v>
      </c>
      <c r="B298" s="3" t="s">
        <v>56</v>
      </c>
      <c r="C298" s="4">
        <v>4945000000</v>
      </c>
    </row>
    <row r="299" spans="1:3" hidden="1">
      <c r="A299" s="5" t="s">
        <v>53</v>
      </c>
      <c r="B299" s="5" t="s">
        <v>56</v>
      </c>
      <c r="C299" s="6">
        <v>5142000000</v>
      </c>
    </row>
    <row r="300" spans="1:3" hidden="1">
      <c r="A300" s="3" t="s">
        <v>42</v>
      </c>
      <c r="B300" s="3" t="s">
        <v>148</v>
      </c>
      <c r="C300" s="4">
        <v>17085000000</v>
      </c>
    </row>
    <row r="301" spans="1:3" hidden="1">
      <c r="A301" s="5" t="s">
        <v>42</v>
      </c>
      <c r="B301" s="5" t="s">
        <v>148</v>
      </c>
      <c r="C301" s="6">
        <v>17420000000</v>
      </c>
    </row>
    <row r="302" spans="1:3" hidden="1">
      <c r="A302" s="3" t="s">
        <v>42</v>
      </c>
      <c r="B302" s="3" t="s">
        <v>148</v>
      </c>
      <c r="C302" s="4">
        <v>17277000000</v>
      </c>
    </row>
    <row r="303" spans="1:3" hidden="1">
      <c r="A303" s="5" t="s">
        <v>42</v>
      </c>
      <c r="B303" s="5" t="s">
        <v>148</v>
      </c>
      <c r="C303" s="6">
        <v>16034000000</v>
      </c>
    </row>
    <row r="304" spans="1:3" hidden="1">
      <c r="A304" s="3" t="s">
        <v>42</v>
      </c>
      <c r="B304" s="3" t="s">
        <v>148</v>
      </c>
      <c r="C304" s="4">
        <v>5533000000</v>
      </c>
    </row>
    <row r="305" spans="1:3" hidden="1">
      <c r="A305" s="5" t="s">
        <v>42</v>
      </c>
      <c r="B305" s="5" t="s">
        <v>148</v>
      </c>
      <c r="C305" s="6">
        <v>5514000000</v>
      </c>
    </row>
    <row r="306" spans="1:3" hidden="1">
      <c r="A306" s="3" t="s">
        <v>42</v>
      </c>
      <c r="B306" s="3" t="s">
        <v>148</v>
      </c>
      <c r="C306" s="4">
        <v>5655000000</v>
      </c>
    </row>
    <row r="307" spans="1:3" hidden="1">
      <c r="A307" s="5" t="s">
        <v>42</v>
      </c>
      <c r="B307" s="5" t="s">
        <v>148</v>
      </c>
      <c r="C307" s="6">
        <v>5761000000</v>
      </c>
    </row>
    <row r="308" spans="1:3" hidden="1">
      <c r="A308" s="3" t="s">
        <v>53</v>
      </c>
      <c r="B308" s="3" t="s">
        <v>146</v>
      </c>
      <c r="C308" s="4">
        <v>2666000000</v>
      </c>
    </row>
    <row r="309" spans="1:3" hidden="1">
      <c r="A309" s="5" t="s">
        <v>53</v>
      </c>
      <c r="B309" s="5" t="s">
        <v>146</v>
      </c>
      <c r="C309" s="6">
        <v>2607000000</v>
      </c>
    </row>
    <row r="310" spans="1:3" hidden="1">
      <c r="A310" s="3" t="s">
        <v>53</v>
      </c>
      <c r="B310" s="3" t="s">
        <v>146</v>
      </c>
      <c r="C310" s="4">
        <v>2819000000</v>
      </c>
    </row>
    <row r="311" spans="1:3" hidden="1">
      <c r="A311" s="5" t="s">
        <v>53</v>
      </c>
      <c r="B311" s="5" t="s">
        <v>146</v>
      </c>
      <c r="C311" s="6">
        <v>2960000000</v>
      </c>
    </row>
    <row r="312" spans="1:3" hidden="1">
      <c r="A312" s="3" t="s">
        <v>25</v>
      </c>
      <c r="B312" s="3" t="s">
        <v>161</v>
      </c>
      <c r="C312" s="4">
        <v>3214591000</v>
      </c>
    </row>
    <row r="313" spans="1:3" hidden="1">
      <c r="A313" s="5" t="s">
        <v>25</v>
      </c>
      <c r="B313" s="5" t="s">
        <v>161</v>
      </c>
      <c r="C313" s="6">
        <v>4108269000</v>
      </c>
    </row>
    <row r="314" spans="1:3" hidden="1">
      <c r="A314" s="3" t="s">
        <v>25</v>
      </c>
      <c r="B314" s="3" t="s">
        <v>161</v>
      </c>
      <c r="C314" s="4">
        <v>4501223000</v>
      </c>
    </row>
    <row r="315" spans="1:3" hidden="1">
      <c r="A315" s="5" t="s">
        <v>25</v>
      </c>
      <c r="B315" s="5" t="s">
        <v>161</v>
      </c>
      <c r="C315" s="6">
        <v>3904384000</v>
      </c>
    </row>
    <row r="316" spans="1:3" hidden="1">
      <c r="A316" s="3" t="s">
        <v>19</v>
      </c>
      <c r="B316" s="3" t="s">
        <v>163</v>
      </c>
      <c r="C316" s="4">
        <v>17301000000</v>
      </c>
    </row>
    <row r="317" spans="1:3" hidden="1">
      <c r="A317" s="5" t="s">
        <v>19</v>
      </c>
      <c r="B317" s="5" t="s">
        <v>163</v>
      </c>
      <c r="C317" s="6">
        <v>19221000000</v>
      </c>
    </row>
    <row r="318" spans="1:3" hidden="1">
      <c r="A318" s="3" t="s">
        <v>19</v>
      </c>
      <c r="B318" s="3" t="s">
        <v>163</v>
      </c>
      <c r="C318" s="4">
        <v>19110000000</v>
      </c>
    </row>
    <row r="319" spans="1:3" hidden="1">
      <c r="A319" s="5" t="s">
        <v>19</v>
      </c>
      <c r="B319" s="5" t="s">
        <v>163</v>
      </c>
      <c r="C319" s="6">
        <v>17509000000</v>
      </c>
    </row>
    <row r="320" spans="1:3" hidden="1">
      <c r="A320" s="3" t="s">
        <v>48</v>
      </c>
      <c r="B320" s="3" t="s">
        <v>49</v>
      </c>
      <c r="C320" s="4">
        <v>6566000000</v>
      </c>
    </row>
    <row r="321" spans="1:3" hidden="1">
      <c r="A321" s="5" t="s">
        <v>48</v>
      </c>
      <c r="B321" s="5" t="s">
        <v>49</v>
      </c>
      <c r="C321" s="6">
        <v>7179000000</v>
      </c>
    </row>
    <row r="322" spans="1:3" hidden="1">
      <c r="A322" s="3" t="s">
        <v>48</v>
      </c>
      <c r="B322" s="3" t="s">
        <v>49</v>
      </c>
      <c r="C322" s="4">
        <v>6456000000</v>
      </c>
    </row>
    <row r="323" spans="1:3" hidden="1">
      <c r="A323" s="5" t="s">
        <v>48</v>
      </c>
      <c r="B323" s="5" t="s">
        <v>49</v>
      </c>
      <c r="C323" s="6">
        <v>6399000000</v>
      </c>
    </row>
    <row r="324" spans="1:3" hidden="1">
      <c r="A324" s="3" t="s">
        <v>31</v>
      </c>
      <c r="B324" s="3" t="s">
        <v>87</v>
      </c>
      <c r="C324" s="4">
        <v>8110000000</v>
      </c>
    </row>
    <row r="325" spans="1:3" hidden="1">
      <c r="A325" s="5" t="s">
        <v>31</v>
      </c>
      <c r="B325" s="5" t="s">
        <v>87</v>
      </c>
      <c r="C325" s="6">
        <v>10863000000</v>
      </c>
    </row>
    <row r="326" spans="1:3" hidden="1">
      <c r="A326" s="3" t="s">
        <v>31</v>
      </c>
      <c r="B326" s="3" t="s">
        <v>87</v>
      </c>
      <c r="C326" s="4">
        <v>16560000000</v>
      </c>
    </row>
    <row r="327" spans="1:3" hidden="1">
      <c r="A327" s="5" t="s">
        <v>31</v>
      </c>
      <c r="B327" s="5" t="s">
        <v>87</v>
      </c>
      <c r="C327" s="6">
        <v>22760000000</v>
      </c>
    </row>
    <row r="328" spans="1:3" hidden="1">
      <c r="A328" s="3" t="s">
        <v>48</v>
      </c>
      <c r="B328" s="3" t="s">
        <v>49</v>
      </c>
      <c r="C328" s="4">
        <v>7452000000</v>
      </c>
    </row>
    <row r="329" spans="1:3" hidden="1">
      <c r="A329" s="5" t="s">
        <v>48</v>
      </c>
      <c r="B329" s="5" t="s">
        <v>49</v>
      </c>
      <c r="C329" s="6">
        <v>8106000000</v>
      </c>
    </row>
    <row r="330" spans="1:3" hidden="1">
      <c r="A330" s="3" t="s">
        <v>48</v>
      </c>
      <c r="B330" s="3" t="s">
        <v>49</v>
      </c>
      <c r="C330" s="4">
        <v>9226000000</v>
      </c>
    </row>
    <row r="331" spans="1:3" hidden="1">
      <c r="A331" s="5" t="s">
        <v>48</v>
      </c>
      <c r="B331" s="5" t="s">
        <v>49</v>
      </c>
      <c r="C331" s="6">
        <v>7386000000</v>
      </c>
    </row>
    <row r="332" spans="1:3" hidden="1">
      <c r="A332" s="3" t="s">
        <v>53</v>
      </c>
      <c r="B332" s="3" t="s">
        <v>106</v>
      </c>
      <c r="C332" s="4">
        <v>23771000000</v>
      </c>
    </row>
    <row r="333" spans="1:3" hidden="1">
      <c r="A333" s="5" t="s">
        <v>53</v>
      </c>
      <c r="B333" s="5" t="s">
        <v>106</v>
      </c>
      <c r="C333" s="6">
        <v>24176000000</v>
      </c>
    </row>
    <row r="334" spans="1:3" hidden="1">
      <c r="A334" s="3" t="s">
        <v>53</v>
      </c>
      <c r="B334" s="3" t="s">
        <v>106</v>
      </c>
      <c r="C334" s="4">
        <v>23869000000</v>
      </c>
    </row>
    <row r="335" spans="1:3" hidden="1">
      <c r="A335" s="5" t="s">
        <v>53</v>
      </c>
      <c r="B335" s="5" t="s">
        <v>106</v>
      </c>
      <c r="C335" s="6">
        <v>25038000000</v>
      </c>
    </row>
    <row r="336" spans="1:3">
      <c r="A336" s="3" t="s">
        <v>89</v>
      </c>
      <c r="B336" s="3" t="s">
        <v>90</v>
      </c>
      <c r="C336" s="4">
        <v>1204546000</v>
      </c>
    </row>
    <row r="337" spans="1:3">
      <c r="A337" s="5" t="s">
        <v>89</v>
      </c>
      <c r="B337" s="5" t="s">
        <v>90</v>
      </c>
      <c r="C337" s="6">
        <v>1746278000</v>
      </c>
    </row>
    <row r="338" spans="1:3">
      <c r="A338" s="3" t="s">
        <v>89</v>
      </c>
      <c r="B338" s="3" t="s">
        <v>90</v>
      </c>
      <c r="C338" s="4">
        <v>2173011000</v>
      </c>
    </row>
    <row r="339" spans="1:3">
      <c r="A339" s="5" t="s">
        <v>89</v>
      </c>
      <c r="B339" s="5" t="s">
        <v>90</v>
      </c>
      <c r="C339" s="6">
        <v>1357150000</v>
      </c>
    </row>
    <row r="340" spans="1:3" hidden="1">
      <c r="A340" s="3" t="s">
        <v>19</v>
      </c>
      <c r="B340" s="3" t="s">
        <v>170</v>
      </c>
      <c r="C340" s="4">
        <v>4474000000</v>
      </c>
    </row>
    <row r="341" spans="1:3" hidden="1">
      <c r="A341" s="5" t="s">
        <v>19</v>
      </c>
      <c r="B341" s="5" t="s">
        <v>170</v>
      </c>
      <c r="C341" s="6">
        <v>4979000000</v>
      </c>
    </row>
    <row r="342" spans="1:3" hidden="1">
      <c r="A342" s="3" t="s">
        <v>19</v>
      </c>
      <c r="B342" s="3" t="s">
        <v>170</v>
      </c>
      <c r="C342" s="4">
        <v>5244000000</v>
      </c>
    </row>
    <row r="343" spans="1:3" hidden="1">
      <c r="A343" s="5" t="s">
        <v>19</v>
      </c>
      <c r="B343" s="5" t="s">
        <v>170</v>
      </c>
      <c r="C343" s="6">
        <v>5259000000</v>
      </c>
    </row>
    <row r="344" spans="1:3" hidden="1">
      <c r="A344" s="3" t="s">
        <v>31</v>
      </c>
      <c r="B344" s="3" t="s">
        <v>172</v>
      </c>
      <c r="C344" s="4">
        <v>1587725000</v>
      </c>
    </row>
    <row r="345" spans="1:3" hidden="1">
      <c r="A345" s="5" t="s">
        <v>31</v>
      </c>
      <c r="B345" s="5" t="s">
        <v>172</v>
      </c>
      <c r="C345" s="6">
        <v>1717776000</v>
      </c>
    </row>
    <row r="346" spans="1:3" hidden="1">
      <c r="A346" s="3" t="s">
        <v>31</v>
      </c>
      <c r="B346" s="3" t="s">
        <v>172</v>
      </c>
      <c r="C346" s="4">
        <v>1797060000</v>
      </c>
    </row>
    <row r="347" spans="1:3" hidden="1">
      <c r="A347" s="5" t="s">
        <v>31</v>
      </c>
      <c r="B347" s="5" t="s">
        <v>172</v>
      </c>
      <c r="C347" s="6">
        <v>1966814000</v>
      </c>
    </row>
    <row r="348" spans="1:3" hidden="1">
      <c r="A348" s="3" t="s">
        <v>42</v>
      </c>
      <c r="B348" s="3" t="s">
        <v>174</v>
      </c>
      <c r="C348" s="4">
        <v>105156000000</v>
      </c>
    </row>
    <row r="349" spans="1:3" hidden="1">
      <c r="A349" s="5" t="s">
        <v>42</v>
      </c>
      <c r="B349" s="5" t="s">
        <v>174</v>
      </c>
      <c r="C349" s="6">
        <v>112640000000</v>
      </c>
    </row>
    <row r="350" spans="1:3" hidden="1">
      <c r="A350" s="3" t="s">
        <v>42</v>
      </c>
      <c r="B350" s="3" t="s">
        <v>174</v>
      </c>
      <c r="C350" s="4">
        <v>116199000000</v>
      </c>
    </row>
    <row r="351" spans="1:3" hidden="1">
      <c r="A351" s="5" t="s">
        <v>42</v>
      </c>
      <c r="B351" s="5" t="s">
        <v>174</v>
      </c>
      <c r="C351" s="6">
        <v>118719000000</v>
      </c>
    </row>
    <row r="352" spans="1:3" hidden="1">
      <c r="A352" s="3" t="s">
        <v>42</v>
      </c>
      <c r="B352" s="3" t="s">
        <v>176</v>
      </c>
      <c r="C352" s="4">
        <v>1577000</v>
      </c>
    </row>
    <row r="353" spans="1:3" hidden="1">
      <c r="A353" s="5" t="s">
        <v>42</v>
      </c>
      <c r="B353" s="5" t="s">
        <v>176</v>
      </c>
      <c r="C353" s="6">
        <v>1514000</v>
      </c>
    </row>
    <row r="354" spans="1:3" hidden="1">
      <c r="A354" s="3" t="s">
        <v>42</v>
      </c>
      <c r="B354" s="3" t="s">
        <v>176</v>
      </c>
      <c r="C354" s="4">
        <v>79562000</v>
      </c>
    </row>
    <row r="355" spans="1:3" hidden="1">
      <c r="A355" s="5" t="s">
        <v>42</v>
      </c>
      <c r="B355" s="5" t="s">
        <v>176</v>
      </c>
      <c r="C355" s="6">
        <v>99642000</v>
      </c>
    </row>
    <row r="356" spans="1:3" hidden="1">
      <c r="A356" s="3" t="s">
        <v>42</v>
      </c>
      <c r="B356" s="3" t="s">
        <v>130</v>
      </c>
      <c r="C356" s="4">
        <v>8052000000</v>
      </c>
    </row>
    <row r="357" spans="1:3" hidden="1">
      <c r="A357" s="5" t="s">
        <v>42</v>
      </c>
      <c r="B357" s="5" t="s">
        <v>130</v>
      </c>
      <c r="C357" s="6">
        <v>8268000000</v>
      </c>
    </row>
    <row r="358" spans="1:3" hidden="1">
      <c r="A358" s="3" t="s">
        <v>42</v>
      </c>
      <c r="B358" s="3" t="s">
        <v>130</v>
      </c>
      <c r="C358" s="4">
        <v>8082000000</v>
      </c>
    </row>
    <row r="359" spans="1:3" hidden="1">
      <c r="A359" s="5" t="s">
        <v>42</v>
      </c>
      <c r="B359" s="5" t="s">
        <v>130</v>
      </c>
      <c r="C359" s="6">
        <v>7961000000</v>
      </c>
    </row>
    <row r="360" spans="1:3" hidden="1">
      <c r="A360" s="3" t="s">
        <v>28</v>
      </c>
      <c r="B360" s="3" t="s">
        <v>63</v>
      </c>
      <c r="C360" s="4">
        <v>3050195000</v>
      </c>
    </row>
    <row r="361" spans="1:3" hidden="1">
      <c r="A361" s="5" t="s">
        <v>28</v>
      </c>
      <c r="B361" s="5" t="s">
        <v>63</v>
      </c>
      <c r="C361" s="6">
        <v>4071003000</v>
      </c>
    </row>
    <row r="362" spans="1:3" hidden="1">
      <c r="A362" s="3" t="s">
        <v>28</v>
      </c>
      <c r="B362" s="3" t="s">
        <v>63</v>
      </c>
      <c r="C362" s="4">
        <v>5373586000</v>
      </c>
    </row>
    <row r="363" spans="1:3" hidden="1">
      <c r="A363" s="5" t="s">
        <v>28</v>
      </c>
      <c r="B363" s="5" t="s">
        <v>63</v>
      </c>
      <c r="C363" s="6">
        <v>6667216000</v>
      </c>
    </row>
    <row r="364" spans="1:3" hidden="1">
      <c r="A364" s="3" t="s">
        <v>28</v>
      </c>
      <c r="B364" s="3" t="s">
        <v>180</v>
      </c>
      <c r="C364" s="4">
        <v>48607000000</v>
      </c>
    </row>
    <row r="365" spans="1:3" hidden="1">
      <c r="A365" s="5" t="s">
        <v>28</v>
      </c>
      <c r="B365" s="5" t="s">
        <v>180</v>
      </c>
      <c r="C365" s="6">
        <v>47142000000</v>
      </c>
    </row>
    <row r="366" spans="1:3" hidden="1">
      <c r="A366" s="3" t="s">
        <v>28</v>
      </c>
      <c r="B366" s="3" t="s">
        <v>180</v>
      </c>
      <c r="C366" s="4">
        <v>49161000000</v>
      </c>
    </row>
    <row r="367" spans="1:3" hidden="1">
      <c r="A367" s="5" t="s">
        <v>28</v>
      </c>
      <c r="B367" s="5" t="s">
        <v>180</v>
      </c>
      <c r="C367" s="6">
        <v>49247000000</v>
      </c>
    </row>
    <row r="368" spans="1:3" hidden="1">
      <c r="A368" s="3" t="s">
        <v>28</v>
      </c>
      <c r="B368" s="3" t="s">
        <v>182</v>
      </c>
      <c r="C368" s="4">
        <v>4069746000</v>
      </c>
    </row>
    <row r="369" spans="1:3" hidden="1">
      <c r="A369" s="5" t="s">
        <v>28</v>
      </c>
      <c r="B369" s="5" t="s">
        <v>182</v>
      </c>
      <c r="C369" s="6">
        <v>4250447000</v>
      </c>
    </row>
    <row r="370" spans="1:3" hidden="1">
      <c r="A370" s="3" t="s">
        <v>19</v>
      </c>
      <c r="B370" s="3" t="s">
        <v>184</v>
      </c>
      <c r="C370" s="4">
        <v>12026000000</v>
      </c>
    </row>
    <row r="371" spans="1:3" hidden="1">
      <c r="A371" s="5" t="s">
        <v>19</v>
      </c>
      <c r="B371" s="5" t="s">
        <v>184</v>
      </c>
      <c r="C371" s="6">
        <v>12669000000</v>
      </c>
    </row>
    <row r="372" spans="1:3" hidden="1">
      <c r="A372" s="3" t="s">
        <v>19</v>
      </c>
      <c r="B372" s="3" t="s">
        <v>184</v>
      </c>
      <c r="C372" s="4">
        <v>11811000000</v>
      </c>
    </row>
    <row r="373" spans="1:3" hidden="1">
      <c r="A373" s="5" t="s">
        <v>19</v>
      </c>
      <c r="B373" s="5" t="s">
        <v>184</v>
      </c>
      <c r="C373" s="6">
        <v>11069000000</v>
      </c>
    </row>
    <row r="374" spans="1:3" hidden="1">
      <c r="A374" s="3" t="s">
        <v>19</v>
      </c>
      <c r="B374" s="3" t="s">
        <v>186</v>
      </c>
      <c r="C374" s="4">
        <v>4245964000</v>
      </c>
    </row>
    <row r="375" spans="1:3" hidden="1">
      <c r="A375" s="5" t="s">
        <v>19</v>
      </c>
      <c r="B375" s="5" t="s">
        <v>186</v>
      </c>
      <c r="C375" s="6">
        <v>4193844000</v>
      </c>
    </row>
    <row r="376" spans="1:3" hidden="1">
      <c r="A376" s="3" t="s">
        <v>19</v>
      </c>
      <c r="B376" s="3" t="s">
        <v>186</v>
      </c>
      <c r="C376" s="4">
        <v>4476886000</v>
      </c>
    </row>
    <row r="377" spans="1:3" hidden="1">
      <c r="A377" s="5" t="s">
        <v>19</v>
      </c>
      <c r="B377" s="5" t="s">
        <v>186</v>
      </c>
      <c r="C377" s="6">
        <v>4905458000</v>
      </c>
    </row>
    <row r="378" spans="1:3" hidden="1">
      <c r="A378" s="3" t="s">
        <v>188</v>
      </c>
      <c r="B378" s="3" t="s">
        <v>189</v>
      </c>
      <c r="C378" s="4">
        <v>18376000000</v>
      </c>
    </row>
    <row r="379" spans="1:3" hidden="1">
      <c r="A379" s="5" t="s">
        <v>188</v>
      </c>
      <c r="B379" s="5" t="s">
        <v>189</v>
      </c>
      <c r="C379" s="6">
        <v>18095000000</v>
      </c>
    </row>
    <row r="380" spans="1:3" hidden="1">
      <c r="A380" s="3" t="s">
        <v>188</v>
      </c>
      <c r="B380" s="3" t="s">
        <v>189</v>
      </c>
      <c r="C380" s="4">
        <v>18031000000</v>
      </c>
    </row>
    <row r="381" spans="1:3" hidden="1">
      <c r="A381" s="5" t="s">
        <v>188</v>
      </c>
      <c r="B381" s="5" t="s">
        <v>189</v>
      </c>
      <c r="C381" s="6">
        <v>17900000000</v>
      </c>
    </row>
    <row r="382" spans="1:3" hidden="1">
      <c r="A382" s="3" t="s">
        <v>28</v>
      </c>
      <c r="B382" s="3" t="s">
        <v>182</v>
      </c>
      <c r="C382" s="4">
        <v>7346472000</v>
      </c>
    </row>
    <row r="383" spans="1:3" hidden="1">
      <c r="A383" s="5" t="s">
        <v>28</v>
      </c>
      <c r="B383" s="5" t="s">
        <v>182</v>
      </c>
      <c r="C383" s="6">
        <v>8843200000</v>
      </c>
    </row>
    <row r="384" spans="1:3" hidden="1">
      <c r="A384" s="3" t="s">
        <v>28</v>
      </c>
      <c r="B384" s="3" t="s">
        <v>182</v>
      </c>
      <c r="C384" s="4">
        <v>10262700000</v>
      </c>
    </row>
    <row r="385" spans="1:3" hidden="1">
      <c r="A385" s="5" t="s">
        <v>28</v>
      </c>
      <c r="B385" s="5" t="s">
        <v>182</v>
      </c>
      <c r="C385" s="6">
        <v>12416000000</v>
      </c>
    </row>
    <row r="386" spans="1:3" hidden="1">
      <c r="A386" s="3" t="s">
        <v>28</v>
      </c>
      <c r="B386" s="3" t="s">
        <v>63</v>
      </c>
      <c r="C386" s="4">
        <v>2918434000</v>
      </c>
    </row>
    <row r="387" spans="1:3" hidden="1">
      <c r="A387" s="5" t="s">
        <v>28</v>
      </c>
      <c r="B387" s="5" t="s">
        <v>63</v>
      </c>
      <c r="C387" s="6">
        <v>3142856000</v>
      </c>
    </row>
    <row r="388" spans="1:3" hidden="1">
      <c r="A388" s="3" t="s">
        <v>28</v>
      </c>
      <c r="B388" s="3" t="s">
        <v>63</v>
      </c>
      <c r="C388" s="4">
        <v>3275594000</v>
      </c>
    </row>
    <row r="389" spans="1:3" hidden="1">
      <c r="A389" s="5" t="s">
        <v>28</v>
      </c>
      <c r="B389" s="5" t="s">
        <v>63</v>
      </c>
      <c r="C389" s="6">
        <v>3418265000</v>
      </c>
    </row>
    <row r="390" spans="1:3" hidden="1">
      <c r="A390" s="3" t="s">
        <v>42</v>
      </c>
      <c r="B390" s="3" t="s">
        <v>193</v>
      </c>
      <c r="C390" s="4">
        <v>126761000000</v>
      </c>
    </row>
    <row r="391" spans="1:3" hidden="1">
      <c r="A391" s="5" t="s">
        <v>42</v>
      </c>
      <c r="B391" s="5" t="s">
        <v>193</v>
      </c>
      <c r="C391" s="6">
        <v>139367000000</v>
      </c>
    </row>
    <row r="392" spans="1:3" hidden="1">
      <c r="A392" s="3" t="s">
        <v>42</v>
      </c>
      <c r="B392" s="3" t="s">
        <v>193</v>
      </c>
      <c r="C392" s="4">
        <v>153290000000</v>
      </c>
    </row>
    <row r="393" spans="1:3" hidden="1">
      <c r="A393" s="5" t="s">
        <v>42</v>
      </c>
      <c r="B393" s="5" t="s">
        <v>193</v>
      </c>
      <c r="C393" s="6">
        <v>177526000000</v>
      </c>
    </row>
    <row r="394" spans="1:3">
      <c r="A394" s="3" t="s">
        <v>89</v>
      </c>
      <c r="B394" s="3" t="s">
        <v>150</v>
      </c>
      <c r="C394" s="4">
        <v>230590000000</v>
      </c>
    </row>
    <row r="395" spans="1:3">
      <c r="A395" s="5" t="s">
        <v>89</v>
      </c>
      <c r="B395" s="5" t="s">
        <v>150</v>
      </c>
      <c r="C395" s="6">
        <v>220156000000</v>
      </c>
    </row>
    <row r="396" spans="1:3">
      <c r="A396" s="3" t="s">
        <v>89</v>
      </c>
      <c r="B396" s="3" t="s">
        <v>150</v>
      </c>
      <c r="C396" s="4">
        <v>200494000000</v>
      </c>
    </row>
    <row r="397" spans="1:3">
      <c r="A397" s="5" t="s">
        <v>89</v>
      </c>
      <c r="B397" s="5" t="s">
        <v>150</v>
      </c>
      <c r="C397" s="6">
        <v>129925000000</v>
      </c>
    </row>
    <row r="398" spans="1:3">
      <c r="A398" s="3" t="s">
        <v>89</v>
      </c>
      <c r="B398" s="3" t="s">
        <v>90</v>
      </c>
      <c r="C398" s="4">
        <v>1819814000</v>
      </c>
    </row>
    <row r="399" spans="1:3">
      <c r="A399" s="5" t="s">
        <v>89</v>
      </c>
      <c r="B399" s="5" t="s">
        <v>90</v>
      </c>
      <c r="C399" s="6">
        <v>2319919000</v>
      </c>
    </row>
    <row r="400" spans="1:3">
      <c r="A400" s="3" t="s">
        <v>89</v>
      </c>
      <c r="B400" s="3" t="s">
        <v>90</v>
      </c>
      <c r="C400" s="4">
        <v>2660147000</v>
      </c>
    </row>
    <row r="401" spans="1:3">
      <c r="A401" s="5" t="s">
        <v>89</v>
      </c>
      <c r="B401" s="5" t="s">
        <v>90</v>
      </c>
      <c r="C401" s="6">
        <v>1803573000</v>
      </c>
    </row>
    <row r="402" spans="1:3" hidden="1">
      <c r="A402" s="3" t="s">
        <v>48</v>
      </c>
      <c r="B402" s="3" t="s">
        <v>51</v>
      </c>
      <c r="C402" s="4">
        <v>12835000000</v>
      </c>
    </row>
    <row r="403" spans="1:3" hidden="1">
      <c r="A403" s="5" t="s">
        <v>48</v>
      </c>
      <c r="B403" s="5" t="s">
        <v>51</v>
      </c>
      <c r="C403" s="6">
        <v>13120000000</v>
      </c>
    </row>
    <row r="404" spans="1:3" hidden="1">
      <c r="A404" s="3" t="s">
        <v>48</v>
      </c>
      <c r="B404" s="3" t="s">
        <v>51</v>
      </c>
      <c r="C404" s="4">
        <v>12436000000</v>
      </c>
    </row>
    <row r="405" spans="1:3" hidden="1">
      <c r="A405" s="5" t="s">
        <v>48</v>
      </c>
      <c r="B405" s="5" t="s">
        <v>51</v>
      </c>
      <c r="C405" s="6">
        <v>11683000000</v>
      </c>
    </row>
    <row r="406" spans="1:3" hidden="1">
      <c r="A406" s="3" t="s">
        <v>19</v>
      </c>
      <c r="B406" s="3" t="s">
        <v>20</v>
      </c>
      <c r="C406" s="4">
        <v>37773000000</v>
      </c>
    </row>
    <row r="407" spans="1:3" hidden="1">
      <c r="A407" s="5" t="s">
        <v>19</v>
      </c>
      <c r="B407" s="5" t="s">
        <v>20</v>
      </c>
      <c r="C407" s="6">
        <v>40362000000</v>
      </c>
    </row>
    <row r="408" spans="1:3" hidden="1">
      <c r="A408" s="3" t="s">
        <v>19</v>
      </c>
      <c r="B408" s="3" t="s">
        <v>20</v>
      </c>
      <c r="C408" s="4">
        <v>40704000000</v>
      </c>
    </row>
    <row r="409" spans="1:3" hidden="1">
      <c r="A409" s="5" t="s">
        <v>19</v>
      </c>
      <c r="B409" s="5" t="s">
        <v>20</v>
      </c>
      <c r="C409" s="6">
        <v>39639000000</v>
      </c>
    </row>
    <row r="410" spans="1:3" hidden="1">
      <c r="A410" s="3" t="s">
        <v>65</v>
      </c>
      <c r="B410" s="3" t="s">
        <v>199</v>
      </c>
      <c r="C410" s="4">
        <v>28998000000</v>
      </c>
    </row>
    <row r="411" spans="1:3" hidden="1">
      <c r="A411" s="5" t="s">
        <v>65</v>
      </c>
      <c r="B411" s="5" t="s">
        <v>199</v>
      </c>
      <c r="C411" s="6">
        <v>28406000000</v>
      </c>
    </row>
    <row r="412" spans="1:3" hidden="1">
      <c r="A412" s="3" t="s">
        <v>65</v>
      </c>
      <c r="B412" s="3" t="s">
        <v>199</v>
      </c>
      <c r="C412" s="4">
        <v>25130000000</v>
      </c>
    </row>
    <row r="413" spans="1:3" hidden="1">
      <c r="A413" s="5" t="s">
        <v>65</v>
      </c>
      <c r="B413" s="5" t="s">
        <v>199</v>
      </c>
      <c r="C413" s="6">
        <v>24594000000</v>
      </c>
    </row>
    <row r="414" spans="1:3" hidden="1">
      <c r="A414" s="3" t="s">
        <v>19</v>
      </c>
      <c r="B414" s="3" t="s">
        <v>133</v>
      </c>
      <c r="C414" s="4">
        <v>37795400000</v>
      </c>
    </row>
    <row r="415" spans="1:3" hidden="1">
      <c r="A415" s="5" t="s">
        <v>19</v>
      </c>
      <c r="B415" s="5" t="s">
        <v>133</v>
      </c>
      <c r="C415" s="6">
        <v>36066900000</v>
      </c>
    </row>
    <row r="416" spans="1:3" hidden="1">
      <c r="A416" s="3" t="s">
        <v>19</v>
      </c>
      <c r="B416" s="3" t="s">
        <v>133</v>
      </c>
      <c r="C416" s="4">
        <v>28862800000</v>
      </c>
    </row>
    <row r="417" spans="1:3" hidden="1">
      <c r="A417" s="5" t="s">
        <v>19</v>
      </c>
      <c r="B417" s="5" t="s">
        <v>133</v>
      </c>
      <c r="C417" s="6">
        <v>26644000000</v>
      </c>
    </row>
    <row r="418" spans="1:3" hidden="1">
      <c r="A418" s="3" t="s">
        <v>53</v>
      </c>
      <c r="B418" s="3" t="s">
        <v>106</v>
      </c>
      <c r="C418" s="4">
        <v>8984000000</v>
      </c>
    </row>
    <row r="419" spans="1:3" hidden="1">
      <c r="A419" s="5" t="s">
        <v>53</v>
      </c>
      <c r="B419" s="5" t="s">
        <v>106</v>
      </c>
      <c r="C419" s="6">
        <v>9370000000</v>
      </c>
    </row>
    <row r="420" spans="1:3" hidden="1">
      <c r="A420" s="3" t="s">
        <v>53</v>
      </c>
      <c r="B420" s="3" t="s">
        <v>106</v>
      </c>
      <c r="C420" s="4">
        <v>9611000000</v>
      </c>
    </row>
    <row r="421" spans="1:3" hidden="1">
      <c r="A421" s="5" t="s">
        <v>53</v>
      </c>
      <c r="B421" s="5" t="s">
        <v>106</v>
      </c>
      <c r="C421" s="6">
        <v>10002000000</v>
      </c>
    </row>
    <row r="422" spans="1:3" hidden="1">
      <c r="A422" s="3" t="s">
        <v>25</v>
      </c>
      <c r="B422" s="3" t="s">
        <v>203</v>
      </c>
      <c r="C422" s="4">
        <v>16022128000</v>
      </c>
    </row>
    <row r="423" spans="1:3" hidden="1">
      <c r="A423" s="5" t="s">
        <v>25</v>
      </c>
      <c r="B423" s="5" t="s">
        <v>203</v>
      </c>
      <c r="C423" s="6">
        <v>17504167000</v>
      </c>
    </row>
    <row r="424" spans="1:3" hidden="1">
      <c r="A424" s="3" t="s">
        <v>25</v>
      </c>
      <c r="B424" s="3" t="s">
        <v>203</v>
      </c>
      <c r="C424" s="4">
        <v>18909588000</v>
      </c>
    </row>
    <row r="425" spans="1:3" hidden="1">
      <c r="A425" s="5" t="s">
        <v>25</v>
      </c>
      <c r="B425" s="5" t="s">
        <v>203</v>
      </c>
      <c r="C425" s="6">
        <v>20368562000</v>
      </c>
    </row>
    <row r="426" spans="1:3" hidden="1">
      <c r="A426" s="3" t="s">
        <v>31</v>
      </c>
      <c r="B426" s="3" t="s">
        <v>205</v>
      </c>
      <c r="C426" s="4">
        <v>7383000000</v>
      </c>
    </row>
    <row r="427" spans="1:3" hidden="1">
      <c r="A427" s="5" t="s">
        <v>31</v>
      </c>
      <c r="B427" s="5" t="s">
        <v>205</v>
      </c>
      <c r="C427" s="6">
        <v>7146000000</v>
      </c>
    </row>
    <row r="428" spans="1:3" hidden="1">
      <c r="A428" s="3" t="s">
        <v>31</v>
      </c>
      <c r="B428" s="3" t="s">
        <v>205</v>
      </c>
      <c r="C428" s="4">
        <v>7435000000</v>
      </c>
    </row>
    <row r="429" spans="1:3" hidden="1">
      <c r="A429" s="5" t="s">
        <v>31</v>
      </c>
      <c r="B429" s="5" t="s">
        <v>205</v>
      </c>
      <c r="C429" s="6">
        <v>7493000000</v>
      </c>
    </row>
    <row r="430" spans="1:3" hidden="1">
      <c r="A430" s="3" t="s">
        <v>25</v>
      </c>
      <c r="B430" s="3" t="s">
        <v>207</v>
      </c>
      <c r="C430" s="4">
        <v>6259300000</v>
      </c>
    </row>
    <row r="431" spans="1:3" hidden="1">
      <c r="A431" s="5" t="s">
        <v>25</v>
      </c>
      <c r="B431" s="5" t="s">
        <v>207</v>
      </c>
      <c r="C431" s="6">
        <v>8024900000</v>
      </c>
    </row>
    <row r="432" spans="1:3" hidden="1">
      <c r="A432" s="3" t="s">
        <v>25</v>
      </c>
      <c r="B432" s="3" t="s">
        <v>207</v>
      </c>
      <c r="C432" s="4">
        <v>10824000000</v>
      </c>
    </row>
    <row r="433" spans="1:3" hidden="1">
      <c r="A433" s="5" t="s">
        <v>25</v>
      </c>
      <c r="B433" s="5" t="s">
        <v>207</v>
      </c>
      <c r="C433" s="6">
        <v>12157400000</v>
      </c>
    </row>
    <row r="434" spans="1:3" hidden="1">
      <c r="A434" s="3" t="s">
        <v>19</v>
      </c>
      <c r="B434" s="3" t="s">
        <v>170</v>
      </c>
      <c r="C434" s="4">
        <v>18260400000</v>
      </c>
    </row>
    <row r="435" spans="1:3" hidden="1">
      <c r="A435" s="5" t="s">
        <v>19</v>
      </c>
      <c r="B435" s="5" t="s">
        <v>170</v>
      </c>
      <c r="C435" s="6">
        <v>18283100000</v>
      </c>
    </row>
    <row r="436" spans="1:3" hidden="1">
      <c r="A436" s="3" t="s">
        <v>19</v>
      </c>
      <c r="B436" s="3" t="s">
        <v>170</v>
      </c>
      <c r="C436" s="4">
        <v>19154000000</v>
      </c>
    </row>
    <row r="437" spans="1:3" hidden="1">
      <c r="A437" s="5" t="s">
        <v>19</v>
      </c>
      <c r="B437" s="5" t="s">
        <v>170</v>
      </c>
      <c r="C437" s="6">
        <v>20563100000</v>
      </c>
    </row>
    <row r="438" spans="1:3" hidden="1">
      <c r="A438" s="3" t="s">
        <v>25</v>
      </c>
      <c r="B438" s="3" t="s">
        <v>210</v>
      </c>
      <c r="C438" s="4">
        <v>45041000000</v>
      </c>
    </row>
    <row r="439" spans="1:3" hidden="1">
      <c r="A439" s="5" t="s">
        <v>25</v>
      </c>
      <c r="B439" s="5" t="s">
        <v>210</v>
      </c>
      <c r="C439" s="6">
        <v>48813000000</v>
      </c>
    </row>
    <row r="440" spans="1:3" hidden="1">
      <c r="A440" s="3" t="s">
        <v>25</v>
      </c>
      <c r="B440" s="3" t="s">
        <v>210</v>
      </c>
      <c r="C440" s="4">
        <v>52465000000</v>
      </c>
    </row>
    <row r="441" spans="1:3" hidden="1">
      <c r="A441" s="5" t="s">
        <v>25</v>
      </c>
      <c r="B441" s="5" t="s">
        <v>210</v>
      </c>
      <c r="C441" s="6">
        <v>55632000000</v>
      </c>
    </row>
    <row r="442" spans="1:3" hidden="1">
      <c r="A442" s="3" t="s">
        <v>25</v>
      </c>
      <c r="B442" s="3" t="s">
        <v>154</v>
      </c>
      <c r="C442" s="4">
        <v>5535000000</v>
      </c>
    </row>
    <row r="443" spans="1:3" hidden="1">
      <c r="A443" s="5" t="s">
        <v>25</v>
      </c>
      <c r="B443" s="5" t="s">
        <v>154</v>
      </c>
      <c r="C443" s="6">
        <v>6265000000</v>
      </c>
    </row>
    <row r="444" spans="1:3" hidden="1">
      <c r="A444" s="3" t="s">
        <v>25</v>
      </c>
      <c r="B444" s="3" t="s">
        <v>154</v>
      </c>
      <c r="C444" s="4">
        <v>6394000000</v>
      </c>
    </row>
    <row r="445" spans="1:3" hidden="1">
      <c r="A445" s="5" t="s">
        <v>25</v>
      </c>
      <c r="B445" s="5" t="s">
        <v>154</v>
      </c>
      <c r="C445" s="6">
        <v>6497000000</v>
      </c>
    </row>
    <row r="446" spans="1:3" hidden="1">
      <c r="A446" s="3" t="s">
        <v>25</v>
      </c>
      <c r="B446" s="3" t="s">
        <v>154</v>
      </c>
      <c r="C446" s="4">
        <v>5535000000</v>
      </c>
    </row>
    <row r="447" spans="1:3" hidden="1">
      <c r="A447" s="5" t="s">
        <v>25</v>
      </c>
      <c r="B447" s="5" t="s">
        <v>154</v>
      </c>
      <c r="C447" s="6">
        <v>6265000000</v>
      </c>
    </row>
    <row r="448" spans="1:3" hidden="1">
      <c r="A448" s="3" t="s">
        <v>25</v>
      </c>
      <c r="B448" s="3" t="s">
        <v>154</v>
      </c>
      <c r="C448" s="4">
        <v>6394000000</v>
      </c>
    </row>
    <row r="449" spans="1:3" hidden="1">
      <c r="A449" s="5" t="s">
        <v>25</v>
      </c>
      <c r="B449" s="5" t="s">
        <v>154</v>
      </c>
      <c r="C449" s="6">
        <v>6497000000</v>
      </c>
    </row>
    <row r="450" spans="1:3" hidden="1">
      <c r="A450" s="3" t="s">
        <v>25</v>
      </c>
      <c r="B450" s="3" t="s">
        <v>127</v>
      </c>
      <c r="C450" s="4">
        <v>15051000000</v>
      </c>
    </row>
    <row r="451" spans="1:3" hidden="1">
      <c r="A451" s="5" t="s">
        <v>25</v>
      </c>
      <c r="B451" s="5" t="s">
        <v>127</v>
      </c>
      <c r="C451" s="6">
        <v>15499000000</v>
      </c>
    </row>
    <row r="452" spans="1:3" hidden="1">
      <c r="A452" s="3" t="s">
        <v>25</v>
      </c>
      <c r="B452" s="3" t="s">
        <v>127</v>
      </c>
      <c r="C452" s="4">
        <v>15165000000</v>
      </c>
    </row>
    <row r="453" spans="1:3" hidden="1">
      <c r="A453" s="5" t="s">
        <v>25</v>
      </c>
      <c r="B453" s="5" t="s">
        <v>127</v>
      </c>
      <c r="C453" s="6">
        <v>16661000000</v>
      </c>
    </row>
    <row r="454" spans="1:3" hidden="1">
      <c r="A454" s="3" t="s">
        <v>58</v>
      </c>
      <c r="B454" s="3" t="s">
        <v>81</v>
      </c>
      <c r="C454" s="4">
        <v>1279067000</v>
      </c>
    </row>
    <row r="455" spans="1:3" hidden="1">
      <c r="A455" s="5" t="s">
        <v>58</v>
      </c>
      <c r="B455" s="5" t="s">
        <v>81</v>
      </c>
      <c r="C455" s="6">
        <v>1482259000</v>
      </c>
    </row>
    <row r="456" spans="1:3" hidden="1">
      <c r="A456" s="3" t="s">
        <v>58</v>
      </c>
      <c r="B456" s="3" t="s">
        <v>81</v>
      </c>
      <c r="C456" s="4">
        <v>1616438000</v>
      </c>
    </row>
    <row r="457" spans="1:3" hidden="1">
      <c r="A457" s="5" t="s">
        <v>58</v>
      </c>
      <c r="B457" s="5" t="s">
        <v>81</v>
      </c>
      <c r="C457" s="6">
        <v>1763336000</v>
      </c>
    </row>
    <row r="458" spans="1:3" hidden="1">
      <c r="A458" s="3" t="s">
        <v>25</v>
      </c>
      <c r="B458" s="3" t="s">
        <v>203</v>
      </c>
      <c r="C458" s="4">
        <v>7394500000</v>
      </c>
    </row>
    <row r="459" spans="1:3" hidden="1">
      <c r="A459" s="5" t="s">
        <v>25</v>
      </c>
      <c r="B459" s="5" t="s">
        <v>203</v>
      </c>
      <c r="C459" s="6">
        <v>7840300000</v>
      </c>
    </row>
    <row r="460" spans="1:3" hidden="1">
      <c r="A460" s="3" t="s">
        <v>25</v>
      </c>
      <c r="B460" s="3" t="s">
        <v>203</v>
      </c>
      <c r="C460" s="4">
        <v>8602200000</v>
      </c>
    </row>
    <row r="461" spans="1:3" hidden="1">
      <c r="A461" s="5" t="s">
        <v>25</v>
      </c>
      <c r="B461" s="5" t="s">
        <v>203</v>
      </c>
      <c r="C461" s="6">
        <v>15498400000</v>
      </c>
    </row>
    <row r="462" spans="1:3" hidden="1">
      <c r="A462" s="3" t="s">
        <v>19</v>
      </c>
      <c r="B462" s="3" t="s">
        <v>217</v>
      </c>
      <c r="C462" s="4">
        <v>1663000000</v>
      </c>
    </row>
    <row r="463" spans="1:3" hidden="1">
      <c r="A463" s="5" t="s">
        <v>19</v>
      </c>
      <c r="B463" s="5" t="s">
        <v>217</v>
      </c>
      <c r="C463" s="6">
        <v>1558400000</v>
      </c>
    </row>
    <row r="464" spans="1:3" hidden="1">
      <c r="A464" s="3" t="s">
        <v>19</v>
      </c>
      <c r="B464" s="3" t="s">
        <v>217</v>
      </c>
      <c r="C464" s="4">
        <v>1584500000</v>
      </c>
    </row>
    <row r="465" spans="1:3" hidden="1">
      <c r="A465" s="5" t="s">
        <v>19</v>
      </c>
      <c r="B465" s="5" t="s">
        <v>217</v>
      </c>
      <c r="C465" s="6">
        <v>1637100000</v>
      </c>
    </row>
    <row r="466" spans="1:3" hidden="1">
      <c r="A466" s="3" t="s">
        <v>19</v>
      </c>
      <c r="B466" s="3" t="s">
        <v>163</v>
      </c>
      <c r="C466" s="4">
        <v>7155096000</v>
      </c>
    </row>
    <row r="467" spans="1:3" hidden="1">
      <c r="A467" s="5" t="s">
        <v>19</v>
      </c>
      <c r="B467" s="5" t="s">
        <v>163</v>
      </c>
      <c r="C467" s="6">
        <v>7752728000</v>
      </c>
    </row>
    <row r="468" spans="1:3" hidden="1">
      <c r="A468" s="3" t="s">
        <v>19</v>
      </c>
      <c r="B468" s="3" t="s">
        <v>163</v>
      </c>
      <c r="C468" s="4">
        <v>6956311000</v>
      </c>
    </row>
    <row r="469" spans="1:3" hidden="1">
      <c r="A469" s="5" t="s">
        <v>19</v>
      </c>
      <c r="B469" s="5" t="s">
        <v>163</v>
      </c>
      <c r="C469" s="6">
        <v>6794342000</v>
      </c>
    </row>
    <row r="470" spans="1:3" hidden="1">
      <c r="A470" s="3" t="s">
        <v>42</v>
      </c>
      <c r="B470" s="3" t="s">
        <v>220</v>
      </c>
      <c r="C470" s="4">
        <v>5997000000</v>
      </c>
    </row>
    <row r="471" spans="1:3" hidden="1">
      <c r="A471" s="5" t="s">
        <v>42</v>
      </c>
      <c r="B471" s="5" t="s">
        <v>220</v>
      </c>
      <c r="C471" s="6">
        <v>6121000000</v>
      </c>
    </row>
    <row r="472" spans="1:3" hidden="1">
      <c r="A472" s="3" t="s">
        <v>42</v>
      </c>
      <c r="B472" s="3" t="s">
        <v>220</v>
      </c>
      <c r="C472" s="4">
        <v>6282000000</v>
      </c>
    </row>
    <row r="473" spans="1:3" hidden="1">
      <c r="A473" s="5" t="s">
        <v>42</v>
      </c>
      <c r="B473" s="5" t="s">
        <v>220</v>
      </c>
      <c r="C473" s="6">
        <v>6440000000</v>
      </c>
    </row>
    <row r="474" spans="1:3" hidden="1">
      <c r="A474" s="3" t="s">
        <v>25</v>
      </c>
      <c r="B474" s="3" t="s">
        <v>161</v>
      </c>
      <c r="C474" s="4">
        <v>5921000000</v>
      </c>
    </row>
    <row r="475" spans="1:3" hidden="1">
      <c r="A475" s="5" t="s">
        <v>25</v>
      </c>
      <c r="B475" s="5" t="s">
        <v>161</v>
      </c>
      <c r="C475" s="6">
        <v>6285600000</v>
      </c>
    </row>
    <row r="476" spans="1:3" hidden="1">
      <c r="A476" s="3" t="s">
        <v>25</v>
      </c>
      <c r="B476" s="3" t="s">
        <v>161</v>
      </c>
      <c r="C476" s="4">
        <v>6764000000</v>
      </c>
    </row>
    <row r="477" spans="1:3" hidden="1">
      <c r="A477" s="5" t="s">
        <v>25</v>
      </c>
      <c r="B477" s="5" t="s">
        <v>161</v>
      </c>
      <c r="C477" s="6">
        <v>6933500000</v>
      </c>
    </row>
    <row r="478" spans="1:3" hidden="1">
      <c r="A478" s="3" t="s">
        <v>48</v>
      </c>
      <c r="B478" s="3" t="s">
        <v>51</v>
      </c>
      <c r="C478" s="4">
        <v>17912000000</v>
      </c>
    </row>
    <row r="479" spans="1:3" hidden="1">
      <c r="A479" s="5" t="s">
        <v>48</v>
      </c>
      <c r="B479" s="5" t="s">
        <v>51</v>
      </c>
      <c r="C479" s="6">
        <v>22756000000</v>
      </c>
    </row>
    <row r="480" spans="1:3" hidden="1">
      <c r="A480" s="3" t="s">
        <v>48</v>
      </c>
      <c r="B480" s="3" t="s">
        <v>51</v>
      </c>
      <c r="C480" s="4">
        <v>23925000000</v>
      </c>
    </row>
    <row r="481" spans="1:3" hidden="1">
      <c r="A481" s="5" t="s">
        <v>48</v>
      </c>
      <c r="B481" s="5" t="s">
        <v>51</v>
      </c>
      <c r="C481" s="6">
        <v>23459000000</v>
      </c>
    </row>
    <row r="482" spans="1:3" hidden="1">
      <c r="A482" s="3" t="s">
        <v>31</v>
      </c>
      <c r="B482" s="3" t="s">
        <v>205</v>
      </c>
      <c r="C482" s="4">
        <v>8186280000</v>
      </c>
    </row>
    <row r="483" spans="1:3" hidden="1">
      <c r="A483" s="5" t="s">
        <v>31</v>
      </c>
      <c r="B483" s="5" t="s">
        <v>205</v>
      </c>
      <c r="C483" s="6">
        <v>11764050000</v>
      </c>
    </row>
    <row r="484" spans="1:3" hidden="1">
      <c r="A484" s="3" t="s">
        <v>31</v>
      </c>
      <c r="B484" s="3" t="s">
        <v>205</v>
      </c>
      <c r="C484" s="4">
        <v>12795106000</v>
      </c>
    </row>
    <row r="485" spans="1:3" hidden="1">
      <c r="A485" s="5" t="s">
        <v>31</v>
      </c>
      <c r="B485" s="5" t="s">
        <v>205</v>
      </c>
      <c r="C485" s="6">
        <v>13781837000</v>
      </c>
    </row>
    <row r="486" spans="1:3">
      <c r="A486" s="3" t="s">
        <v>89</v>
      </c>
      <c r="B486" s="3" t="s">
        <v>90</v>
      </c>
      <c r="C486" s="4">
        <v>10397000000</v>
      </c>
    </row>
    <row r="487" spans="1:3">
      <c r="A487" s="5" t="s">
        <v>89</v>
      </c>
      <c r="B487" s="5" t="s">
        <v>90</v>
      </c>
      <c r="C487" s="6">
        <v>20638000000</v>
      </c>
    </row>
    <row r="488" spans="1:3">
      <c r="A488" s="3" t="s">
        <v>89</v>
      </c>
      <c r="B488" s="3" t="s">
        <v>90</v>
      </c>
      <c r="C488" s="4">
        <v>13145000000</v>
      </c>
    </row>
    <row r="489" spans="1:3">
      <c r="A489" s="5" t="s">
        <v>89</v>
      </c>
      <c r="B489" s="5" t="s">
        <v>90</v>
      </c>
      <c r="C489" s="6">
        <v>12197000000</v>
      </c>
    </row>
    <row r="490" spans="1:3" hidden="1">
      <c r="A490" s="3" t="s">
        <v>28</v>
      </c>
      <c r="B490" s="3" t="s">
        <v>99</v>
      </c>
      <c r="C490" s="4">
        <v>3797000000</v>
      </c>
    </row>
    <row r="491" spans="1:3" hidden="1">
      <c r="A491" s="5" t="s">
        <v>28</v>
      </c>
      <c r="B491" s="5" t="s">
        <v>99</v>
      </c>
      <c r="C491" s="6">
        <v>3575000000</v>
      </c>
    </row>
    <row r="492" spans="1:3" hidden="1">
      <c r="A492" s="3" t="s">
        <v>28</v>
      </c>
      <c r="B492" s="3" t="s">
        <v>99</v>
      </c>
      <c r="C492" s="4">
        <v>4515000000</v>
      </c>
    </row>
    <row r="493" spans="1:3" hidden="1">
      <c r="A493" s="5" t="s">
        <v>28</v>
      </c>
      <c r="B493" s="5" t="s">
        <v>99</v>
      </c>
      <c r="C493" s="6">
        <v>4396000000</v>
      </c>
    </row>
    <row r="494" spans="1:3" hidden="1">
      <c r="A494" s="3" t="s">
        <v>28</v>
      </c>
      <c r="B494" s="3" t="s">
        <v>63</v>
      </c>
      <c r="C494" s="4">
        <v>8257000000</v>
      </c>
    </row>
    <row r="495" spans="1:3" hidden="1">
      <c r="A495" s="5" t="s">
        <v>28</v>
      </c>
      <c r="B495" s="5" t="s">
        <v>63</v>
      </c>
      <c r="C495" s="6">
        <v>8790000000</v>
      </c>
    </row>
    <row r="496" spans="1:3" hidden="1">
      <c r="A496" s="3" t="s">
        <v>28</v>
      </c>
      <c r="B496" s="3" t="s">
        <v>63</v>
      </c>
      <c r="C496" s="4">
        <v>8592000000</v>
      </c>
    </row>
    <row r="497" spans="1:3" hidden="1">
      <c r="A497" s="5" t="s">
        <v>28</v>
      </c>
      <c r="B497" s="5" t="s">
        <v>63</v>
      </c>
      <c r="C497" s="6">
        <v>8979000000</v>
      </c>
    </row>
    <row r="498" spans="1:3" hidden="1">
      <c r="A498" s="3" t="s">
        <v>65</v>
      </c>
      <c r="B498" s="3" t="s">
        <v>66</v>
      </c>
      <c r="C498" s="4">
        <v>11838700000</v>
      </c>
    </row>
    <row r="499" spans="1:3" hidden="1">
      <c r="A499" s="5" t="s">
        <v>65</v>
      </c>
      <c r="B499" s="5" t="s">
        <v>66</v>
      </c>
      <c r="C499" s="6">
        <v>13253400000</v>
      </c>
    </row>
    <row r="500" spans="1:3" hidden="1">
      <c r="A500" s="3" t="s">
        <v>65</v>
      </c>
      <c r="B500" s="3" t="s">
        <v>66</v>
      </c>
      <c r="C500" s="4">
        <v>14280500000</v>
      </c>
    </row>
    <row r="501" spans="1:3" hidden="1">
      <c r="A501" s="5" t="s">
        <v>65</v>
      </c>
      <c r="B501" s="5" t="s">
        <v>66</v>
      </c>
      <c r="C501" s="6">
        <v>13545100000</v>
      </c>
    </row>
    <row r="502" spans="1:3" hidden="1">
      <c r="A502" s="3" t="s">
        <v>48</v>
      </c>
      <c r="B502" s="3" t="s">
        <v>51</v>
      </c>
      <c r="C502" s="4">
        <v>12354000000</v>
      </c>
    </row>
    <row r="503" spans="1:3" hidden="1">
      <c r="A503" s="5" t="s">
        <v>48</v>
      </c>
      <c r="B503" s="5" t="s">
        <v>51</v>
      </c>
      <c r="C503" s="6">
        <v>12919000000</v>
      </c>
    </row>
    <row r="504" spans="1:3" hidden="1">
      <c r="A504" s="3" t="s">
        <v>48</v>
      </c>
      <c r="B504" s="3" t="s">
        <v>51</v>
      </c>
      <c r="C504" s="4">
        <v>12554000000</v>
      </c>
    </row>
    <row r="505" spans="1:3" hidden="1">
      <c r="A505" s="5" t="s">
        <v>48</v>
      </c>
      <c r="B505" s="5" t="s">
        <v>51</v>
      </c>
      <c r="C505" s="6">
        <v>12075000000</v>
      </c>
    </row>
    <row r="506" spans="1:3" hidden="1">
      <c r="A506" s="3" t="s">
        <v>19</v>
      </c>
      <c r="B506" s="3" t="s">
        <v>217</v>
      </c>
      <c r="C506" s="4">
        <v>2073000000</v>
      </c>
    </row>
    <row r="507" spans="1:3" hidden="1">
      <c r="A507" s="5" t="s">
        <v>19</v>
      </c>
      <c r="B507" s="5" t="s">
        <v>217</v>
      </c>
      <c r="C507" s="6">
        <v>2303900000</v>
      </c>
    </row>
    <row r="508" spans="1:3" hidden="1">
      <c r="A508" s="3" t="s">
        <v>19</v>
      </c>
      <c r="B508" s="3" t="s">
        <v>217</v>
      </c>
      <c r="C508" s="4">
        <v>2436400000</v>
      </c>
    </row>
    <row r="509" spans="1:3" hidden="1">
      <c r="A509" s="5" t="s">
        <v>19</v>
      </c>
      <c r="B509" s="5" t="s">
        <v>217</v>
      </c>
      <c r="C509" s="6">
        <v>2663600000</v>
      </c>
    </row>
    <row r="510" spans="1:3" hidden="1">
      <c r="A510" s="3" t="s">
        <v>48</v>
      </c>
      <c r="B510" s="3" t="s">
        <v>51</v>
      </c>
      <c r="C510" s="4">
        <v>11862000000</v>
      </c>
    </row>
    <row r="511" spans="1:3" hidden="1">
      <c r="A511" s="5" t="s">
        <v>48</v>
      </c>
      <c r="B511" s="5" t="s">
        <v>51</v>
      </c>
      <c r="C511" s="6">
        <v>12581000000</v>
      </c>
    </row>
    <row r="512" spans="1:3" hidden="1">
      <c r="A512" s="3" t="s">
        <v>48</v>
      </c>
      <c r="B512" s="3" t="s">
        <v>51</v>
      </c>
      <c r="C512" s="4">
        <v>13413000000</v>
      </c>
    </row>
    <row r="513" spans="1:3" hidden="1">
      <c r="A513" s="5" t="s">
        <v>48</v>
      </c>
      <c r="B513" s="5" t="s">
        <v>51</v>
      </c>
      <c r="C513" s="6">
        <v>11524000000</v>
      </c>
    </row>
    <row r="514" spans="1:3" hidden="1">
      <c r="A514" s="3" t="s">
        <v>42</v>
      </c>
      <c r="B514" s="3" t="s">
        <v>176</v>
      </c>
      <c r="C514" s="4">
        <v>10181700000</v>
      </c>
    </row>
    <row r="515" spans="1:3" hidden="1">
      <c r="A515" s="5" t="s">
        <v>42</v>
      </c>
      <c r="B515" s="5" t="s">
        <v>176</v>
      </c>
      <c r="C515" s="6">
        <v>10968800000</v>
      </c>
    </row>
    <row r="516" spans="1:3" hidden="1">
      <c r="A516" s="3" t="s">
        <v>42</v>
      </c>
      <c r="B516" s="3" t="s">
        <v>176</v>
      </c>
      <c r="C516" s="4">
        <v>10780400000</v>
      </c>
    </row>
    <row r="517" spans="1:3" hidden="1">
      <c r="A517" s="5" t="s">
        <v>42</v>
      </c>
      <c r="B517" s="5" t="s">
        <v>176</v>
      </c>
      <c r="C517" s="6">
        <v>11262300000</v>
      </c>
    </row>
    <row r="518" spans="1:3" hidden="1">
      <c r="A518" s="3" t="s">
        <v>65</v>
      </c>
      <c r="B518" s="3" t="s">
        <v>199</v>
      </c>
      <c r="C518" s="4">
        <v>8102000000</v>
      </c>
    </row>
    <row r="519" spans="1:3" hidden="1">
      <c r="A519" s="5" t="s">
        <v>65</v>
      </c>
      <c r="B519" s="5" t="s">
        <v>199</v>
      </c>
      <c r="C519" s="6">
        <v>9350000000</v>
      </c>
    </row>
    <row r="520" spans="1:3" hidden="1">
      <c r="A520" s="3" t="s">
        <v>65</v>
      </c>
      <c r="B520" s="3" t="s">
        <v>199</v>
      </c>
      <c r="C520" s="4">
        <v>9527000000</v>
      </c>
    </row>
    <row r="521" spans="1:3" hidden="1">
      <c r="A521" s="5" t="s">
        <v>65</v>
      </c>
      <c r="B521" s="5" t="s">
        <v>199</v>
      </c>
      <c r="C521" s="6">
        <v>9648000000</v>
      </c>
    </row>
    <row r="522" spans="1:3" hidden="1">
      <c r="A522" s="3" t="s">
        <v>19</v>
      </c>
      <c r="B522" s="3" t="s">
        <v>170</v>
      </c>
      <c r="C522" s="4">
        <v>24669000000</v>
      </c>
    </row>
    <row r="523" spans="1:3" hidden="1">
      <c r="A523" s="5" t="s">
        <v>19</v>
      </c>
      <c r="B523" s="5" t="s">
        <v>170</v>
      </c>
      <c r="C523" s="6">
        <v>17733000000</v>
      </c>
    </row>
    <row r="524" spans="1:3" hidden="1">
      <c r="A524" s="3" t="s">
        <v>19</v>
      </c>
      <c r="B524" s="3" t="s">
        <v>170</v>
      </c>
      <c r="C524" s="4">
        <v>16249000000</v>
      </c>
    </row>
    <row r="525" spans="1:3" hidden="1">
      <c r="A525" s="5" t="s">
        <v>19</v>
      </c>
      <c r="B525" s="5" t="s">
        <v>170</v>
      </c>
      <c r="C525" s="6">
        <v>14522000000</v>
      </c>
    </row>
    <row r="526" spans="1:3">
      <c r="A526" s="3" t="s">
        <v>89</v>
      </c>
      <c r="B526" s="3" t="s">
        <v>90</v>
      </c>
      <c r="C526" s="4">
        <v>11682636000</v>
      </c>
    </row>
    <row r="527" spans="1:3">
      <c r="A527" s="5" t="s">
        <v>89</v>
      </c>
      <c r="B527" s="5" t="s">
        <v>90</v>
      </c>
      <c r="C527" s="6">
        <v>14487118000</v>
      </c>
    </row>
    <row r="528" spans="1:3">
      <c r="A528" s="3" t="s">
        <v>89</v>
      </c>
      <c r="B528" s="3" t="s">
        <v>90</v>
      </c>
      <c r="C528" s="4">
        <v>18035340000</v>
      </c>
    </row>
    <row r="529" spans="1:3">
      <c r="A529" s="5" t="s">
        <v>89</v>
      </c>
      <c r="B529" s="5" t="s">
        <v>90</v>
      </c>
      <c r="C529" s="6">
        <v>8757428000</v>
      </c>
    </row>
    <row r="530" spans="1:3" hidden="1">
      <c r="A530" s="3" t="s">
        <v>58</v>
      </c>
      <c r="B530" s="3" t="s">
        <v>59</v>
      </c>
      <c r="C530" s="4">
        <v>1887376000</v>
      </c>
    </row>
    <row r="531" spans="1:3" hidden="1">
      <c r="A531" s="5" t="s">
        <v>58</v>
      </c>
      <c r="B531" s="5" t="s">
        <v>59</v>
      </c>
      <c r="C531" s="6">
        <v>2152766000</v>
      </c>
    </row>
    <row r="532" spans="1:3" hidden="1">
      <c r="A532" s="3" t="s">
        <v>58</v>
      </c>
      <c r="B532" s="3" t="s">
        <v>59</v>
      </c>
      <c r="C532" s="4">
        <v>2443776000</v>
      </c>
    </row>
    <row r="533" spans="1:3" hidden="1">
      <c r="A533" s="5" t="s">
        <v>58</v>
      </c>
      <c r="B533" s="5" t="s">
        <v>59</v>
      </c>
      <c r="C533" s="6">
        <v>2725867000</v>
      </c>
    </row>
    <row r="534" spans="1:3" hidden="1">
      <c r="A534" s="3" t="s">
        <v>58</v>
      </c>
      <c r="B534" s="3" t="s">
        <v>59</v>
      </c>
      <c r="C534" s="4">
        <v>1747502000</v>
      </c>
    </row>
    <row r="535" spans="1:3" hidden="1">
      <c r="A535" s="5" t="s">
        <v>58</v>
      </c>
      <c r="B535" s="5" t="s">
        <v>59</v>
      </c>
      <c r="C535" s="6">
        <v>2387702000</v>
      </c>
    </row>
    <row r="536" spans="1:3" hidden="1">
      <c r="A536" s="3" t="s">
        <v>58</v>
      </c>
      <c r="B536" s="3" t="s">
        <v>59</v>
      </c>
      <c r="C536" s="4">
        <v>2614748000</v>
      </c>
    </row>
    <row r="537" spans="1:3" hidden="1">
      <c r="A537" s="5" t="s">
        <v>58</v>
      </c>
      <c r="B537" s="5" t="s">
        <v>59</v>
      </c>
      <c r="C537" s="6">
        <v>2744965000</v>
      </c>
    </row>
    <row r="538" spans="1:3">
      <c r="A538" s="3" t="s">
        <v>89</v>
      </c>
      <c r="B538" s="3" t="s">
        <v>90</v>
      </c>
      <c r="C538" s="4">
        <v>1859177000</v>
      </c>
    </row>
    <row r="539" spans="1:3">
      <c r="A539" s="5" t="s">
        <v>89</v>
      </c>
      <c r="B539" s="5" t="s">
        <v>90</v>
      </c>
      <c r="C539" s="6">
        <v>2388768000</v>
      </c>
    </row>
    <row r="540" spans="1:3">
      <c r="A540" s="3" t="s">
        <v>89</v>
      </c>
      <c r="B540" s="3" t="s">
        <v>90</v>
      </c>
      <c r="C540" s="4">
        <v>1954000000</v>
      </c>
    </row>
    <row r="541" spans="1:3">
      <c r="A541" s="5" t="s">
        <v>89</v>
      </c>
      <c r="B541" s="5" t="s">
        <v>90</v>
      </c>
      <c r="C541" s="6">
        <v>1857339000</v>
      </c>
    </row>
    <row r="542" spans="1:3" hidden="1">
      <c r="A542" s="3" t="s">
        <v>48</v>
      </c>
      <c r="B542" s="3" t="s">
        <v>49</v>
      </c>
      <c r="C542" s="4">
        <v>6273787000</v>
      </c>
    </row>
    <row r="543" spans="1:3" hidden="1">
      <c r="A543" s="5" t="s">
        <v>48</v>
      </c>
      <c r="B543" s="5" t="s">
        <v>49</v>
      </c>
      <c r="C543" s="6">
        <v>7301204000</v>
      </c>
    </row>
    <row r="544" spans="1:3" hidden="1">
      <c r="A544" s="3" t="s">
        <v>48</v>
      </c>
      <c r="B544" s="3" t="s">
        <v>49</v>
      </c>
      <c r="C544" s="4">
        <v>7741856000</v>
      </c>
    </row>
    <row r="545" spans="1:3" hidden="1">
      <c r="A545" s="5" t="s">
        <v>48</v>
      </c>
      <c r="B545" s="5" t="s">
        <v>49</v>
      </c>
      <c r="C545" s="6">
        <v>7954827000</v>
      </c>
    </row>
    <row r="546" spans="1:3" hidden="1">
      <c r="A546" s="3" t="s">
        <v>58</v>
      </c>
      <c r="B546" s="3" t="s">
        <v>240</v>
      </c>
      <c r="C546" s="4">
        <v>535153000</v>
      </c>
    </row>
    <row r="547" spans="1:3" hidden="1">
      <c r="A547" s="5" t="s">
        <v>58</v>
      </c>
      <c r="B547" s="5" t="s">
        <v>240</v>
      </c>
      <c r="C547" s="6">
        <v>610590000</v>
      </c>
    </row>
    <row r="548" spans="1:3" hidden="1">
      <c r="A548" s="3" t="s">
        <v>58</v>
      </c>
      <c r="B548" s="3" t="s">
        <v>240</v>
      </c>
      <c r="C548" s="4">
        <v>970938000</v>
      </c>
    </row>
    <row r="549" spans="1:3" hidden="1">
      <c r="A549" s="5" t="s">
        <v>58</v>
      </c>
      <c r="B549" s="5" t="s">
        <v>240</v>
      </c>
      <c r="C549" s="6">
        <v>1194407000</v>
      </c>
    </row>
    <row r="550" spans="1:3" hidden="1">
      <c r="A550" s="3" t="s">
        <v>53</v>
      </c>
      <c r="B550" s="3" t="s">
        <v>242</v>
      </c>
      <c r="C550" s="4">
        <v>1365000000</v>
      </c>
    </row>
    <row r="551" spans="1:3" hidden="1">
      <c r="A551" s="5" t="s">
        <v>53</v>
      </c>
      <c r="B551" s="5" t="s">
        <v>242</v>
      </c>
      <c r="C551" s="6">
        <v>1466000000</v>
      </c>
    </row>
    <row r="552" spans="1:3" hidden="1">
      <c r="A552" s="3" t="s">
        <v>53</v>
      </c>
      <c r="B552" s="3" t="s">
        <v>242</v>
      </c>
      <c r="C552" s="4">
        <v>1665000000</v>
      </c>
    </row>
    <row r="553" spans="1:3" hidden="1">
      <c r="A553" s="5" t="s">
        <v>53</v>
      </c>
      <c r="B553" s="5" t="s">
        <v>242</v>
      </c>
      <c r="C553" s="6">
        <v>1403000000</v>
      </c>
    </row>
    <row r="554" spans="1:3" hidden="1">
      <c r="A554" s="3" t="s">
        <v>19</v>
      </c>
      <c r="B554" s="3" t="s">
        <v>170</v>
      </c>
      <c r="C554" s="4">
        <v>16311000000</v>
      </c>
    </row>
    <row r="555" spans="1:3" hidden="1">
      <c r="A555" s="5" t="s">
        <v>19</v>
      </c>
      <c r="B555" s="5" t="s">
        <v>170</v>
      </c>
      <c r="C555" s="6">
        <v>22046000000</v>
      </c>
    </row>
    <row r="556" spans="1:3" hidden="1">
      <c r="A556" s="3" t="s">
        <v>19</v>
      </c>
      <c r="B556" s="3" t="s">
        <v>170</v>
      </c>
      <c r="C556" s="4">
        <v>22552000000</v>
      </c>
    </row>
    <row r="557" spans="1:3" hidden="1">
      <c r="A557" s="5" t="s">
        <v>19</v>
      </c>
      <c r="B557" s="5" t="s">
        <v>170</v>
      </c>
      <c r="C557" s="6">
        <v>20855000000</v>
      </c>
    </row>
    <row r="558" spans="1:3" hidden="1">
      <c r="A558" s="3" t="s">
        <v>48</v>
      </c>
      <c r="B558" s="3" t="s">
        <v>51</v>
      </c>
      <c r="C558" s="4">
        <v>10302079000</v>
      </c>
    </row>
    <row r="559" spans="1:3" hidden="1">
      <c r="A559" s="5" t="s">
        <v>48</v>
      </c>
      <c r="B559" s="5" t="s">
        <v>51</v>
      </c>
      <c r="C559" s="6">
        <v>11390947000</v>
      </c>
    </row>
    <row r="560" spans="1:3" hidden="1">
      <c r="A560" s="3" t="s">
        <v>48</v>
      </c>
      <c r="B560" s="3" t="s">
        <v>51</v>
      </c>
      <c r="C560" s="4">
        <v>12494921000</v>
      </c>
    </row>
    <row r="561" spans="1:3" hidden="1">
      <c r="A561" s="5" t="s">
        <v>48</v>
      </c>
      <c r="B561" s="5" t="s">
        <v>51</v>
      </c>
      <c r="C561" s="6">
        <v>11513251000</v>
      </c>
    </row>
    <row r="562" spans="1:3" hidden="1">
      <c r="A562" s="3" t="s">
        <v>31</v>
      </c>
      <c r="B562" s="3" t="s">
        <v>36</v>
      </c>
      <c r="C562" s="4">
        <v>1899600000</v>
      </c>
    </row>
    <row r="563" spans="1:3" hidden="1">
      <c r="A563" s="5" t="s">
        <v>31</v>
      </c>
      <c r="B563" s="5" t="s">
        <v>36</v>
      </c>
      <c r="C563" s="6">
        <v>2045500000</v>
      </c>
    </row>
    <row r="564" spans="1:3" hidden="1">
      <c r="A564" s="3" t="s">
        <v>31</v>
      </c>
      <c r="B564" s="3" t="s">
        <v>36</v>
      </c>
      <c r="C564" s="4">
        <v>2322900000</v>
      </c>
    </row>
    <row r="565" spans="1:3" hidden="1">
      <c r="A565" s="5" t="s">
        <v>31</v>
      </c>
      <c r="B565" s="5" t="s">
        <v>36</v>
      </c>
      <c r="C565" s="6">
        <v>2493700000</v>
      </c>
    </row>
    <row r="566" spans="1:3" hidden="1">
      <c r="A566" s="3" t="s">
        <v>48</v>
      </c>
      <c r="B566" s="3" t="s">
        <v>49</v>
      </c>
      <c r="C566" s="4">
        <v>24888000000</v>
      </c>
    </row>
    <row r="567" spans="1:3" hidden="1">
      <c r="A567" s="5" t="s">
        <v>48</v>
      </c>
      <c r="B567" s="5" t="s">
        <v>49</v>
      </c>
      <c r="C567" s="6">
        <v>27429000000</v>
      </c>
    </row>
    <row r="568" spans="1:3" hidden="1">
      <c r="A568" s="3" t="s">
        <v>48</v>
      </c>
      <c r="B568" s="3" t="s">
        <v>49</v>
      </c>
      <c r="C568" s="4">
        <v>29447000000</v>
      </c>
    </row>
    <row r="569" spans="1:3" hidden="1">
      <c r="A569" s="5" t="s">
        <v>48</v>
      </c>
      <c r="B569" s="5" t="s">
        <v>49</v>
      </c>
      <c r="C569" s="6">
        <v>31360000000</v>
      </c>
    </row>
    <row r="570" spans="1:3" hidden="1">
      <c r="A570" s="3" t="s">
        <v>19</v>
      </c>
      <c r="B570" s="3" t="s">
        <v>152</v>
      </c>
      <c r="C570" s="4">
        <v>5992215000</v>
      </c>
    </row>
    <row r="571" spans="1:3" hidden="1">
      <c r="A571" s="5" t="s">
        <v>19</v>
      </c>
      <c r="B571" s="5" t="s">
        <v>152</v>
      </c>
      <c r="C571" s="6">
        <v>6080257000</v>
      </c>
    </row>
    <row r="572" spans="1:3" hidden="1">
      <c r="A572" s="3" t="s">
        <v>19</v>
      </c>
      <c r="B572" s="3" t="s">
        <v>152</v>
      </c>
      <c r="C572" s="4">
        <v>6564721000</v>
      </c>
    </row>
    <row r="573" spans="1:3" hidden="1">
      <c r="A573" s="5" t="s">
        <v>19</v>
      </c>
      <c r="B573" s="5" t="s">
        <v>152</v>
      </c>
      <c r="C573" s="6">
        <v>6616632000</v>
      </c>
    </row>
    <row r="574" spans="1:3" hidden="1">
      <c r="A574" s="3" t="s">
        <v>25</v>
      </c>
      <c r="B574" s="3" t="s">
        <v>83</v>
      </c>
      <c r="C574" s="4">
        <v>4771259000</v>
      </c>
    </row>
    <row r="575" spans="1:3" hidden="1">
      <c r="A575" s="5" t="s">
        <v>25</v>
      </c>
      <c r="B575" s="5" t="s">
        <v>83</v>
      </c>
      <c r="C575" s="6">
        <v>5763485000</v>
      </c>
    </row>
    <row r="576" spans="1:3" hidden="1">
      <c r="A576" s="3" t="s">
        <v>25</v>
      </c>
      <c r="B576" s="3" t="s">
        <v>83</v>
      </c>
      <c r="C576" s="4">
        <v>6672317000</v>
      </c>
    </row>
    <row r="577" spans="1:3" hidden="1">
      <c r="A577" s="5" t="s">
        <v>25</v>
      </c>
      <c r="B577" s="5" t="s">
        <v>83</v>
      </c>
      <c r="C577" s="6">
        <v>8773564000</v>
      </c>
    </row>
    <row r="578" spans="1:3" hidden="1">
      <c r="A578" s="3" t="s">
        <v>58</v>
      </c>
      <c r="B578" s="3" t="s">
        <v>81</v>
      </c>
      <c r="C578" s="4">
        <v>409396000</v>
      </c>
    </row>
    <row r="579" spans="1:3" hidden="1">
      <c r="A579" s="5" t="s">
        <v>58</v>
      </c>
      <c r="B579" s="5" t="s">
        <v>81</v>
      </c>
      <c r="C579" s="6">
        <v>520613000</v>
      </c>
    </row>
    <row r="580" spans="1:3" hidden="1">
      <c r="A580" s="3" t="s">
        <v>58</v>
      </c>
      <c r="B580" s="3" t="s">
        <v>81</v>
      </c>
      <c r="C580" s="4">
        <v>647155000</v>
      </c>
    </row>
    <row r="581" spans="1:3" hidden="1">
      <c r="A581" s="5" t="s">
        <v>58</v>
      </c>
      <c r="B581" s="5" t="s">
        <v>81</v>
      </c>
      <c r="C581" s="6">
        <v>782270000</v>
      </c>
    </row>
    <row r="582" spans="1:3" hidden="1">
      <c r="A582" s="3" t="s">
        <v>25</v>
      </c>
      <c r="B582" s="3" t="s">
        <v>251</v>
      </c>
      <c r="C582" s="4">
        <v>146917000000</v>
      </c>
    </row>
    <row r="583" spans="1:3" hidden="1">
      <c r="A583" s="5" t="s">
        <v>25</v>
      </c>
      <c r="B583" s="5" t="s">
        <v>251</v>
      </c>
      <c r="C583" s="6">
        <v>144077000000</v>
      </c>
    </row>
    <row r="584" spans="1:3" hidden="1">
      <c r="A584" s="3" t="s">
        <v>25</v>
      </c>
      <c r="B584" s="3" t="s">
        <v>251</v>
      </c>
      <c r="C584" s="4">
        <v>149558000000</v>
      </c>
    </row>
    <row r="585" spans="1:3" hidden="1">
      <c r="A585" s="5" t="s">
        <v>25</v>
      </c>
      <c r="B585" s="5" t="s">
        <v>251</v>
      </c>
      <c r="C585" s="6">
        <v>151800000000</v>
      </c>
    </row>
    <row r="586" spans="1:3" hidden="1">
      <c r="A586" s="3" t="s">
        <v>19</v>
      </c>
      <c r="B586" s="3" t="s">
        <v>70</v>
      </c>
      <c r="C586" s="4">
        <v>3326106000</v>
      </c>
    </row>
    <row r="587" spans="1:3" hidden="1">
      <c r="A587" s="5" t="s">
        <v>19</v>
      </c>
      <c r="B587" s="5" t="s">
        <v>70</v>
      </c>
      <c r="C587" s="6">
        <v>3733507000</v>
      </c>
    </row>
    <row r="588" spans="1:3" hidden="1">
      <c r="A588" s="3" t="s">
        <v>19</v>
      </c>
      <c r="B588" s="3" t="s">
        <v>70</v>
      </c>
      <c r="C588" s="4">
        <v>3869187000</v>
      </c>
    </row>
    <row r="589" spans="1:3" hidden="1">
      <c r="A589" s="5" t="s">
        <v>19</v>
      </c>
      <c r="B589" s="5" t="s">
        <v>70</v>
      </c>
      <c r="C589" s="6">
        <v>3962036000</v>
      </c>
    </row>
    <row r="590" spans="1:3" hidden="1">
      <c r="A590" s="3" t="s">
        <v>28</v>
      </c>
      <c r="B590" s="3" t="s">
        <v>63</v>
      </c>
      <c r="C590" s="4">
        <v>7872000000</v>
      </c>
    </row>
    <row r="591" spans="1:3" hidden="1">
      <c r="A591" s="5" t="s">
        <v>28</v>
      </c>
      <c r="B591" s="5" t="s">
        <v>63</v>
      </c>
      <c r="C591" s="6">
        <v>12466000000</v>
      </c>
    </row>
    <row r="592" spans="1:3" hidden="1">
      <c r="A592" s="3" t="s">
        <v>28</v>
      </c>
      <c r="B592" s="3" t="s">
        <v>63</v>
      </c>
      <c r="C592" s="4">
        <v>17928000000</v>
      </c>
    </row>
    <row r="593" spans="1:3" hidden="1">
      <c r="A593" s="5" t="s">
        <v>28</v>
      </c>
      <c r="B593" s="5" t="s">
        <v>63</v>
      </c>
      <c r="C593" s="6">
        <v>27638000000</v>
      </c>
    </row>
    <row r="594" spans="1:3" hidden="1">
      <c r="A594" s="3" t="s">
        <v>19</v>
      </c>
      <c r="B594" s="3" t="s">
        <v>70</v>
      </c>
      <c r="C594" s="4">
        <v>3134800000</v>
      </c>
    </row>
    <row r="595" spans="1:3" hidden="1">
      <c r="A595" s="5" t="s">
        <v>19</v>
      </c>
      <c r="B595" s="5" t="s">
        <v>70</v>
      </c>
      <c r="C595" s="6">
        <v>3703600000</v>
      </c>
    </row>
    <row r="596" spans="1:3" hidden="1">
      <c r="A596" s="3" t="s">
        <v>19</v>
      </c>
      <c r="B596" s="3" t="s">
        <v>70</v>
      </c>
      <c r="C596" s="4">
        <v>4013600000</v>
      </c>
    </row>
    <row r="597" spans="1:3" hidden="1">
      <c r="A597" s="5" t="s">
        <v>19</v>
      </c>
      <c r="B597" s="5" t="s">
        <v>70</v>
      </c>
      <c r="C597" s="6">
        <v>4579400000</v>
      </c>
    </row>
    <row r="598" spans="1:3" hidden="1">
      <c r="A598" s="3" t="s">
        <v>65</v>
      </c>
      <c r="B598" s="3" t="s">
        <v>256</v>
      </c>
      <c r="C598" s="4">
        <v>18010000000</v>
      </c>
    </row>
    <row r="599" spans="1:3" hidden="1">
      <c r="A599" s="5" t="s">
        <v>65</v>
      </c>
      <c r="B599" s="5" t="s">
        <v>256</v>
      </c>
      <c r="C599" s="6">
        <v>20921000000</v>
      </c>
    </row>
    <row r="600" spans="1:3" hidden="1">
      <c r="A600" s="3" t="s">
        <v>65</v>
      </c>
      <c r="B600" s="3" t="s">
        <v>256</v>
      </c>
      <c r="C600" s="4">
        <v>21438000000</v>
      </c>
    </row>
    <row r="601" spans="1:3" hidden="1">
      <c r="A601" s="5" t="s">
        <v>65</v>
      </c>
      <c r="B601" s="5" t="s">
        <v>256</v>
      </c>
      <c r="C601" s="6">
        <v>15877000000</v>
      </c>
    </row>
    <row r="602" spans="1:3" hidden="1">
      <c r="A602" s="3" t="s">
        <v>19</v>
      </c>
      <c r="B602" s="3" t="s">
        <v>152</v>
      </c>
      <c r="C602" s="4">
        <v>44287000000</v>
      </c>
    </row>
    <row r="603" spans="1:3" hidden="1">
      <c r="A603" s="5" t="s">
        <v>19</v>
      </c>
      <c r="B603" s="5" t="s">
        <v>152</v>
      </c>
      <c r="C603" s="6">
        <v>45567000000</v>
      </c>
    </row>
    <row r="604" spans="1:3" hidden="1">
      <c r="A604" s="3" t="s">
        <v>19</v>
      </c>
      <c r="B604" s="3" t="s">
        <v>152</v>
      </c>
      <c r="C604" s="4">
        <v>47453000000</v>
      </c>
    </row>
    <row r="605" spans="1:3" hidden="1">
      <c r="A605" s="5" t="s">
        <v>19</v>
      </c>
      <c r="B605" s="5" t="s">
        <v>152</v>
      </c>
      <c r="C605" s="6">
        <v>50365000000</v>
      </c>
    </row>
    <row r="606" spans="1:3" hidden="1">
      <c r="A606" s="3" t="s">
        <v>48</v>
      </c>
      <c r="B606" s="3" t="s">
        <v>51</v>
      </c>
      <c r="C606" s="4">
        <v>15255000000</v>
      </c>
    </row>
    <row r="607" spans="1:3" hidden="1">
      <c r="A607" s="5" t="s">
        <v>48</v>
      </c>
      <c r="B607" s="5" t="s">
        <v>51</v>
      </c>
      <c r="C607" s="6">
        <v>14892000000</v>
      </c>
    </row>
    <row r="608" spans="1:3" hidden="1">
      <c r="A608" s="3" t="s">
        <v>48</v>
      </c>
      <c r="B608" s="3" t="s">
        <v>51</v>
      </c>
      <c r="C608" s="4">
        <v>15049000000</v>
      </c>
    </row>
    <row r="609" spans="1:3" hidden="1">
      <c r="A609" s="5" t="s">
        <v>48</v>
      </c>
      <c r="B609" s="5" t="s">
        <v>51</v>
      </c>
      <c r="C609" s="6">
        <v>15026000000</v>
      </c>
    </row>
    <row r="610" spans="1:3" hidden="1">
      <c r="A610" s="3" t="s">
        <v>28</v>
      </c>
      <c r="B610" s="3" t="s">
        <v>180</v>
      </c>
      <c r="C610" s="4">
        <v>1481314000</v>
      </c>
    </row>
    <row r="611" spans="1:3" hidden="1">
      <c r="A611" s="5" t="s">
        <v>28</v>
      </c>
      <c r="B611" s="5" t="s">
        <v>180</v>
      </c>
      <c r="C611" s="6">
        <v>1732046000</v>
      </c>
    </row>
    <row r="612" spans="1:3" hidden="1">
      <c r="A612" s="3" t="s">
        <v>28</v>
      </c>
      <c r="B612" s="3" t="s">
        <v>180</v>
      </c>
      <c r="C612" s="4">
        <v>1919823000</v>
      </c>
    </row>
    <row r="613" spans="1:3" hidden="1">
      <c r="A613" s="5" t="s">
        <v>28</v>
      </c>
      <c r="B613" s="5" t="s">
        <v>180</v>
      </c>
      <c r="C613" s="6">
        <v>1995034000</v>
      </c>
    </row>
    <row r="614" spans="1:3" hidden="1">
      <c r="A614" s="3" t="s">
        <v>28</v>
      </c>
      <c r="B614" s="3" t="s">
        <v>63</v>
      </c>
      <c r="C614" s="4">
        <v>5795800000</v>
      </c>
    </row>
    <row r="615" spans="1:3" hidden="1">
      <c r="A615" s="5" t="s">
        <v>28</v>
      </c>
      <c r="B615" s="5" t="s">
        <v>63</v>
      </c>
      <c r="C615" s="6">
        <v>6063400000</v>
      </c>
    </row>
    <row r="616" spans="1:3" hidden="1">
      <c r="A616" s="3" t="s">
        <v>28</v>
      </c>
      <c r="B616" s="3" t="s">
        <v>63</v>
      </c>
      <c r="C616" s="4">
        <v>6413800000</v>
      </c>
    </row>
    <row r="617" spans="1:3" hidden="1">
      <c r="A617" s="5" t="s">
        <v>28</v>
      </c>
      <c r="B617" s="5" t="s">
        <v>63</v>
      </c>
      <c r="C617" s="6">
        <v>6595200000</v>
      </c>
    </row>
    <row r="618" spans="1:3" hidden="1">
      <c r="A618" s="3" t="s">
        <v>28</v>
      </c>
      <c r="B618" s="3" t="s">
        <v>63</v>
      </c>
      <c r="C618" s="4">
        <v>4436000000</v>
      </c>
    </row>
    <row r="619" spans="1:3" hidden="1">
      <c r="A619" s="5" t="s">
        <v>28</v>
      </c>
      <c r="B619" s="5" t="s">
        <v>63</v>
      </c>
      <c r="C619" s="6">
        <v>4814000000</v>
      </c>
    </row>
    <row r="620" spans="1:3" hidden="1">
      <c r="A620" s="3" t="s">
        <v>28</v>
      </c>
      <c r="B620" s="3" t="s">
        <v>63</v>
      </c>
      <c r="C620" s="4">
        <v>5066000000</v>
      </c>
    </row>
    <row r="621" spans="1:3" hidden="1">
      <c r="A621" s="5" t="s">
        <v>28</v>
      </c>
      <c r="B621" s="5" t="s">
        <v>63</v>
      </c>
      <c r="C621" s="6">
        <v>5254000000</v>
      </c>
    </row>
    <row r="622" spans="1:3" hidden="1">
      <c r="A622" s="3" t="s">
        <v>25</v>
      </c>
      <c r="B622" s="3" t="s">
        <v>263</v>
      </c>
      <c r="C622" s="4">
        <v>6182000000</v>
      </c>
    </row>
    <row r="623" spans="1:3" hidden="1">
      <c r="A623" s="5" t="s">
        <v>25</v>
      </c>
      <c r="B623" s="5" t="s">
        <v>263</v>
      </c>
      <c r="C623" s="6">
        <v>6505000000</v>
      </c>
    </row>
    <row r="624" spans="1:3" hidden="1">
      <c r="A624" s="3" t="s">
        <v>25</v>
      </c>
      <c r="B624" s="3" t="s">
        <v>263</v>
      </c>
      <c r="C624" s="4">
        <v>7151000000</v>
      </c>
    </row>
    <row r="625" spans="1:3" hidden="1">
      <c r="A625" s="5" t="s">
        <v>25</v>
      </c>
      <c r="B625" s="5" t="s">
        <v>263</v>
      </c>
      <c r="C625" s="6">
        <v>7412000000</v>
      </c>
    </row>
    <row r="626" spans="1:3" hidden="1">
      <c r="A626" s="3" t="s">
        <v>28</v>
      </c>
      <c r="B626" s="3" t="s">
        <v>265</v>
      </c>
      <c r="C626" s="4">
        <v>1405358000</v>
      </c>
    </row>
    <row r="627" spans="1:3" hidden="1">
      <c r="A627" s="5" t="s">
        <v>28</v>
      </c>
      <c r="B627" s="5" t="s">
        <v>265</v>
      </c>
      <c r="C627" s="6">
        <v>1496372000</v>
      </c>
    </row>
    <row r="628" spans="1:3" hidden="1">
      <c r="A628" s="3" t="s">
        <v>28</v>
      </c>
      <c r="B628" s="3" t="s">
        <v>265</v>
      </c>
      <c r="C628" s="4">
        <v>1530654000</v>
      </c>
    </row>
    <row r="629" spans="1:3" hidden="1">
      <c r="A629" s="5" t="s">
        <v>28</v>
      </c>
      <c r="B629" s="5" t="s">
        <v>265</v>
      </c>
      <c r="C629" s="6">
        <v>1557067000</v>
      </c>
    </row>
    <row r="630" spans="1:3" hidden="1">
      <c r="A630" s="3" t="s">
        <v>19</v>
      </c>
      <c r="B630" s="3" t="s">
        <v>267</v>
      </c>
      <c r="C630" s="4">
        <v>27351573000</v>
      </c>
    </row>
    <row r="631" spans="1:3" hidden="1">
      <c r="A631" s="5" t="s">
        <v>19</v>
      </c>
      <c r="B631" s="5" t="s">
        <v>267</v>
      </c>
      <c r="C631" s="6">
        <v>21531577000</v>
      </c>
    </row>
    <row r="632" spans="1:3" hidden="1">
      <c r="A632" s="3" t="s">
        <v>19</v>
      </c>
      <c r="B632" s="3" t="s">
        <v>267</v>
      </c>
      <c r="C632" s="4">
        <v>18114048000</v>
      </c>
    </row>
    <row r="633" spans="1:3" hidden="1">
      <c r="A633" s="5" t="s">
        <v>19</v>
      </c>
      <c r="B633" s="5" t="s">
        <v>267</v>
      </c>
      <c r="C633" s="6">
        <v>19036525000</v>
      </c>
    </row>
    <row r="634" spans="1:3" hidden="1">
      <c r="A634" s="3" t="s">
        <v>19</v>
      </c>
      <c r="B634" s="3" t="s">
        <v>163</v>
      </c>
      <c r="C634" s="4">
        <v>4954619000</v>
      </c>
    </row>
    <row r="635" spans="1:3" hidden="1">
      <c r="A635" s="5" t="s">
        <v>19</v>
      </c>
      <c r="B635" s="5" t="s">
        <v>163</v>
      </c>
      <c r="C635" s="6">
        <v>4877885000</v>
      </c>
    </row>
    <row r="636" spans="1:3" hidden="1">
      <c r="A636" s="3" t="s">
        <v>19</v>
      </c>
      <c r="B636" s="3" t="s">
        <v>163</v>
      </c>
      <c r="C636" s="4">
        <v>4561030000</v>
      </c>
    </row>
    <row r="637" spans="1:3" hidden="1">
      <c r="A637" s="5" t="s">
        <v>19</v>
      </c>
      <c r="B637" s="5" t="s">
        <v>163</v>
      </c>
      <c r="C637" s="6">
        <v>3991462000</v>
      </c>
    </row>
    <row r="638" spans="1:3" hidden="1">
      <c r="A638" s="3" t="s">
        <v>65</v>
      </c>
      <c r="B638" s="3" t="s">
        <v>199</v>
      </c>
      <c r="C638" s="4">
        <v>3409900000</v>
      </c>
    </row>
    <row r="639" spans="1:3" hidden="1">
      <c r="A639" s="5" t="s">
        <v>65</v>
      </c>
      <c r="B639" s="5" t="s">
        <v>199</v>
      </c>
      <c r="C639" s="6">
        <v>3130700000</v>
      </c>
    </row>
    <row r="640" spans="1:3" hidden="1">
      <c r="A640" s="3" t="s">
        <v>65</v>
      </c>
      <c r="B640" s="3" t="s">
        <v>199</v>
      </c>
      <c r="C640" s="4">
        <v>3258700000</v>
      </c>
    </row>
    <row r="641" spans="1:3" hidden="1">
      <c r="A641" s="5" t="s">
        <v>65</v>
      </c>
      <c r="B641" s="5" t="s">
        <v>199</v>
      </c>
      <c r="C641" s="6">
        <v>3276500000</v>
      </c>
    </row>
    <row r="642" spans="1:3" hidden="1">
      <c r="A642" s="3" t="s">
        <v>58</v>
      </c>
      <c r="B642" s="3" t="s">
        <v>271</v>
      </c>
      <c r="C642" s="4">
        <v>637413000</v>
      </c>
    </row>
    <row r="643" spans="1:3" hidden="1">
      <c r="A643" s="5" t="s">
        <v>58</v>
      </c>
      <c r="B643" s="5" t="s">
        <v>271</v>
      </c>
      <c r="C643" s="6">
        <v>686090000</v>
      </c>
    </row>
    <row r="644" spans="1:3" hidden="1">
      <c r="A644" s="3" t="s">
        <v>58</v>
      </c>
      <c r="B644" s="3" t="s">
        <v>271</v>
      </c>
      <c r="C644" s="4">
        <v>744012000</v>
      </c>
    </row>
    <row r="645" spans="1:3" hidden="1">
      <c r="A645" s="5" t="s">
        <v>58</v>
      </c>
      <c r="B645" s="5" t="s">
        <v>271</v>
      </c>
      <c r="C645" s="6">
        <v>801591000</v>
      </c>
    </row>
    <row r="646" spans="1:3" hidden="1">
      <c r="A646" s="3" t="s">
        <v>28</v>
      </c>
      <c r="B646" s="3" t="s">
        <v>40</v>
      </c>
      <c r="C646" s="4">
        <v>3368545000</v>
      </c>
    </row>
    <row r="647" spans="1:3" hidden="1">
      <c r="A647" s="5" t="s">
        <v>28</v>
      </c>
      <c r="B647" s="5" t="s">
        <v>40</v>
      </c>
      <c r="C647" s="6">
        <v>3309616000</v>
      </c>
    </row>
    <row r="648" spans="1:3" hidden="1">
      <c r="A648" s="3" t="s">
        <v>28</v>
      </c>
      <c r="B648" s="3" t="s">
        <v>40</v>
      </c>
      <c r="C648" s="4">
        <v>3391187000</v>
      </c>
    </row>
    <row r="649" spans="1:3" hidden="1">
      <c r="A649" s="5" t="s">
        <v>28</v>
      </c>
      <c r="B649" s="5" t="s">
        <v>40</v>
      </c>
      <c r="C649" s="6">
        <v>3578995000</v>
      </c>
    </row>
    <row r="650" spans="1:3" hidden="1">
      <c r="A650" s="3" t="s">
        <v>188</v>
      </c>
      <c r="B650" s="3" t="s">
        <v>189</v>
      </c>
      <c r="C650" s="4">
        <v>5011853000</v>
      </c>
    </row>
    <row r="651" spans="1:3" hidden="1">
      <c r="A651" s="5" t="s">
        <v>188</v>
      </c>
      <c r="B651" s="5" t="s">
        <v>189</v>
      </c>
      <c r="C651" s="6">
        <v>4762000000</v>
      </c>
    </row>
    <row r="652" spans="1:3" hidden="1">
      <c r="A652" s="3" t="s">
        <v>188</v>
      </c>
      <c r="B652" s="3" t="s">
        <v>189</v>
      </c>
      <c r="C652" s="4">
        <v>4772000000</v>
      </c>
    </row>
    <row r="653" spans="1:3" hidden="1">
      <c r="A653" s="5" t="s">
        <v>188</v>
      </c>
      <c r="B653" s="5" t="s">
        <v>189</v>
      </c>
      <c r="C653" s="6">
        <v>5576000000</v>
      </c>
    </row>
    <row r="654" spans="1:3" hidden="1">
      <c r="A654" s="3" t="s">
        <v>19</v>
      </c>
      <c r="B654" s="3" t="s">
        <v>97</v>
      </c>
      <c r="C654" s="4">
        <v>30930000000</v>
      </c>
    </row>
    <row r="655" spans="1:3" hidden="1">
      <c r="A655" s="5" t="s">
        <v>19</v>
      </c>
      <c r="B655" s="5" t="s">
        <v>97</v>
      </c>
      <c r="C655" s="6">
        <v>30852000000</v>
      </c>
    </row>
    <row r="656" spans="1:3" hidden="1">
      <c r="A656" s="3" t="s">
        <v>19</v>
      </c>
      <c r="B656" s="3" t="s">
        <v>97</v>
      </c>
      <c r="C656" s="4">
        <v>31469000000</v>
      </c>
    </row>
    <row r="657" spans="1:3" hidden="1">
      <c r="A657" s="5" t="s">
        <v>19</v>
      </c>
      <c r="B657" s="5" t="s">
        <v>97</v>
      </c>
      <c r="C657" s="6">
        <v>31353000000</v>
      </c>
    </row>
    <row r="658" spans="1:3" hidden="1">
      <c r="A658" s="3" t="s">
        <v>58</v>
      </c>
      <c r="B658" s="3" t="s">
        <v>271</v>
      </c>
      <c r="C658" s="4">
        <v>2426301000</v>
      </c>
    </row>
    <row r="659" spans="1:3" hidden="1">
      <c r="A659" s="5" t="s">
        <v>58</v>
      </c>
      <c r="B659" s="5" t="s">
        <v>271</v>
      </c>
      <c r="C659" s="6">
        <v>2486017000</v>
      </c>
    </row>
    <row r="660" spans="1:3" hidden="1">
      <c r="A660" s="3" t="s">
        <v>58</v>
      </c>
      <c r="B660" s="3" t="s">
        <v>271</v>
      </c>
      <c r="C660" s="4">
        <v>2535559000</v>
      </c>
    </row>
    <row r="661" spans="1:3" hidden="1">
      <c r="A661" s="5" t="s">
        <v>58</v>
      </c>
      <c r="B661" s="5" t="s">
        <v>271</v>
      </c>
      <c r="C661" s="6">
        <v>2403906000</v>
      </c>
    </row>
    <row r="662" spans="1:3" hidden="1">
      <c r="A662" s="3" t="s">
        <v>31</v>
      </c>
      <c r="B662" s="3" t="s">
        <v>72</v>
      </c>
      <c r="C662" s="4">
        <v>9702000000</v>
      </c>
    </row>
    <row r="663" spans="1:3" hidden="1">
      <c r="A663" s="5" t="s">
        <v>31</v>
      </c>
      <c r="B663" s="5" t="s">
        <v>72</v>
      </c>
      <c r="C663" s="6">
        <v>11202000000</v>
      </c>
    </row>
    <row r="664" spans="1:3" hidden="1">
      <c r="A664" s="3" t="s">
        <v>31</v>
      </c>
      <c r="B664" s="3" t="s">
        <v>72</v>
      </c>
      <c r="C664" s="4">
        <v>24890000000</v>
      </c>
    </row>
    <row r="665" spans="1:3" hidden="1">
      <c r="A665" s="5" t="s">
        <v>31</v>
      </c>
      <c r="B665" s="5" t="s">
        <v>72</v>
      </c>
      <c r="C665" s="6">
        <v>32639000000</v>
      </c>
    </row>
    <row r="666" spans="1:3" hidden="1">
      <c r="A666" s="3" t="s">
        <v>42</v>
      </c>
      <c r="B666" s="3" t="s">
        <v>130</v>
      </c>
      <c r="C666" s="4">
        <v>17774100000</v>
      </c>
    </row>
    <row r="667" spans="1:3" hidden="1">
      <c r="A667" s="5" t="s">
        <v>42</v>
      </c>
      <c r="B667" s="5" t="s">
        <v>130</v>
      </c>
      <c r="C667" s="6">
        <v>17909600000</v>
      </c>
    </row>
    <row r="668" spans="1:3" hidden="1">
      <c r="A668" s="3" t="s">
        <v>42</v>
      </c>
      <c r="B668" s="3" t="s">
        <v>130</v>
      </c>
      <c r="C668" s="4">
        <v>17630300000</v>
      </c>
    </row>
    <row r="669" spans="1:3" hidden="1">
      <c r="A669" s="5" t="s">
        <v>42</v>
      </c>
      <c r="B669" s="5" t="s">
        <v>130</v>
      </c>
      <c r="C669" s="6">
        <v>16563100000</v>
      </c>
    </row>
    <row r="670" spans="1:3" hidden="1">
      <c r="A670" s="3" t="s">
        <v>28</v>
      </c>
      <c r="B670" s="3" t="s">
        <v>95</v>
      </c>
      <c r="C670" s="4">
        <v>7819000000</v>
      </c>
    </row>
    <row r="671" spans="1:3" hidden="1">
      <c r="A671" s="5" t="s">
        <v>28</v>
      </c>
      <c r="B671" s="5" t="s">
        <v>95</v>
      </c>
      <c r="C671" s="6">
        <v>9715000000</v>
      </c>
    </row>
    <row r="672" spans="1:3" hidden="1">
      <c r="A672" s="3" t="s">
        <v>28</v>
      </c>
      <c r="B672" s="3" t="s">
        <v>95</v>
      </c>
      <c r="C672" s="4">
        <v>9111000000</v>
      </c>
    </row>
    <row r="673" spans="1:3" hidden="1">
      <c r="A673" s="5" t="s">
        <v>28</v>
      </c>
      <c r="B673" s="5" t="s">
        <v>95</v>
      </c>
      <c r="C673" s="6">
        <v>9390000000</v>
      </c>
    </row>
    <row r="674" spans="1:3" hidden="1">
      <c r="A674" s="3" t="s">
        <v>25</v>
      </c>
      <c r="B674" s="3" t="s">
        <v>251</v>
      </c>
      <c r="C674" s="4">
        <v>155427000000</v>
      </c>
    </row>
    <row r="675" spans="1:3" hidden="1">
      <c r="A675" s="5" t="s">
        <v>25</v>
      </c>
      <c r="B675" s="5" t="s">
        <v>251</v>
      </c>
      <c r="C675" s="6">
        <v>155929000000</v>
      </c>
    </row>
    <row r="676" spans="1:3" hidden="1">
      <c r="A676" s="3" t="s">
        <v>25</v>
      </c>
      <c r="B676" s="3" t="s">
        <v>251</v>
      </c>
      <c r="C676" s="4">
        <v>152356000000</v>
      </c>
    </row>
    <row r="677" spans="1:3" hidden="1">
      <c r="A677" s="5" t="s">
        <v>25</v>
      </c>
      <c r="B677" s="5" t="s">
        <v>251</v>
      </c>
      <c r="C677" s="6">
        <v>166380000000</v>
      </c>
    </row>
    <row r="678" spans="1:3" hidden="1">
      <c r="A678" s="3" t="s">
        <v>25</v>
      </c>
      <c r="B678" s="3" t="s">
        <v>85</v>
      </c>
      <c r="C678" s="4">
        <v>13013868000</v>
      </c>
    </row>
    <row r="679" spans="1:3" hidden="1">
      <c r="A679" s="5" t="s">
        <v>25</v>
      </c>
      <c r="B679" s="5" t="s">
        <v>85</v>
      </c>
      <c r="C679" s="6">
        <v>14077843000</v>
      </c>
    </row>
    <row r="680" spans="1:3" hidden="1">
      <c r="A680" s="3" t="s">
        <v>25</v>
      </c>
      <c r="B680" s="3" t="s">
        <v>85</v>
      </c>
      <c r="C680" s="4">
        <v>15341647000</v>
      </c>
    </row>
    <row r="681" spans="1:3" hidden="1">
      <c r="A681" s="5" t="s">
        <v>25</v>
      </c>
      <c r="B681" s="5" t="s">
        <v>85</v>
      </c>
      <c r="C681" s="6">
        <v>15280044000</v>
      </c>
    </row>
    <row r="682" spans="1:3" hidden="1">
      <c r="A682" s="3" t="s">
        <v>28</v>
      </c>
      <c r="B682" s="3" t="s">
        <v>45</v>
      </c>
      <c r="C682" s="4">
        <v>2375923000</v>
      </c>
    </row>
    <row r="683" spans="1:3" hidden="1">
      <c r="A683" s="5" t="s">
        <v>28</v>
      </c>
      <c r="B683" s="5" t="s">
        <v>45</v>
      </c>
      <c r="C683" s="6">
        <v>2554236000</v>
      </c>
    </row>
    <row r="684" spans="1:3" hidden="1">
      <c r="A684" s="3" t="s">
        <v>28</v>
      </c>
      <c r="B684" s="3" t="s">
        <v>45</v>
      </c>
      <c r="C684" s="4">
        <v>2773718000</v>
      </c>
    </row>
    <row r="685" spans="1:3" hidden="1">
      <c r="A685" s="5" t="s">
        <v>28</v>
      </c>
      <c r="B685" s="5" t="s">
        <v>45</v>
      </c>
      <c r="C685" s="6">
        <v>2898150000</v>
      </c>
    </row>
    <row r="686" spans="1:3" hidden="1">
      <c r="A686" s="3" t="s">
        <v>25</v>
      </c>
      <c r="B686" s="3" t="s">
        <v>263</v>
      </c>
      <c r="C686" s="4">
        <v>15651000000</v>
      </c>
    </row>
    <row r="687" spans="1:3" hidden="1">
      <c r="A687" s="5" t="s">
        <v>25</v>
      </c>
      <c r="B687" s="5" t="s">
        <v>263</v>
      </c>
      <c r="C687" s="6">
        <v>16148000000</v>
      </c>
    </row>
    <row r="688" spans="1:3" hidden="1">
      <c r="A688" s="3" t="s">
        <v>25</v>
      </c>
      <c r="B688" s="3" t="s">
        <v>263</v>
      </c>
      <c r="C688" s="4">
        <v>16435000000</v>
      </c>
    </row>
    <row r="689" spans="1:3" hidden="1">
      <c r="A689" s="5" t="s">
        <v>25</v>
      </c>
      <c r="B689" s="5" t="s">
        <v>263</v>
      </c>
      <c r="C689" s="6">
        <v>15797000000</v>
      </c>
    </row>
    <row r="690" spans="1:3" hidden="1">
      <c r="A690" s="3" t="s">
        <v>25</v>
      </c>
      <c r="B690" s="3" t="s">
        <v>284</v>
      </c>
      <c r="C690" s="4">
        <v>2715675000</v>
      </c>
    </row>
    <row r="691" spans="1:3" hidden="1">
      <c r="A691" s="5" t="s">
        <v>25</v>
      </c>
      <c r="B691" s="5" t="s">
        <v>284</v>
      </c>
      <c r="C691" s="6">
        <v>2631851000</v>
      </c>
    </row>
    <row r="692" spans="1:3" hidden="1">
      <c r="A692" s="3" t="s">
        <v>25</v>
      </c>
      <c r="B692" s="3" t="s">
        <v>284</v>
      </c>
      <c r="C692" s="4">
        <v>2870658000</v>
      </c>
    </row>
    <row r="693" spans="1:3" hidden="1">
      <c r="A693" s="5" t="s">
        <v>25</v>
      </c>
      <c r="B693" s="5" t="s">
        <v>284</v>
      </c>
      <c r="C693" s="6">
        <v>2820270000</v>
      </c>
    </row>
    <row r="694" spans="1:3" hidden="1">
      <c r="A694" s="3" t="s">
        <v>25</v>
      </c>
      <c r="B694" s="3" t="s">
        <v>286</v>
      </c>
      <c r="C694" s="4">
        <v>19540000000</v>
      </c>
    </row>
    <row r="695" spans="1:3" hidden="1">
      <c r="A695" s="5" t="s">
        <v>25</v>
      </c>
      <c r="B695" s="5" t="s">
        <v>286</v>
      </c>
      <c r="C695" s="6">
        <v>18138000000</v>
      </c>
    </row>
    <row r="696" spans="1:3" hidden="1">
      <c r="A696" s="3" t="s">
        <v>25</v>
      </c>
      <c r="B696" s="3" t="s">
        <v>286</v>
      </c>
      <c r="C696" s="4">
        <v>16443000000</v>
      </c>
    </row>
    <row r="697" spans="1:3" hidden="1">
      <c r="A697" s="5" t="s">
        <v>25</v>
      </c>
      <c r="B697" s="5" t="s">
        <v>286</v>
      </c>
      <c r="C697" s="6">
        <v>15158000000</v>
      </c>
    </row>
    <row r="698" spans="1:3" hidden="1">
      <c r="A698" s="3" t="s">
        <v>19</v>
      </c>
      <c r="B698" s="3" t="s">
        <v>288</v>
      </c>
      <c r="C698" s="4">
        <v>8950045000</v>
      </c>
    </row>
    <row r="699" spans="1:3" hidden="1">
      <c r="A699" s="5" t="s">
        <v>19</v>
      </c>
      <c r="B699" s="5" t="s">
        <v>288</v>
      </c>
      <c r="C699" s="6">
        <v>9437758000</v>
      </c>
    </row>
    <row r="700" spans="1:3" hidden="1">
      <c r="A700" s="3" t="s">
        <v>19</v>
      </c>
      <c r="B700" s="3" t="s">
        <v>288</v>
      </c>
      <c r="C700" s="4">
        <v>9964953000</v>
      </c>
    </row>
    <row r="701" spans="1:3" hidden="1">
      <c r="A701" s="5" t="s">
        <v>19</v>
      </c>
      <c r="B701" s="5" t="s">
        <v>288</v>
      </c>
      <c r="C701" s="6">
        <v>9973384000</v>
      </c>
    </row>
    <row r="702" spans="1:3">
      <c r="A702" s="3" t="s">
        <v>89</v>
      </c>
      <c r="B702" s="3" t="s">
        <v>120</v>
      </c>
      <c r="C702" s="4">
        <v>29402000000</v>
      </c>
    </row>
    <row r="703" spans="1:3">
      <c r="A703" s="5" t="s">
        <v>89</v>
      </c>
      <c r="B703" s="5" t="s">
        <v>120</v>
      </c>
      <c r="C703" s="6">
        <v>32870000000</v>
      </c>
    </row>
    <row r="704" spans="1:3">
      <c r="A704" s="3" t="s">
        <v>89</v>
      </c>
      <c r="B704" s="3" t="s">
        <v>120</v>
      </c>
      <c r="C704" s="4">
        <v>23633000000</v>
      </c>
    </row>
    <row r="705" spans="1:3">
      <c r="A705" s="5" t="s">
        <v>89</v>
      </c>
      <c r="B705" s="5" t="s">
        <v>120</v>
      </c>
      <c r="C705" s="6">
        <v>15887000000</v>
      </c>
    </row>
    <row r="706" spans="1:3" hidden="1">
      <c r="A706" s="3" t="s">
        <v>25</v>
      </c>
      <c r="B706" s="3" t="s">
        <v>284</v>
      </c>
      <c r="C706" s="4">
        <v>4297842000</v>
      </c>
    </row>
    <row r="707" spans="1:3" hidden="1">
      <c r="A707" s="5" t="s">
        <v>25</v>
      </c>
      <c r="B707" s="5" t="s">
        <v>284</v>
      </c>
      <c r="C707" s="6">
        <v>5348483000</v>
      </c>
    </row>
    <row r="708" spans="1:3" hidden="1">
      <c r="A708" s="3" t="s">
        <v>25</v>
      </c>
      <c r="B708" s="3" t="s">
        <v>284</v>
      </c>
      <c r="C708" s="4">
        <v>6155297000</v>
      </c>
    </row>
    <row r="709" spans="1:3" hidden="1">
      <c r="A709" s="5" t="s">
        <v>25</v>
      </c>
      <c r="B709" s="5" t="s">
        <v>284</v>
      </c>
      <c r="C709" s="6">
        <v>6911676000</v>
      </c>
    </row>
    <row r="710" spans="1:3" hidden="1">
      <c r="A710" s="3" t="s">
        <v>25</v>
      </c>
      <c r="B710" s="3" t="s">
        <v>292</v>
      </c>
      <c r="C710" s="4">
        <v>4088983000</v>
      </c>
    </row>
    <row r="711" spans="1:3" hidden="1">
      <c r="A711" s="5" t="s">
        <v>25</v>
      </c>
      <c r="B711" s="5" t="s">
        <v>292</v>
      </c>
      <c r="C711" s="6">
        <v>4082157000</v>
      </c>
    </row>
    <row r="712" spans="1:3" hidden="1">
      <c r="A712" s="3" t="s">
        <v>25</v>
      </c>
      <c r="B712" s="3" t="s">
        <v>292</v>
      </c>
      <c r="C712" s="4">
        <v>4277207000</v>
      </c>
    </row>
    <row r="713" spans="1:3" hidden="1">
      <c r="A713" s="5" t="s">
        <v>25</v>
      </c>
      <c r="B713" s="5" t="s">
        <v>292</v>
      </c>
      <c r="C713" s="6">
        <v>4447509000</v>
      </c>
    </row>
    <row r="714" spans="1:3" hidden="1">
      <c r="A714" s="3" t="s">
        <v>53</v>
      </c>
      <c r="B714" s="3" t="s">
        <v>111</v>
      </c>
      <c r="C714" s="4">
        <v>3036584000</v>
      </c>
    </row>
    <row r="715" spans="1:3" hidden="1">
      <c r="A715" s="5" t="s">
        <v>53</v>
      </c>
      <c r="B715" s="5" t="s">
        <v>111</v>
      </c>
      <c r="C715" s="6">
        <v>2872833000</v>
      </c>
    </row>
    <row r="716" spans="1:3" hidden="1">
      <c r="A716" s="3" t="s">
        <v>53</v>
      </c>
      <c r="B716" s="3" t="s">
        <v>111</v>
      </c>
      <c r="C716" s="4">
        <v>2955641000</v>
      </c>
    </row>
    <row r="717" spans="1:3" hidden="1">
      <c r="A717" s="5" t="s">
        <v>53</v>
      </c>
      <c r="B717" s="5" t="s">
        <v>111</v>
      </c>
      <c r="C717" s="6">
        <v>3153251000</v>
      </c>
    </row>
    <row r="718" spans="1:3" hidden="1">
      <c r="A718" s="3" t="s">
        <v>25</v>
      </c>
      <c r="B718" s="3" t="s">
        <v>295</v>
      </c>
      <c r="C718" s="4">
        <v>4627802000</v>
      </c>
    </row>
    <row r="719" spans="1:3" hidden="1">
      <c r="A719" s="5" t="s">
        <v>25</v>
      </c>
      <c r="B719" s="5" t="s">
        <v>295</v>
      </c>
      <c r="C719" s="6">
        <v>5324746000</v>
      </c>
    </row>
    <row r="720" spans="1:3" hidden="1">
      <c r="A720" s="3" t="s">
        <v>25</v>
      </c>
      <c r="B720" s="3" t="s">
        <v>295</v>
      </c>
      <c r="C720" s="4">
        <v>5731549000</v>
      </c>
    </row>
    <row r="721" spans="1:3" hidden="1">
      <c r="A721" s="5" t="s">
        <v>25</v>
      </c>
      <c r="B721" s="5" t="s">
        <v>295</v>
      </c>
      <c r="C721" s="6">
        <v>6028199000</v>
      </c>
    </row>
    <row r="722" spans="1:3" hidden="1">
      <c r="A722" s="3" t="s">
        <v>31</v>
      </c>
      <c r="B722" s="3" t="s">
        <v>205</v>
      </c>
      <c r="C722" s="4">
        <v>33013000000</v>
      </c>
    </row>
    <row r="723" spans="1:3" hidden="1">
      <c r="A723" s="5" t="s">
        <v>31</v>
      </c>
      <c r="B723" s="5" t="s">
        <v>205</v>
      </c>
      <c r="C723" s="6">
        <v>34182000000</v>
      </c>
    </row>
    <row r="724" spans="1:3" hidden="1">
      <c r="A724" s="3" t="s">
        <v>31</v>
      </c>
      <c r="B724" s="3" t="s">
        <v>205</v>
      </c>
      <c r="C724" s="4">
        <v>36918000000</v>
      </c>
    </row>
    <row r="725" spans="1:3" hidden="1">
      <c r="A725" s="5" t="s">
        <v>31</v>
      </c>
      <c r="B725" s="5" t="s">
        <v>205</v>
      </c>
      <c r="C725" s="6">
        <v>39678000000</v>
      </c>
    </row>
    <row r="726" spans="1:3" hidden="1">
      <c r="A726" s="3" t="s">
        <v>58</v>
      </c>
      <c r="B726" s="3" t="s">
        <v>59</v>
      </c>
      <c r="C726" s="4">
        <v>1765979000</v>
      </c>
    </row>
    <row r="727" spans="1:3" hidden="1">
      <c r="A727" s="5" t="s">
        <v>58</v>
      </c>
      <c r="B727" s="5" t="s">
        <v>59</v>
      </c>
      <c r="C727" s="6">
        <v>2847945000</v>
      </c>
    </row>
    <row r="728" spans="1:3" hidden="1">
      <c r="A728" s="3" t="s">
        <v>58</v>
      </c>
      <c r="B728" s="3" t="s">
        <v>59</v>
      </c>
      <c r="C728" s="4">
        <v>3305879000</v>
      </c>
    </row>
    <row r="729" spans="1:3" hidden="1">
      <c r="A729" s="5" t="s">
        <v>58</v>
      </c>
      <c r="B729" s="5" t="s">
        <v>59</v>
      </c>
      <c r="C729" s="6">
        <v>3775685000</v>
      </c>
    </row>
    <row r="730" spans="1:3" hidden="1">
      <c r="A730" s="3" t="s">
        <v>58</v>
      </c>
      <c r="B730" s="3" t="s">
        <v>59</v>
      </c>
      <c r="C730" s="4">
        <v>2013719000</v>
      </c>
    </row>
    <row r="731" spans="1:3" hidden="1">
      <c r="A731" s="5" t="s">
        <v>58</v>
      </c>
      <c r="B731" s="5" t="s">
        <v>59</v>
      </c>
      <c r="C731" s="6">
        <v>1563210000</v>
      </c>
    </row>
    <row r="732" spans="1:3" hidden="1">
      <c r="A732" s="3" t="s">
        <v>58</v>
      </c>
      <c r="B732" s="3" t="s">
        <v>59</v>
      </c>
      <c r="C732" s="4">
        <v>1828305000</v>
      </c>
    </row>
    <row r="733" spans="1:3" hidden="1">
      <c r="A733" s="5" t="s">
        <v>58</v>
      </c>
      <c r="B733" s="5" t="s">
        <v>59</v>
      </c>
      <c r="C733" s="6">
        <v>2040486000</v>
      </c>
    </row>
    <row r="734" spans="1:3" hidden="1">
      <c r="A734" s="3" t="s">
        <v>25</v>
      </c>
      <c r="B734" s="3" t="s">
        <v>300</v>
      </c>
      <c r="C734" s="4">
        <v>74754000000</v>
      </c>
    </row>
    <row r="735" spans="1:3" hidden="1">
      <c r="A735" s="5" t="s">
        <v>25</v>
      </c>
      <c r="B735" s="5" t="s">
        <v>300</v>
      </c>
      <c r="C735" s="6">
        <v>78812000000</v>
      </c>
    </row>
    <row r="736" spans="1:3" hidden="1">
      <c r="A736" s="3" t="s">
        <v>25</v>
      </c>
      <c r="B736" s="3" t="s">
        <v>300</v>
      </c>
      <c r="C736" s="4">
        <v>83176000000</v>
      </c>
    </row>
    <row r="737" spans="1:3" hidden="1">
      <c r="A737" s="5" t="s">
        <v>25</v>
      </c>
      <c r="B737" s="5" t="s">
        <v>300</v>
      </c>
      <c r="C737" s="6">
        <v>88519000000</v>
      </c>
    </row>
    <row r="738" spans="1:3">
      <c r="A738" s="3" t="s">
        <v>89</v>
      </c>
      <c r="B738" s="3" t="s">
        <v>150</v>
      </c>
      <c r="C738" s="4">
        <v>12245000000</v>
      </c>
    </row>
    <row r="739" spans="1:3">
      <c r="A739" s="5" t="s">
        <v>89</v>
      </c>
      <c r="B739" s="5" t="s">
        <v>150</v>
      </c>
      <c r="C739" s="6">
        <v>11905000000</v>
      </c>
    </row>
    <row r="740" spans="1:3">
      <c r="A740" s="3" t="s">
        <v>89</v>
      </c>
      <c r="B740" s="3" t="s">
        <v>150</v>
      </c>
      <c r="C740" s="4">
        <v>10737000000</v>
      </c>
    </row>
    <row r="741" spans="1:3">
      <c r="A741" s="5" t="s">
        <v>89</v>
      </c>
      <c r="B741" s="5" t="s">
        <v>150</v>
      </c>
      <c r="C741" s="6">
        <v>6636000000</v>
      </c>
    </row>
    <row r="742" spans="1:3" hidden="1">
      <c r="A742" s="3" t="s">
        <v>53</v>
      </c>
      <c r="B742" s="3" t="s">
        <v>56</v>
      </c>
      <c r="C742" s="4">
        <v>22086000000</v>
      </c>
    </row>
    <row r="743" spans="1:3" hidden="1">
      <c r="A743" s="5" t="s">
        <v>53</v>
      </c>
      <c r="B743" s="5" t="s">
        <v>56</v>
      </c>
      <c r="C743" s="6">
        <v>20673000000</v>
      </c>
    </row>
    <row r="744" spans="1:3" hidden="1">
      <c r="A744" s="3" t="s">
        <v>53</v>
      </c>
      <c r="B744" s="3" t="s">
        <v>56</v>
      </c>
      <c r="C744" s="4">
        <v>18614000000</v>
      </c>
    </row>
    <row r="745" spans="1:3" hidden="1">
      <c r="A745" s="5" t="s">
        <v>53</v>
      </c>
      <c r="B745" s="5" t="s">
        <v>56</v>
      </c>
      <c r="C745" s="6">
        <v>18377000000</v>
      </c>
    </row>
    <row r="746" spans="1:3" hidden="1">
      <c r="A746" s="3" t="s">
        <v>25</v>
      </c>
      <c r="B746" s="3" t="s">
        <v>304</v>
      </c>
      <c r="C746" s="4">
        <v>5580506000</v>
      </c>
    </row>
    <row r="747" spans="1:3" hidden="1">
      <c r="A747" s="5" t="s">
        <v>25</v>
      </c>
      <c r="B747" s="5" t="s">
        <v>304</v>
      </c>
      <c r="C747" s="6">
        <v>5899872000</v>
      </c>
    </row>
    <row r="748" spans="1:3" hidden="1">
      <c r="A748" s="3" t="s">
        <v>25</v>
      </c>
      <c r="B748" s="3" t="s">
        <v>304</v>
      </c>
      <c r="C748" s="4">
        <v>6228508000</v>
      </c>
    </row>
    <row r="749" spans="1:3" hidden="1">
      <c r="A749" s="5" t="s">
        <v>25</v>
      </c>
      <c r="B749" s="5" t="s">
        <v>304</v>
      </c>
      <c r="C749" s="6">
        <v>5995402000</v>
      </c>
    </row>
    <row r="750" spans="1:3" hidden="1">
      <c r="A750" s="3" t="s">
        <v>31</v>
      </c>
      <c r="B750" s="3" t="s">
        <v>36</v>
      </c>
      <c r="C750" s="4">
        <v>2492300000</v>
      </c>
    </row>
    <row r="751" spans="1:3" hidden="1">
      <c r="A751" s="5" t="s">
        <v>31</v>
      </c>
      <c r="B751" s="5" t="s">
        <v>36</v>
      </c>
      <c r="C751" s="6">
        <v>2530700000</v>
      </c>
    </row>
    <row r="752" spans="1:3" hidden="1">
      <c r="A752" s="3" t="s">
        <v>31</v>
      </c>
      <c r="B752" s="3" t="s">
        <v>36</v>
      </c>
      <c r="C752" s="4">
        <v>2705000000</v>
      </c>
    </row>
    <row r="753" spans="1:3" hidden="1">
      <c r="A753" s="5" t="s">
        <v>31</v>
      </c>
      <c r="B753" s="5" t="s">
        <v>36</v>
      </c>
      <c r="C753" s="6">
        <v>2832700000</v>
      </c>
    </row>
    <row r="754" spans="1:3" hidden="1">
      <c r="A754" s="3" t="s">
        <v>19</v>
      </c>
      <c r="B754" s="3" t="s">
        <v>170</v>
      </c>
      <c r="C754" s="4">
        <v>39055000000</v>
      </c>
    </row>
    <row r="755" spans="1:3" hidden="1">
      <c r="A755" s="5" t="s">
        <v>19</v>
      </c>
      <c r="B755" s="5" t="s">
        <v>170</v>
      </c>
      <c r="C755" s="6">
        <v>40306000000</v>
      </c>
    </row>
    <row r="756" spans="1:3" hidden="1">
      <c r="A756" s="3" t="s">
        <v>19</v>
      </c>
      <c r="B756" s="3" t="s">
        <v>170</v>
      </c>
      <c r="C756" s="4">
        <v>38581000000</v>
      </c>
    </row>
    <row r="757" spans="1:3" hidden="1">
      <c r="A757" s="5" t="s">
        <v>19</v>
      </c>
      <c r="B757" s="5" t="s">
        <v>170</v>
      </c>
      <c r="C757" s="6">
        <v>39302000000</v>
      </c>
    </row>
    <row r="758" spans="1:3">
      <c r="A758" s="3" t="s">
        <v>89</v>
      </c>
      <c r="B758" s="3" t="s">
        <v>308</v>
      </c>
      <c r="C758" s="4">
        <v>3387614000</v>
      </c>
    </row>
    <row r="759" spans="1:3">
      <c r="A759" s="5" t="s">
        <v>89</v>
      </c>
      <c r="B759" s="5" t="s">
        <v>308</v>
      </c>
      <c r="C759" s="6">
        <v>3715968000</v>
      </c>
    </row>
    <row r="760" spans="1:3">
      <c r="A760" s="3" t="s">
        <v>89</v>
      </c>
      <c r="B760" s="3" t="s">
        <v>308</v>
      </c>
      <c r="C760" s="4">
        <v>3161702000</v>
      </c>
    </row>
    <row r="761" spans="1:3">
      <c r="A761" s="5" t="s">
        <v>89</v>
      </c>
      <c r="B761" s="5" t="s">
        <v>308</v>
      </c>
      <c r="C761" s="6">
        <v>1624232000</v>
      </c>
    </row>
    <row r="762" spans="1:3" hidden="1">
      <c r="A762" s="3" t="s">
        <v>28</v>
      </c>
      <c r="B762" s="3" t="s">
        <v>310</v>
      </c>
      <c r="C762" s="4">
        <v>55123000000</v>
      </c>
    </row>
    <row r="763" spans="1:3" hidden="1">
      <c r="A763" s="5" t="s">
        <v>28</v>
      </c>
      <c r="B763" s="5" t="s">
        <v>310</v>
      </c>
      <c r="C763" s="6">
        <v>52107000000</v>
      </c>
    </row>
    <row r="764" spans="1:3" hidden="1">
      <c r="A764" s="3" t="s">
        <v>28</v>
      </c>
      <c r="B764" s="3" t="s">
        <v>310</v>
      </c>
      <c r="C764" s="4">
        <v>50123000000</v>
      </c>
    </row>
    <row r="765" spans="1:3" hidden="1">
      <c r="A765" s="5" t="s">
        <v>28</v>
      </c>
      <c r="B765" s="5" t="s">
        <v>29</v>
      </c>
      <c r="C765" s="6">
        <v>112298000000</v>
      </c>
    </row>
    <row r="766" spans="1:3" hidden="1">
      <c r="A766" s="3" t="s">
        <v>28</v>
      </c>
      <c r="B766" s="3" t="s">
        <v>29</v>
      </c>
      <c r="C766" s="4">
        <v>56651000000</v>
      </c>
    </row>
    <row r="767" spans="1:3" hidden="1">
      <c r="A767" s="5" t="s">
        <v>28</v>
      </c>
      <c r="B767" s="5" t="s">
        <v>29</v>
      </c>
      <c r="C767" s="6">
        <v>51463000000</v>
      </c>
    </row>
    <row r="768" spans="1:3" hidden="1">
      <c r="A768" s="3" t="s">
        <v>28</v>
      </c>
      <c r="B768" s="3" t="s">
        <v>29</v>
      </c>
      <c r="C768" s="4">
        <v>48238000000</v>
      </c>
    </row>
    <row r="769" spans="1:3" hidden="1">
      <c r="A769" s="5" t="s">
        <v>53</v>
      </c>
      <c r="B769" s="5" t="s">
        <v>106</v>
      </c>
      <c r="C769" s="6">
        <v>2807114000</v>
      </c>
    </row>
    <row r="770" spans="1:3" hidden="1">
      <c r="A770" s="3" t="s">
        <v>53</v>
      </c>
      <c r="B770" s="3" t="s">
        <v>106</v>
      </c>
      <c r="C770" s="4">
        <v>3024295000</v>
      </c>
    </row>
    <row r="771" spans="1:3" hidden="1">
      <c r="A771" s="5" t="s">
        <v>53</v>
      </c>
      <c r="B771" s="5" t="s">
        <v>106</v>
      </c>
      <c r="C771" s="6">
        <v>3078658000</v>
      </c>
    </row>
    <row r="772" spans="1:3" hidden="1">
      <c r="A772" s="3" t="s">
        <v>53</v>
      </c>
      <c r="B772" s="3" t="s">
        <v>106</v>
      </c>
      <c r="C772" s="4">
        <v>3038153000</v>
      </c>
    </row>
    <row r="773" spans="1:3" hidden="1">
      <c r="A773" s="5" t="s">
        <v>42</v>
      </c>
      <c r="B773" s="5" t="s">
        <v>130</v>
      </c>
      <c r="C773" s="6">
        <v>8751654000</v>
      </c>
    </row>
    <row r="774" spans="1:3" hidden="1">
      <c r="A774" s="3" t="s">
        <v>42</v>
      </c>
      <c r="B774" s="3" t="s">
        <v>130</v>
      </c>
      <c r="C774" s="4">
        <v>9316256000</v>
      </c>
    </row>
    <row r="775" spans="1:3" hidden="1">
      <c r="A775" s="5" t="s">
        <v>42</v>
      </c>
      <c r="B775" s="5" t="s">
        <v>130</v>
      </c>
      <c r="C775" s="6">
        <v>9263863000</v>
      </c>
    </row>
    <row r="776" spans="1:3" hidden="1">
      <c r="A776" s="3" t="s">
        <v>42</v>
      </c>
      <c r="B776" s="3" t="s">
        <v>130</v>
      </c>
      <c r="C776" s="4">
        <v>9523224000</v>
      </c>
    </row>
    <row r="777" spans="1:3" hidden="1">
      <c r="A777" s="5" t="s">
        <v>28</v>
      </c>
      <c r="B777" s="5" t="s">
        <v>315</v>
      </c>
      <c r="C777" s="6">
        <v>5112000000</v>
      </c>
    </row>
    <row r="778" spans="1:3" hidden="1">
      <c r="A778" s="3" t="s">
        <v>28</v>
      </c>
      <c r="B778" s="3" t="s">
        <v>315</v>
      </c>
      <c r="C778" s="4">
        <v>5012000000</v>
      </c>
    </row>
    <row r="779" spans="1:3" hidden="1">
      <c r="A779" s="5" t="s">
        <v>28</v>
      </c>
      <c r="B779" s="5" t="s">
        <v>315</v>
      </c>
      <c r="C779" s="6">
        <v>5083000000</v>
      </c>
    </row>
    <row r="780" spans="1:3" hidden="1">
      <c r="A780" s="3" t="s">
        <v>28</v>
      </c>
      <c r="B780" s="3" t="s">
        <v>315</v>
      </c>
      <c r="C780" s="4">
        <v>7467000000</v>
      </c>
    </row>
    <row r="781" spans="1:3" hidden="1">
      <c r="A781" s="5" t="s">
        <v>31</v>
      </c>
      <c r="B781" s="5" t="s">
        <v>34</v>
      </c>
      <c r="C781" s="6">
        <v>8939967000</v>
      </c>
    </row>
    <row r="782" spans="1:3" hidden="1">
      <c r="A782" s="3" t="s">
        <v>31</v>
      </c>
      <c r="B782" s="3" t="s">
        <v>34</v>
      </c>
      <c r="C782" s="4">
        <v>9560647000</v>
      </c>
    </row>
    <row r="783" spans="1:3" hidden="1">
      <c r="A783" s="5" t="s">
        <v>31</v>
      </c>
      <c r="B783" s="5" t="s">
        <v>34</v>
      </c>
      <c r="C783" s="6">
        <v>10371390000</v>
      </c>
    </row>
    <row r="784" spans="1:3" hidden="1">
      <c r="A784" s="3" t="s">
        <v>31</v>
      </c>
      <c r="B784" s="3" t="s">
        <v>34</v>
      </c>
      <c r="C784" s="4">
        <v>10629719000</v>
      </c>
    </row>
    <row r="785" spans="1:3" hidden="1">
      <c r="A785" s="5" t="s">
        <v>58</v>
      </c>
      <c r="B785" s="5" t="s">
        <v>59</v>
      </c>
      <c r="C785" s="6">
        <v>5059000000</v>
      </c>
    </row>
    <row r="786" spans="1:3" hidden="1">
      <c r="A786" s="3" t="s">
        <v>58</v>
      </c>
      <c r="B786" s="3" t="s">
        <v>59</v>
      </c>
      <c r="C786" s="4">
        <v>5166000000</v>
      </c>
    </row>
    <row r="787" spans="1:3" hidden="1">
      <c r="A787" s="5" t="s">
        <v>58</v>
      </c>
      <c r="B787" s="5" t="s">
        <v>59</v>
      </c>
      <c r="C787" s="6">
        <v>5354000000</v>
      </c>
    </row>
    <row r="788" spans="1:3" hidden="1">
      <c r="A788" s="3" t="s">
        <v>58</v>
      </c>
      <c r="B788" s="3" t="s">
        <v>59</v>
      </c>
      <c r="C788" s="4">
        <v>5387000000</v>
      </c>
    </row>
    <row r="789" spans="1:3" hidden="1">
      <c r="A789" s="5" t="s">
        <v>42</v>
      </c>
      <c r="B789" s="5" t="s">
        <v>130</v>
      </c>
      <c r="C789" s="6">
        <v>6644252000</v>
      </c>
    </row>
    <row r="790" spans="1:3" hidden="1">
      <c r="A790" s="3" t="s">
        <v>42</v>
      </c>
      <c r="B790" s="3" t="s">
        <v>130</v>
      </c>
      <c r="C790" s="4">
        <v>7146079000</v>
      </c>
    </row>
    <row r="791" spans="1:3" hidden="1">
      <c r="A791" s="5" t="s">
        <v>42</v>
      </c>
      <c r="B791" s="5" t="s">
        <v>130</v>
      </c>
      <c r="C791" s="6">
        <v>7421768000</v>
      </c>
    </row>
    <row r="792" spans="1:3" hidden="1">
      <c r="A792" s="3" t="s">
        <v>42</v>
      </c>
      <c r="B792" s="3" t="s">
        <v>130</v>
      </c>
      <c r="C792" s="4">
        <v>7386626000</v>
      </c>
    </row>
    <row r="793" spans="1:3" hidden="1">
      <c r="A793" s="5" t="s">
        <v>31</v>
      </c>
      <c r="B793" s="5" t="s">
        <v>87</v>
      </c>
      <c r="C793" s="6">
        <v>41313000000</v>
      </c>
    </row>
    <row r="794" spans="1:3" hidden="1">
      <c r="A794" s="3" t="s">
        <v>31</v>
      </c>
      <c r="B794" s="3" t="s">
        <v>87</v>
      </c>
      <c r="C794" s="4">
        <v>48500000000</v>
      </c>
    </row>
    <row r="795" spans="1:3" hidden="1">
      <c r="A795" s="5" t="s">
        <v>31</v>
      </c>
      <c r="B795" s="5" t="s">
        <v>87</v>
      </c>
      <c r="C795" s="6">
        <v>54289000000</v>
      </c>
    </row>
    <row r="796" spans="1:3" hidden="1">
      <c r="A796" s="3" t="s">
        <v>31</v>
      </c>
      <c r="B796" s="3" t="s">
        <v>87</v>
      </c>
      <c r="C796" s="4">
        <v>54379000000</v>
      </c>
    </row>
    <row r="797" spans="1:3" hidden="1">
      <c r="A797" s="5" t="s">
        <v>28</v>
      </c>
      <c r="B797" s="5" t="s">
        <v>182</v>
      </c>
      <c r="C797" s="6">
        <v>102874000000</v>
      </c>
    </row>
    <row r="798" spans="1:3" hidden="1">
      <c r="A798" s="3" t="s">
        <v>28</v>
      </c>
      <c r="B798" s="3" t="s">
        <v>182</v>
      </c>
      <c r="C798" s="4">
        <v>98367000000</v>
      </c>
    </row>
    <row r="799" spans="1:3" hidden="1">
      <c r="A799" s="5" t="s">
        <v>28</v>
      </c>
      <c r="B799" s="5" t="s">
        <v>182</v>
      </c>
      <c r="C799" s="6">
        <v>92793000000</v>
      </c>
    </row>
    <row r="800" spans="1:3" hidden="1">
      <c r="A800" s="3" t="s">
        <v>28</v>
      </c>
      <c r="B800" s="3" t="s">
        <v>182</v>
      </c>
      <c r="C800" s="4">
        <v>81741000000</v>
      </c>
    </row>
    <row r="801" spans="1:3" hidden="1">
      <c r="A801" s="5" t="s">
        <v>31</v>
      </c>
      <c r="B801" s="5" t="s">
        <v>36</v>
      </c>
      <c r="C801" s="6">
        <v>1293338000</v>
      </c>
    </row>
    <row r="802" spans="1:3" hidden="1">
      <c r="A802" s="3" t="s">
        <v>31</v>
      </c>
      <c r="B802" s="3" t="s">
        <v>36</v>
      </c>
      <c r="C802" s="4">
        <v>1377058000</v>
      </c>
    </row>
    <row r="803" spans="1:3" hidden="1">
      <c r="A803" s="5" t="s">
        <v>31</v>
      </c>
      <c r="B803" s="5" t="s">
        <v>36</v>
      </c>
      <c r="C803" s="6">
        <v>1485807000</v>
      </c>
    </row>
    <row r="804" spans="1:3" hidden="1">
      <c r="A804" s="3" t="s">
        <v>31</v>
      </c>
      <c r="B804" s="3" t="s">
        <v>36</v>
      </c>
      <c r="C804" s="4">
        <v>1601892000</v>
      </c>
    </row>
    <row r="805" spans="1:3" hidden="1">
      <c r="A805" s="5" t="s">
        <v>65</v>
      </c>
      <c r="B805" s="5" t="s">
        <v>66</v>
      </c>
      <c r="C805" s="6">
        <v>2821446000</v>
      </c>
    </row>
    <row r="806" spans="1:3" hidden="1">
      <c r="A806" s="3" t="s">
        <v>65</v>
      </c>
      <c r="B806" s="3" t="s">
        <v>66</v>
      </c>
      <c r="C806" s="4">
        <v>2952896000</v>
      </c>
    </row>
    <row r="807" spans="1:3" hidden="1">
      <c r="A807" s="5" t="s">
        <v>65</v>
      </c>
      <c r="B807" s="5" t="s">
        <v>66</v>
      </c>
      <c r="C807" s="6">
        <v>3088533000</v>
      </c>
    </row>
    <row r="808" spans="1:3" hidden="1">
      <c r="A808" s="3" t="s">
        <v>65</v>
      </c>
      <c r="B808" s="3" t="s">
        <v>66</v>
      </c>
      <c r="C808" s="4">
        <v>3023189000</v>
      </c>
    </row>
    <row r="809" spans="1:3" hidden="1">
      <c r="A809" s="5" t="s">
        <v>31</v>
      </c>
      <c r="B809" s="5" t="s">
        <v>324</v>
      </c>
      <c r="C809" s="6">
        <v>1421178000</v>
      </c>
    </row>
    <row r="810" spans="1:3" hidden="1">
      <c r="A810" s="3" t="s">
        <v>31</v>
      </c>
      <c r="B810" s="3" t="s">
        <v>324</v>
      </c>
      <c r="C810" s="4">
        <v>1861358000</v>
      </c>
    </row>
    <row r="811" spans="1:3" hidden="1">
      <c r="A811" s="5" t="s">
        <v>31</v>
      </c>
      <c r="B811" s="5" t="s">
        <v>324</v>
      </c>
      <c r="C811" s="6">
        <v>2219762000</v>
      </c>
    </row>
    <row r="812" spans="1:3" hidden="1">
      <c r="A812" s="3" t="s">
        <v>31</v>
      </c>
      <c r="B812" s="3" t="s">
        <v>324</v>
      </c>
      <c r="C812" s="4">
        <v>2398373000</v>
      </c>
    </row>
    <row r="813" spans="1:3" hidden="1">
      <c r="A813" s="5" t="s">
        <v>28</v>
      </c>
      <c r="B813" s="5" t="s">
        <v>40</v>
      </c>
      <c r="C813" s="6">
        <v>52708000000</v>
      </c>
    </row>
    <row r="814" spans="1:3" hidden="1">
      <c r="A814" s="3" t="s">
        <v>28</v>
      </c>
      <c r="B814" s="3" t="s">
        <v>40</v>
      </c>
      <c r="C814" s="4">
        <v>55870000000</v>
      </c>
    </row>
    <row r="815" spans="1:3" hidden="1">
      <c r="A815" s="5" t="s">
        <v>28</v>
      </c>
      <c r="B815" s="5" t="s">
        <v>40</v>
      </c>
      <c r="C815" s="6">
        <v>55355000000</v>
      </c>
    </row>
    <row r="816" spans="1:3" hidden="1">
      <c r="A816" s="3" t="s">
        <v>28</v>
      </c>
      <c r="B816" s="3" t="s">
        <v>40</v>
      </c>
      <c r="C816" s="4">
        <v>59387000000</v>
      </c>
    </row>
    <row r="817" spans="1:3" hidden="1">
      <c r="A817" s="5" t="s">
        <v>28</v>
      </c>
      <c r="B817" s="5" t="s">
        <v>63</v>
      </c>
      <c r="C817" s="6">
        <v>3946000000</v>
      </c>
    </row>
    <row r="818" spans="1:3" hidden="1">
      <c r="A818" s="3" t="s">
        <v>28</v>
      </c>
      <c r="B818" s="3" t="s">
        <v>63</v>
      </c>
      <c r="C818" s="4">
        <v>4243000000</v>
      </c>
    </row>
    <row r="819" spans="1:3" hidden="1">
      <c r="A819" s="5" t="s">
        <v>28</v>
      </c>
      <c r="B819" s="5" t="s">
        <v>63</v>
      </c>
      <c r="C819" s="6">
        <v>4192000000</v>
      </c>
    </row>
    <row r="820" spans="1:3" hidden="1">
      <c r="A820" s="3" t="s">
        <v>28</v>
      </c>
      <c r="B820" s="3" t="s">
        <v>63</v>
      </c>
      <c r="C820" s="4">
        <v>4694000000</v>
      </c>
    </row>
    <row r="821" spans="1:3" hidden="1">
      <c r="A821" s="5" t="s">
        <v>65</v>
      </c>
      <c r="B821" s="5" t="s">
        <v>102</v>
      </c>
      <c r="C821" s="6">
        <v>21852000000</v>
      </c>
    </row>
    <row r="822" spans="1:3" hidden="1">
      <c r="A822" s="3" t="s">
        <v>65</v>
      </c>
      <c r="B822" s="3" t="s">
        <v>102</v>
      </c>
      <c r="C822" s="4">
        <v>23483000000</v>
      </c>
    </row>
    <row r="823" spans="1:3" hidden="1">
      <c r="A823" s="5" t="s">
        <v>65</v>
      </c>
      <c r="B823" s="5" t="s">
        <v>102</v>
      </c>
      <c r="C823" s="6">
        <v>23617000000</v>
      </c>
    </row>
    <row r="824" spans="1:3" hidden="1">
      <c r="A824" s="3" t="s">
        <v>65</v>
      </c>
      <c r="B824" s="3" t="s">
        <v>102</v>
      </c>
      <c r="C824" s="4">
        <v>22365000000</v>
      </c>
    </row>
    <row r="825" spans="1:3" hidden="1">
      <c r="A825" s="5" t="s">
        <v>25</v>
      </c>
      <c r="B825" s="5" t="s">
        <v>329</v>
      </c>
      <c r="C825" s="6">
        <v>6956200000</v>
      </c>
    </row>
    <row r="826" spans="1:3" hidden="1">
      <c r="A826" s="3" t="s">
        <v>25</v>
      </c>
      <c r="B826" s="3" t="s">
        <v>329</v>
      </c>
      <c r="C826" s="4">
        <v>7122300000</v>
      </c>
    </row>
    <row r="827" spans="1:3" hidden="1">
      <c r="A827" s="5" t="s">
        <v>25</v>
      </c>
      <c r="B827" s="5" t="s">
        <v>329</v>
      </c>
      <c r="C827" s="6">
        <v>7537100000</v>
      </c>
    </row>
    <row r="828" spans="1:3" hidden="1">
      <c r="A828" s="3" t="s">
        <v>25</v>
      </c>
      <c r="B828" s="3" t="s">
        <v>329</v>
      </c>
      <c r="C828" s="4">
        <v>7613800000</v>
      </c>
    </row>
    <row r="829" spans="1:3" hidden="1">
      <c r="A829" s="5" t="s">
        <v>58</v>
      </c>
      <c r="B829" s="5" t="s">
        <v>59</v>
      </c>
      <c r="C829" s="6">
        <v>3003955000</v>
      </c>
    </row>
    <row r="830" spans="1:3" hidden="1">
      <c r="A830" s="3" t="s">
        <v>58</v>
      </c>
      <c r="B830" s="3" t="s">
        <v>59</v>
      </c>
      <c r="C830" s="4">
        <v>3024623000</v>
      </c>
    </row>
    <row r="831" spans="1:3" hidden="1">
      <c r="A831" s="5" t="s">
        <v>58</v>
      </c>
      <c r="B831" s="5" t="s">
        <v>59</v>
      </c>
      <c r="C831" s="6">
        <v>3117693000</v>
      </c>
    </row>
    <row r="832" spans="1:3" hidden="1">
      <c r="A832" s="3" t="s">
        <v>58</v>
      </c>
      <c r="B832" s="3" t="s">
        <v>59</v>
      </c>
      <c r="C832" s="4">
        <v>3007976000</v>
      </c>
    </row>
    <row r="833" spans="1:3" hidden="1">
      <c r="A833" s="5" t="s">
        <v>31</v>
      </c>
      <c r="B833" s="5" t="s">
        <v>36</v>
      </c>
      <c r="C833" s="6">
        <v>2265100000</v>
      </c>
    </row>
    <row r="834" spans="1:3" hidden="1">
      <c r="A834" s="3" t="s">
        <v>31</v>
      </c>
      <c r="B834" s="3" t="s">
        <v>36</v>
      </c>
      <c r="C834" s="4">
        <v>2131700000</v>
      </c>
    </row>
    <row r="835" spans="1:3" hidden="1">
      <c r="A835" s="5" t="s">
        <v>31</v>
      </c>
      <c r="B835" s="5" t="s">
        <v>36</v>
      </c>
      <c r="C835" s="6">
        <v>2384400000</v>
      </c>
    </row>
    <row r="836" spans="1:3" hidden="1">
      <c r="A836" s="3" t="s">
        <v>31</v>
      </c>
      <c r="B836" s="3" t="s">
        <v>36</v>
      </c>
      <c r="C836" s="4">
        <v>2704400000</v>
      </c>
    </row>
    <row r="837" spans="1:3" hidden="1">
      <c r="A837" s="5" t="s">
        <v>19</v>
      </c>
      <c r="B837" s="5" t="s">
        <v>163</v>
      </c>
      <c r="C837" s="6">
        <v>14135000000</v>
      </c>
    </row>
    <row r="838" spans="1:3" hidden="1">
      <c r="A838" s="3" t="s">
        <v>19</v>
      </c>
      <c r="B838" s="3" t="s">
        <v>163</v>
      </c>
      <c r="C838" s="4">
        <v>14484000000</v>
      </c>
    </row>
    <row r="839" spans="1:3" hidden="1">
      <c r="A839" s="5" t="s">
        <v>19</v>
      </c>
      <c r="B839" s="5" t="s">
        <v>163</v>
      </c>
      <c r="C839" s="6">
        <v>13405000000</v>
      </c>
    </row>
    <row r="840" spans="1:3" hidden="1">
      <c r="A840" s="3" t="s">
        <v>19</v>
      </c>
      <c r="B840" s="3" t="s">
        <v>163</v>
      </c>
      <c r="C840" s="4">
        <v>13599000000</v>
      </c>
    </row>
    <row r="841" spans="1:3" hidden="1">
      <c r="A841" s="5" t="s">
        <v>53</v>
      </c>
      <c r="B841" s="5" t="s">
        <v>79</v>
      </c>
      <c r="C841" s="6">
        <v>4050400000</v>
      </c>
    </row>
    <row r="842" spans="1:3" hidden="1">
      <c r="A842" s="3" t="s">
        <v>53</v>
      </c>
      <c r="B842" s="3" t="s">
        <v>79</v>
      </c>
      <c r="C842" s="4">
        <v>4644600000</v>
      </c>
    </row>
    <row r="843" spans="1:3" hidden="1">
      <c r="A843" s="5" t="s">
        <v>53</v>
      </c>
      <c r="B843" s="5" t="s">
        <v>79</v>
      </c>
      <c r="C843" s="6">
        <v>5147100000</v>
      </c>
    </row>
    <row r="844" spans="1:3" hidden="1">
      <c r="A844" s="3" t="s">
        <v>53</v>
      </c>
      <c r="B844" s="3" t="s">
        <v>79</v>
      </c>
      <c r="C844" s="4">
        <v>5122900000</v>
      </c>
    </row>
    <row r="845" spans="1:3" hidden="1">
      <c r="A845" s="5" t="s">
        <v>19</v>
      </c>
      <c r="B845" s="5" t="s">
        <v>335</v>
      </c>
      <c r="C845" s="6">
        <v>5054980000</v>
      </c>
    </row>
    <row r="846" spans="1:3" hidden="1">
      <c r="A846" s="3" t="s">
        <v>19</v>
      </c>
      <c r="B846" s="3" t="s">
        <v>335</v>
      </c>
      <c r="C846" s="4">
        <v>5584571000</v>
      </c>
    </row>
    <row r="847" spans="1:3" hidden="1">
      <c r="A847" s="5" t="s">
        <v>19</v>
      </c>
      <c r="B847" s="5" t="s">
        <v>335</v>
      </c>
      <c r="C847" s="6">
        <v>6165441000</v>
      </c>
    </row>
    <row r="848" spans="1:3" hidden="1">
      <c r="A848" s="3" t="s">
        <v>19</v>
      </c>
      <c r="B848" s="3" t="s">
        <v>335</v>
      </c>
      <c r="C848" s="4">
        <v>6187646000</v>
      </c>
    </row>
    <row r="849" spans="1:3" hidden="1">
      <c r="A849" s="5" t="s">
        <v>19</v>
      </c>
      <c r="B849" s="5" t="s">
        <v>170</v>
      </c>
      <c r="C849" s="6">
        <v>11818376000</v>
      </c>
    </row>
    <row r="850" spans="1:3" hidden="1">
      <c r="A850" s="3" t="s">
        <v>19</v>
      </c>
      <c r="B850" s="3" t="s">
        <v>170</v>
      </c>
      <c r="C850" s="4">
        <v>12695157000</v>
      </c>
    </row>
    <row r="851" spans="1:3" hidden="1">
      <c r="A851" s="5" t="s">
        <v>19</v>
      </c>
      <c r="B851" s="5" t="s">
        <v>170</v>
      </c>
      <c r="C851" s="6">
        <v>12114832000</v>
      </c>
    </row>
    <row r="852" spans="1:3" hidden="1">
      <c r="A852" s="3" t="s">
        <v>19</v>
      </c>
      <c r="B852" s="3" t="s">
        <v>170</v>
      </c>
      <c r="C852" s="4">
        <v>10964157000</v>
      </c>
    </row>
    <row r="853" spans="1:3" hidden="1">
      <c r="A853" s="5" t="s">
        <v>28</v>
      </c>
      <c r="B853" s="5" t="s">
        <v>180</v>
      </c>
      <c r="C853" s="6">
        <v>4365400000</v>
      </c>
    </row>
    <row r="854" spans="1:3" hidden="1">
      <c r="A854" s="3" t="s">
        <v>28</v>
      </c>
      <c r="B854" s="3" t="s">
        <v>180</v>
      </c>
      <c r="C854" s="4">
        <v>4669100000</v>
      </c>
    </row>
    <row r="855" spans="1:3" hidden="1">
      <c r="A855" s="5" t="s">
        <v>28</v>
      </c>
      <c r="B855" s="5" t="s">
        <v>180</v>
      </c>
      <c r="C855" s="6">
        <v>4627100000</v>
      </c>
    </row>
    <row r="856" spans="1:3" hidden="1">
      <c r="A856" s="3" t="s">
        <v>28</v>
      </c>
      <c r="B856" s="3" t="s">
        <v>180</v>
      </c>
      <c r="C856" s="4">
        <v>4857800000</v>
      </c>
    </row>
    <row r="857" spans="1:3" hidden="1">
      <c r="A857" s="5" t="s">
        <v>53</v>
      </c>
      <c r="B857" s="5" t="s">
        <v>111</v>
      </c>
      <c r="C857" s="6">
        <v>93646000000</v>
      </c>
    </row>
    <row r="858" spans="1:3" hidden="1">
      <c r="A858" s="3" t="s">
        <v>53</v>
      </c>
      <c r="B858" s="3" t="s">
        <v>111</v>
      </c>
      <c r="C858" s="4">
        <v>97142000000</v>
      </c>
    </row>
    <row r="859" spans="1:3" hidden="1">
      <c r="A859" s="5" t="s">
        <v>53</v>
      </c>
      <c r="B859" s="5" t="s">
        <v>111</v>
      </c>
      <c r="C859" s="6">
        <v>91973000000</v>
      </c>
    </row>
    <row r="860" spans="1:3" hidden="1">
      <c r="A860" s="3" t="s">
        <v>53</v>
      </c>
      <c r="B860" s="3" t="s">
        <v>111</v>
      </c>
      <c r="C860" s="4">
        <v>89716000000</v>
      </c>
    </row>
    <row r="861" spans="1:3" hidden="1">
      <c r="A861" s="5" t="s">
        <v>25</v>
      </c>
      <c r="B861" s="5" t="s">
        <v>340</v>
      </c>
      <c r="C861" s="6">
        <v>12134000000</v>
      </c>
    </row>
    <row r="862" spans="1:3" hidden="1">
      <c r="A862" s="3" t="s">
        <v>25</v>
      </c>
      <c r="B862" s="3" t="s">
        <v>340</v>
      </c>
      <c r="C862" s="4">
        <v>12540000000</v>
      </c>
    </row>
    <row r="863" spans="1:3" hidden="1">
      <c r="A863" s="5" t="s">
        <v>25</v>
      </c>
      <c r="B863" s="5" t="s">
        <v>340</v>
      </c>
      <c r="C863" s="6">
        <v>13506000000</v>
      </c>
    </row>
    <row r="864" spans="1:3" hidden="1">
      <c r="A864" s="3" t="s">
        <v>25</v>
      </c>
      <c r="B864" s="3" t="s">
        <v>340</v>
      </c>
      <c r="C864" s="4">
        <v>14437000000</v>
      </c>
    </row>
    <row r="865" spans="1:3" hidden="1">
      <c r="A865" s="5" t="s">
        <v>42</v>
      </c>
      <c r="B865" s="5" t="s">
        <v>130</v>
      </c>
      <c r="C865" s="6">
        <v>14197000000</v>
      </c>
    </row>
    <row r="866" spans="1:3" hidden="1">
      <c r="A866" s="3" t="s">
        <v>42</v>
      </c>
      <c r="B866" s="3" t="s">
        <v>130</v>
      </c>
      <c r="C866" s="4">
        <v>14792000000</v>
      </c>
    </row>
    <row r="867" spans="1:3" hidden="1">
      <c r="A867" s="5" t="s">
        <v>42</v>
      </c>
      <c r="B867" s="5" t="s">
        <v>130</v>
      </c>
      <c r="C867" s="6">
        <v>14580000000</v>
      </c>
    </row>
    <row r="868" spans="1:3" hidden="1">
      <c r="A868" s="3" t="s">
        <v>42</v>
      </c>
      <c r="B868" s="3" t="s">
        <v>130</v>
      </c>
      <c r="C868" s="4">
        <v>13525000000</v>
      </c>
    </row>
    <row r="869" spans="1:3" hidden="1">
      <c r="A869" s="5" t="s">
        <v>53</v>
      </c>
      <c r="B869" s="5" t="s">
        <v>111</v>
      </c>
      <c r="C869" s="6">
        <v>1287577000</v>
      </c>
    </row>
    <row r="870" spans="1:3" hidden="1">
      <c r="A870" s="3" t="s">
        <v>53</v>
      </c>
      <c r="B870" s="3" t="s">
        <v>111</v>
      </c>
      <c r="C870" s="4">
        <v>1463767000</v>
      </c>
    </row>
    <row r="871" spans="1:3" hidden="1">
      <c r="A871" s="5" t="s">
        <v>53</v>
      </c>
      <c r="B871" s="5" t="s">
        <v>111</v>
      </c>
      <c r="C871" s="6">
        <v>1627413000</v>
      </c>
    </row>
    <row r="872" spans="1:3" hidden="1">
      <c r="A872" s="3" t="s">
        <v>53</v>
      </c>
      <c r="B872" s="3" t="s">
        <v>111</v>
      </c>
      <c r="C872" s="4">
        <v>1822114000</v>
      </c>
    </row>
    <row r="873" spans="1:3" hidden="1">
      <c r="A873" s="5" t="s">
        <v>58</v>
      </c>
      <c r="B873" s="5" t="s">
        <v>59</v>
      </c>
      <c r="C873" s="6">
        <v>793373000</v>
      </c>
    </row>
    <row r="874" spans="1:3" hidden="1">
      <c r="A874" s="3" t="s">
        <v>58</v>
      </c>
      <c r="B874" s="3" t="s">
        <v>59</v>
      </c>
      <c r="C874" s="4">
        <v>861527000</v>
      </c>
    </row>
    <row r="875" spans="1:3" hidden="1">
      <c r="A875" s="5" t="s">
        <v>58</v>
      </c>
      <c r="B875" s="5" t="s">
        <v>59</v>
      </c>
      <c r="C875" s="6">
        <v>993897000</v>
      </c>
    </row>
    <row r="876" spans="1:3" hidden="1">
      <c r="A876" s="3" t="s">
        <v>58</v>
      </c>
      <c r="B876" s="3" t="s">
        <v>59</v>
      </c>
      <c r="C876" s="4">
        <v>1166769000</v>
      </c>
    </row>
    <row r="877" spans="1:3" hidden="1">
      <c r="A877" s="5" t="s">
        <v>28</v>
      </c>
      <c r="B877" s="5" t="s">
        <v>74</v>
      </c>
      <c r="C877" s="6">
        <v>2842781000</v>
      </c>
    </row>
    <row r="878" spans="1:3" hidden="1">
      <c r="A878" s="3" t="s">
        <v>28</v>
      </c>
      <c r="B878" s="3" t="s">
        <v>74</v>
      </c>
      <c r="C878" s="4">
        <v>2929408000</v>
      </c>
    </row>
    <row r="879" spans="1:3" hidden="1">
      <c r="A879" s="5" t="s">
        <v>28</v>
      </c>
      <c r="B879" s="5" t="s">
        <v>74</v>
      </c>
      <c r="C879" s="6">
        <v>2814049000</v>
      </c>
    </row>
    <row r="880" spans="1:3" hidden="1">
      <c r="A880" s="3" t="s">
        <v>28</v>
      </c>
      <c r="B880" s="3" t="s">
        <v>74</v>
      </c>
      <c r="C880" s="4">
        <v>2984493000</v>
      </c>
    </row>
    <row r="881" spans="1:3" hidden="1">
      <c r="A881" s="5" t="s">
        <v>42</v>
      </c>
      <c r="B881" s="5" t="s">
        <v>148</v>
      </c>
      <c r="C881" s="6">
        <v>19561000000</v>
      </c>
    </row>
    <row r="882" spans="1:3" hidden="1">
      <c r="A882" s="3" t="s">
        <v>42</v>
      </c>
      <c r="B882" s="3" t="s">
        <v>148</v>
      </c>
      <c r="C882" s="4">
        <v>19724000000</v>
      </c>
    </row>
    <row r="883" spans="1:3" hidden="1">
      <c r="A883" s="5" t="s">
        <v>42</v>
      </c>
      <c r="B883" s="5" t="s">
        <v>148</v>
      </c>
      <c r="C883" s="6">
        <v>18591000000</v>
      </c>
    </row>
    <row r="884" spans="1:3" hidden="1">
      <c r="A884" s="3" t="s">
        <v>42</v>
      </c>
      <c r="B884" s="3" t="s">
        <v>148</v>
      </c>
      <c r="C884" s="4">
        <v>18202000000</v>
      </c>
    </row>
    <row r="885" spans="1:3">
      <c r="A885" s="5" t="s">
        <v>89</v>
      </c>
      <c r="B885" s="5" t="s">
        <v>347</v>
      </c>
      <c r="C885" s="6">
        <v>14070000000</v>
      </c>
    </row>
    <row r="886" spans="1:3">
      <c r="A886" s="3" t="s">
        <v>89</v>
      </c>
      <c r="B886" s="3" t="s">
        <v>347</v>
      </c>
      <c r="C886" s="4">
        <v>16226000000</v>
      </c>
    </row>
    <row r="887" spans="1:3">
      <c r="A887" s="5" t="s">
        <v>89</v>
      </c>
      <c r="B887" s="5" t="s">
        <v>347</v>
      </c>
      <c r="C887" s="6">
        <v>14403000000</v>
      </c>
    </row>
    <row r="888" spans="1:3">
      <c r="A888" s="3" t="s">
        <v>89</v>
      </c>
      <c r="B888" s="3" t="s">
        <v>347</v>
      </c>
      <c r="C888" s="4">
        <v>13058000000</v>
      </c>
    </row>
    <row r="889" spans="1:3" hidden="1">
      <c r="A889" s="5" t="s">
        <v>25</v>
      </c>
      <c r="B889" s="5" t="s">
        <v>85</v>
      </c>
      <c r="C889" s="6">
        <v>10962818000</v>
      </c>
    </row>
    <row r="890" spans="1:3" hidden="1">
      <c r="A890" s="3" t="s">
        <v>25</v>
      </c>
      <c r="B890" s="3" t="s">
        <v>85</v>
      </c>
      <c r="C890" s="4">
        <v>12574299000</v>
      </c>
    </row>
    <row r="891" spans="1:3" hidden="1">
      <c r="A891" s="5" t="s">
        <v>25</v>
      </c>
      <c r="B891" s="5" t="s">
        <v>85</v>
      </c>
      <c r="C891" s="6">
        <v>14268716000</v>
      </c>
    </row>
    <row r="892" spans="1:3" hidden="1">
      <c r="A892" s="3" t="s">
        <v>25</v>
      </c>
      <c r="B892" s="3" t="s">
        <v>85</v>
      </c>
      <c r="C892" s="4">
        <v>15149675000</v>
      </c>
    </row>
    <row r="893" spans="1:3" hidden="1">
      <c r="A893" s="5" t="s">
        <v>42</v>
      </c>
      <c r="B893" s="5" t="s">
        <v>220</v>
      </c>
      <c r="C893" s="6">
        <v>48017000000</v>
      </c>
    </row>
    <row r="894" spans="1:3" hidden="1">
      <c r="A894" s="3" t="s">
        <v>42</v>
      </c>
      <c r="B894" s="3" t="s">
        <v>220</v>
      </c>
      <c r="C894" s="4">
        <v>46854000000</v>
      </c>
    </row>
    <row r="895" spans="1:3" hidden="1">
      <c r="A895" s="5" t="s">
        <v>42</v>
      </c>
      <c r="B895" s="5" t="s">
        <v>220</v>
      </c>
      <c r="C895" s="6">
        <v>45998000000</v>
      </c>
    </row>
    <row r="896" spans="1:3" hidden="1">
      <c r="A896" s="3" t="s">
        <v>42</v>
      </c>
      <c r="B896" s="3" t="s">
        <v>220</v>
      </c>
      <c r="C896" s="4">
        <v>44294000000</v>
      </c>
    </row>
    <row r="897" spans="1:3" hidden="1">
      <c r="A897" s="5" t="s">
        <v>25</v>
      </c>
      <c r="B897" s="5" t="s">
        <v>295</v>
      </c>
      <c r="C897" s="6">
        <v>2181732000</v>
      </c>
    </row>
    <row r="898" spans="1:3" hidden="1">
      <c r="A898" s="3" t="s">
        <v>25</v>
      </c>
      <c r="B898" s="3" t="s">
        <v>295</v>
      </c>
      <c r="C898" s="4">
        <v>3310800000</v>
      </c>
    </row>
    <row r="899" spans="1:3" hidden="1">
      <c r="A899" s="5" t="s">
        <v>25</v>
      </c>
      <c r="B899" s="5" t="s">
        <v>295</v>
      </c>
      <c r="C899" s="6">
        <v>4371500000</v>
      </c>
    </row>
    <row r="900" spans="1:3" hidden="1">
      <c r="A900" s="3" t="s">
        <v>25</v>
      </c>
      <c r="B900" s="3" t="s">
        <v>295</v>
      </c>
      <c r="C900" s="4">
        <v>4712100000</v>
      </c>
    </row>
    <row r="901" spans="1:3" hidden="1">
      <c r="A901" s="5" t="s">
        <v>42</v>
      </c>
      <c r="B901" s="5" t="s">
        <v>352</v>
      </c>
      <c r="C901" s="6">
        <v>96619000000</v>
      </c>
    </row>
    <row r="902" spans="1:3" hidden="1">
      <c r="A902" s="3" t="s">
        <v>42</v>
      </c>
      <c r="B902" s="3" t="s">
        <v>352</v>
      </c>
      <c r="C902" s="4">
        <v>98375000000</v>
      </c>
    </row>
    <row r="903" spans="1:3" hidden="1">
      <c r="A903" s="5" t="s">
        <v>42</v>
      </c>
      <c r="B903" s="5" t="s">
        <v>352</v>
      </c>
      <c r="C903" s="6">
        <v>108465000000</v>
      </c>
    </row>
    <row r="904" spans="1:3" hidden="1">
      <c r="A904" s="3" t="s">
        <v>42</v>
      </c>
      <c r="B904" s="3" t="s">
        <v>352</v>
      </c>
      <c r="C904" s="4">
        <v>109830000000</v>
      </c>
    </row>
    <row r="905" spans="1:3" hidden="1">
      <c r="A905" s="5" t="s">
        <v>25</v>
      </c>
      <c r="B905" s="5" t="s">
        <v>203</v>
      </c>
      <c r="C905" s="6">
        <v>19279000000</v>
      </c>
    </row>
    <row r="906" spans="1:3" hidden="1">
      <c r="A906" s="3" t="s">
        <v>25</v>
      </c>
      <c r="B906" s="3" t="s">
        <v>203</v>
      </c>
      <c r="C906" s="4">
        <v>19031000000</v>
      </c>
    </row>
    <row r="907" spans="1:3" hidden="1">
      <c r="A907" s="5" t="s">
        <v>25</v>
      </c>
      <c r="B907" s="5" t="s">
        <v>203</v>
      </c>
      <c r="C907" s="6">
        <v>19023000000</v>
      </c>
    </row>
    <row r="908" spans="1:3" hidden="1">
      <c r="A908" s="3" t="s">
        <v>25</v>
      </c>
      <c r="B908" s="3" t="s">
        <v>203</v>
      </c>
      <c r="C908" s="4">
        <v>19204000000</v>
      </c>
    </row>
    <row r="909" spans="1:3" hidden="1">
      <c r="A909" s="5" t="s">
        <v>19</v>
      </c>
      <c r="B909" s="5" t="s">
        <v>184</v>
      </c>
      <c r="C909" s="6">
        <v>2369300000</v>
      </c>
    </row>
    <row r="910" spans="1:3" hidden="1">
      <c r="A910" s="3" t="s">
        <v>19</v>
      </c>
      <c r="B910" s="3" t="s">
        <v>184</v>
      </c>
      <c r="C910" s="4">
        <v>2577100000</v>
      </c>
    </row>
    <row r="911" spans="1:3" hidden="1">
      <c r="A911" s="5" t="s">
        <v>19</v>
      </c>
      <c r="B911" s="5" t="s">
        <v>184</v>
      </c>
      <c r="C911" s="6">
        <v>2418800000</v>
      </c>
    </row>
    <row r="912" spans="1:3" hidden="1">
      <c r="A912" s="3" t="s">
        <v>19</v>
      </c>
      <c r="B912" s="3" t="s">
        <v>184</v>
      </c>
      <c r="C912" s="4">
        <v>2334200000</v>
      </c>
    </row>
    <row r="913" spans="1:3" hidden="1">
      <c r="A913" s="5" t="s">
        <v>25</v>
      </c>
      <c r="B913" s="5" t="s">
        <v>263</v>
      </c>
      <c r="C913" s="6">
        <v>10459000000</v>
      </c>
    </row>
    <row r="914" spans="1:3" hidden="1">
      <c r="A914" s="3" t="s">
        <v>25</v>
      </c>
      <c r="B914" s="3" t="s">
        <v>263</v>
      </c>
      <c r="C914" s="4">
        <v>10773000000</v>
      </c>
    </row>
    <row r="915" spans="1:3" hidden="1">
      <c r="A915" s="5" t="s">
        <v>25</v>
      </c>
      <c r="B915" s="5" t="s">
        <v>263</v>
      </c>
      <c r="C915" s="6">
        <v>11454000000</v>
      </c>
    </row>
    <row r="916" spans="1:3" hidden="1">
      <c r="A916" s="3" t="s">
        <v>25</v>
      </c>
      <c r="B916" s="3" t="s">
        <v>263</v>
      </c>
      <c r="C916" s="4">
        <v>12154000000</v>
      </c>
    </row>
    <row r="917" spans="1:3" hidden="1">
      <c r="A917" s="5" t="s">
        <v>19</v>
      </c>
      <c r="B917" s="5" t="s">
        <v>170</v>
      </c>
      <c r="C917" s="6">
        <v>3414500000</v>
      </c>
    </row>
    <row r="918" spans="1:3" hidden="1">
      <c r="A918" s="3" t="s">
        <v>19</v>
      </c>
      <c r="B918" s="3" t="s">
        <v>170</v>
      </c>
      <c r="C918" s="4">
        <v>3477200000</v>
      </c>
    </row>
    <row r="919" spans="1:3" hidden="1">
      <c r="A919" s="5" t="s">
        <v>19</v>
      </c>
      <c r="B919" s="5" t="s">
        <v>170</v>
      </c>
      <c r="C919" s="6">
        <v>3782300000</v>
      </c>
    </row>
    <row r="920" spans="1:3" hidden="1">
      <c r="A920" s="3" t="s">
        <v>19</v>
      </c>
      <c r="B920" s="3" t="s">
        <v>170</v>
      </c>
      <c r="C920" s="4">
        <v>3917200000</v>
      </c>
    </row>
    <row r="921" spans="1:3" hidden="1">
      <c r="A921" s="5" t="s">
        <v>25</v>
      </c>
      <c r="B921" s="5" t="s">
        <v>207</v>
      </c>
      <c r="C921" s="6">
        <v>5935095000</v>
      </c>
    </row>
    <row r="922" spans="1:3" hidden="1">
      <c r="A922" s="3" t="s">
        <v>25</v>
      </c>
      <c r="B922" s="3" t="s">
        <v>207</v>
      </c>
      <c r="C922" s="4">
        <v>7779812000</v>
      </c>
    </row>
    <row r="923" spans="1:3" hidden="1">
      <c r="A923" s="5" t="s">
        <v>25</v>
      </c>
      <c r="B923" s="5" t="s">
        <v>207</v>
      </c>
      <c r="C923" s="6">
        <v>9474008000</v>
      </c>
    </row>
    <row r="924" spans="1:3" hidden="1">
      <c r="A924" s="3" t="s">
        <v>25</v>
      </c>
      <c r="B924" s="3" t="s">
        <v>207</v>
      </c>
      <c r="C924" s="4">
        <v>10949999000</v>
      </c>
    </row>
    <row r="925" spans="1:3" hidden="1">
      <c r="A925" s="5" t="s">
        <v>31</v>
      </c>
      <c r="B925" s="5" t="s">
        <v>205</v>
      </c>
      <c r="C925" s="6">
        <v>5671400000</v>
      </c>
    </row>
    <row r="926" spans="1:3" hidden="1">
      <c r="A926" s="3" t="s">
        <v>31</v>
      </c>
      <c r="B926" s="3" t="s">
        <v>205</v>
      </c>
      <c r="C926" s="4">
        <v>5808300000</v>
      </c>
    </row>
    <row r="927" spans="1:3" hidden="1">
      <c r="A927" s="5" t="s">
        <v>31</v>
      </c>
      <c r="B927" s="5" t="s">
        <v>205</v>
      </c>
      <c r="C927" s="6">
        <v>6011600000</v>
      </c>
    </row>
    <row r="928" spans="1:3" hidden="1">
      <c r="A928" s="3" t="s">
        <v>31</v>
      </c>
      <c r="B928" s="3" t="s">
        <v>205</v>
      </c>
      <c r="C928" s="4">
        <v>8680100000</v>
      </c>
    </row>
    <row r="929" spans="1:3" hidden="1">
      <c r="A929" s="5" t="s">
        <v>25</v>
      </c>
      <c r="B929" s="5" t="s">
        <v>360</v>
      </c>
      <c r="C929" s="6">
        <v>4122930000</v>
      </c>
    </row>
    <row r="930" spans="1:3" hidden="1">
      <c r="A930" s="3" t="s">
        <v>25</v>
      </c>
      <c r="B930" s="3" t="s">
        <v>360</v>
      </c>
      <c r="C930" s="4">
        <v>5062528000</v>
      </c>
    </row>
    <row r="931" spans="1:3" hidden="1">
      <c r="A931" s="5" t="s">
        <v>25</v>
      </c>
      <c r="B931" s="5" t="s">
        <v>360</v>
      </c>
      <c r="C931" s="6">
        <v>6740064000</v>
      </c>
    </row>
    <row r="932" spans="1:3" hidden="1">
      <c r="A932" s="3" t="s">
        <v>25</v>
      </c>
      <c r="B932" s="3" t="s">
        <v>360</v>
      </c>
      <c r="C932" s="4">
        <v>7192633000</v>
      </c>
    </row>
    <row r="933" spans="1:3" hidden="1">
      <c r="A933" s="5" t="s">
        <v>19</v>
      </c>
      <c r="B933" s="5" t="s">
        <v>170</v>
      </c>
      <c r="C933" s="6">
        <v>13107000000</v>
      </c>
    </row>
    <row r="934" spans="1:3" hidden="1">
      <c r="A934" s="3" t="s">
        <v>19</v>
      </c>
      <c r="B934" s="3" t="s">
        <v>170</v>
      </c>
      <c r="C934" s="4">
        <v>11420000000</v>
      </c>
    </row>
    <row r="935" spans="1:3" hidden="1">
      <c r="A935" s="5" t="s">
        <v>19</v>
      </c>
      <c r="B935" s="5" t="s">
        <v>170</v>
      </c>
      <c r="C935" s="6">
        <v>10986000000</v>
      </c>
    </row>
    <row r="936" spans="1:3" hidden="1">
      <c r="A936" s="3" t="s">
        <v>19</v>
      </c>
      <c r="B936" s="3" t="s">
        <v>170</v>
      </c>
      <c r="C936" s="4">
        <v>10466000000</v>
      </c>
    </row>
    <row r="937" spans="1:3" hidden="1">
      <c r="A937" s="5" t="s">
        <v>28</v>
      </c>
      <c r="B937" s="5" t="s">
        <v>40</v>
      </c>
      <c r="C937" s="6">
        <v>1282236000</v>
      </c>
    </row>
    <row r="938" spans="1:3" hidden="1">
      <c r="A938" s="3" t="s">
        <v>28</v>
      </c>
      <c r="B938" s="3" t="s">
        <v>40</v>
      </c>
      <c r="C938" s="4">
        <v>1388386000</v>
      </c>
    </row>
    <row r="939" spans="1:3" hidden="1">
      <c r="A939" s="5" t="s">
        <v>28</v>
      </c>
      <c r="B939" s="5" t="s">
        <v>40</v>
      </c>
      <c r="C939" s="6">
        <v>1475139000</v>
      </c>
    </row>
    <row r="940" spans="1:3" hidden="1">
      <c r="A940" s="3" t="s">
        <v>28</v>
      </c>
      <c r="B940" s="3" t="s">
        <v>40</v>
      </c>
      <c r="C940" s="4">
        <v>1423936000</v>
      </c>
    </row>
    <row r="941" spans="1:3" hidden="1">
      <c r="A941" s="5" t="s">
        <v>31</v>
      </c>
      <c r="B941" s="5" t="s">
        <v>32</v>
      </c>
      <c r="C941" s="6">
        <v>22603400000</v>
      </c>
    </row>
    <row r="942" spans="1:3" hidden="1">
      <c r="A942" s="3" t="s">
        <v>31</v>
      </c>
      <c r="B942" s="3" t="s">
        <v>32</v>
      </c>
      <c r="C942" s="4">
        <v>23113100000</v>
      </c>
    </row>
    <row r="943" spans="1:3" hidden="1">
      <c r="A943" s="5" t="s">
        <v>31</v>
      </c>
      <c r="B943" s="5" t="s">
        <v>32</v>
      </c>
      <c r="C943" s="6">
        <v>19615600000</v>
      </c>
    </row>
    <row r="944" spans="1:3" hidden="1">
      <c r="A944" s="3" t="s">
        <v>31</v>
      </c>
      <c r="B944" s="3" t="s">
        <v>32</v>
      </c>
      <c r="C944" s="4">
        <v>19958700000</v>
      </c>
    </row>
    <row r="945" spans="1:3" hidden="1">
      <c r="A945" s="5" t="s">
        <v>19</v>
      </c>
      <c r="B945" s="5" t="s">
        <v>97</v>
      </c>
      <c r="C945" s="6">
        <v>45358000000</v>
      </c>
    </row>
    <row r="946" spans="1:3" hidden="1">
      <c r="A946" s="3" t="s">
        <v>19</v>
      </c>
      <c r="B946" s="3" t="s">
        <v>97</v>
      </c>
      <c r="C946" s="4">
        <v>39946000000</v>
      </c>
    </row>
    <row r="947" spans="1:3" hidden="1">
      <c r="A947" s="5" t="s">
        <v>19</v>
      </c>
      <c r="B947" s="5" t="s">
        <v>97</v>
      </c>
      <c r="C947" s="6">
        <v>40536000000</v>
      </c>
    </row>
    <row r="948" spans="1:3" hidden="1">
      <c r="A948" s="3" t="s">
        <v>19</v>
      </c>
      <c r="B948" s="3" t="s">
        <v>97</v>
      </c>
      <c r="C948" s="4">
        <v>47248000000</v>
      </c>
    </row>
    <row r="949" spans="1:3" hidden="1">
      <c r="A949" s="5" t="s">
        <v>48</v>
      </c>
      <c r="B949" s="5" t="s">
        <v>51</v>
      </c>
      <c r="C949" s="6">
        <v>3094500000</v>
      </c>
    </row>
    <row r="950" spans="1:3" hidden="1">
      <c r="A950" s="3" t="s">
        <v>48</v>
      </c>
      <c r="B950" s="3" t="s">
        <v>51</v>
      </c>
      <c r="C950" s="4">
        <v>3276800000</v>
      </c>
    </row>
    <row r="951" spans="1:3" hidden="1">
      <c r="A951" s="5" t="s">
        <v>48</v>
      </c>
      <c r="B951" s="5" t="s">
        <v>51</v>
      </c>
      <c r="C951" s="6">
        <v>3350300000</v>
      </c>
    </row>
    <row r="952" spans="1:3" hidden="1">
      <c r="A952" s="3" t="s">
        <v>48</v>
      </c>
      <c r="B952" s="3" t="s">
        <v>51</v>
      </c>
      <c r="C952" s="4">
        <v>3253600000</v>
      </c>
    </row>
    <row r="953" spans="1:3" hidden="1">
      <c r="A953" s="5" t="s">
        <v>25</v>
      </c>
      <c r="B953" s="5" t="s">
        <v>300</v>
      </c>
      <c r="C953" s="6">
        <v>50521000000</v>
      </c>
    </row>
    <row r="954" spans="1:3" hidden="1">
      <c r="A954" s="3" t="s">
        <v>25</v>
      </c>
      <c r="B954" s="3" t="s">
        <v>300</v>
      </c>
      <c r="C954" s="4">
        <v>53417000000</v>
      </c>
    </row>
    <row r="955" spans="1:3" hidden="1">
      <c r="A955" s="5" t="s">
        <v>25</v>
      </c>
      <c r="B955" s="5" t="s">
        <v>300</v>
      </c>
      <c r="C955" s="6">
        <v>56223000000</v>
      </c>
    </row>
    <row r="956" spans="1:3" hidden="1">
      <c r="A956" s="3" t="s">
        <v>25</v>
      </c>
      <c r="B956" s="3" t="s">
        <v>300</v>
      </c>
      <c r="C956" s="4">
        <v>59074000000</v>
      </c>
    </row>
    <row r="957" spans="1:3" hidden="1">
      <c r="A957" s="5" t="s">
        <v>28</v>
      </c>
      <c r="B957" s="5" t="s">
        <v>74</v>
      </c>
      <c r="C957" s="6">
        <v>3598916000</v>
      </c>
    </row>
    <row r="958" spans="1:3" hidden="1">
      <c r="A958" s="3" t="s">
        <v>28</v>
      </c>
      <c r="B958" s="3" t="s">
        <v>74</v>
      </c>
      <c r="C958" s="4">
        <v>4607309000</v>
      </c>
    </row>
    <row r="959" spans="1:3" hidden="1">
      <c r="A959" s="5" t="s">
        <v>28</v>
      </c>
      <c r="B959" s="5" t="s">
        <v>74</v>
      </c>
      <c r="C959" s="6">
        <v>5259312000</v>
      </c>
    </row>
    <row r="960" spans="1:3" hidden="1">
      <c r="A960" s="3" t="s">
        <v>28</v>
      </c>
      <c r="B960" s="3" t="s">
        <v>74</v>
      </c>
      <c r="C960" s="4">
        <v>5885893000</v>
      </c>
    </row>
    <row r="961" spans="1:3" hidden="1">
      <c r="A961" s="5" t="s">
        <v>53</v>
      </c>
      <c r="B961" s="5" t="s">
        <v>369</v>
      </c>
      <c r="C961" s="6">
        <v>7810610000</v>
      </c>
    </row>
    <row r="962" spans="1:3" hidden="1">
      <c r="A962" s="3" t="s">
        <v>53</v>
      </c>
      <c r="B962" s="3" t="s">
        <v>369</v>
      </c>
      <c r="C962" s="4">
        <v>9531778000</v>
      </c>
    </row>
    <row r="963" spans="1:3" hidden="1">
      <c r="A963" s="5" t="s">
        <v>53</v>
      </c>
      <c r="B963" s="5" t="s">
        <v>369</v>
      </c>
      <c r="C963" s="6">
        <v>10681897000</v>
      </c>
    </row>
    <row r="964" spans="1:3" hidden="1">
      <c r="A964" s="3" t="s">
        <v>53</v>
      </c>
      <c r="B964" s="3" t="s">
        <v>369</v>
      </c>
      <c r="C964" s="4">
        <v>10116502000</v>
      </c>
    </row>
    <row r="965" spans="1:3" hidden="1">
      <c r="A965" s="5" t="s">
        <v>19</v>
      </c>
      <c r="B965" s="5" t="s">
        <v>20</v>
      </c>
      <c r="C965" s="6">
        <v>17699000000</v>
      </c>
    </row>
    <row r="966" spans="1:3" hidden="1">
      <c r="A966" s="3" t="s">
        <v>19</v>
      </c>
      <c r="B966" s="3" t="s">
        <v>20</v>
      </c>
      <c r="C966" s="4">
        <v>18605000000</v>
      </c>
    </row>
    <row r="967" spans="1:3" hidden="1">
      <c r="A967" s="5" t="s">
        <v>19</v>
      </c>
      <c r="B967" s="5" t="s">
        <v>20</v>
      </c>
      <c r="C967" s="6">
        <v>19820000000</v>
      </c>
    </row>
    <row r="968" spans="1:3" hidden="1">
      <c r="A968" s="3" t="s">
        <v>19</v>
      </c>
      <c r="B968" s="3" t="s">
        <v>20</v>
      </c>
      <c r="C968" s="4">
        <v>20425000000</v>
      </c>
    </row>
    <row r="969" spans="1:3" hidden="1">
      <c r="A969" s="5" t="s">
        <v>188</v>
      </c>
      <c r="B969" s="5" t="s">
        <v>372</v>
      </c>
      <c r="C969" s="6">
        <v>6376000000</v>
      </c>
    </row>
    <row r="970" spans="1:3" hidden="1">
      <c r="A970" s="3" t="s">
        <v>188</v>
      </c>
      <c r="B970" s="3" t="s">
        <v>372</v>
      </c>
      <c r="C970" s="4">
        <v>6313000000</v>
      </c>
    </row>
    <row r="971" spans="1:3" hidden="1">
      <c r="A971" s="5" t="s">
        <v>188</v>
      </c>
      <c r="B971" s="5" t="s">
        <v>372</v>
      </c>
      <c r="C971" s="6">
        <v>6777000000</v>
      </c>
    </row>
    <row r="972" spans="1:3" hidden="1">
      <c r="A972" s="3" t="s">
        <v>188</v>
      </c>
      <c r="B972" s="3" t="s">
        <v>372</v>
      </c>
      <c r="C972" s="4">
        <v>8229000000</v>
      </c>
    </row>
    <row r="973" spans="1:3" hidden="1">
      <c r="A973" s="5" t="s">
        <v>65</v>
      </c>
      <c r="B973" s="5" t="s">
        <v>199</v>
      </c>
      <c r="C973" s="6">
        <v>45352000000</v>
      </c>
    </row>
    <row r="974" spans="1:3" hidden="1">
      <c r="A974" s="3" t="s">
        <v>65</v>
      </c>
      <c r="B974" s="3" t="s">
        <v>199</v>
      </c>
      <c r="C974" s="4">
        <v>44062000000</v>
      </c>
    </row>
    <row r="975" spans="1:3" hidden="1">
      <c r="A975" s="5" t="s">
        <v>65</v>
      </c>
      <c r="B975" s="5" t="s">
        <v>199</v>
      </c>
      <c r="C975" s="6">
        <v>45608000000</v>
      </c>
    </row>
    <row r="976" spans="1:3" hidden="1">
      <c r="A976" s="3" t="s">
        <v>65</v>
      </c>
      <c r="B976" s="3" t="s">
        <v>199</v>
      </c>
      <c r="C976" s="4">
        <v>32735000000</v>
      </c>
    </row>
    <row r="977" spans="1:3" hidden="1">
      <c r="A977" s="5" t="s">
        <v>25</v>
      </c>
      <c r="B977" s="5" t="s">
        <v>340</v>
      </c>
      <c r="C977" s="6">
        <v>27686000000</v>
      </c>
    </row>
    <row r="978" spans="1:3" hidden="1">
      <c r="A978" s="3" t="s">
        <v>25</v>
      </c>
      <c r="B978" s="3" t="s">
        <v>340</v>
      </c>
      <c r="C978" s="4">
        <v>27931000000</v>
      </c>
    </row>
    <row r="979" spans="1:3" hidden="1">
      <c r="A979" s="5" t="s">
        <v>25</v>
      </c>
      <c r="B979" s="5" t="s">
        <v>340</v>
      </c>
      <c r="C979" s="6">
        <v>28105000000</v>
      </c>
    </row>
    <row r="980" spans="1:3" hidden="1">
      <c r="A980" s="3" t="s">
        <v>25</v>
      </c>
      <c r="B980" s="3" t="s">
        <v>340</v>
      </c>
      <c r="C980" s="4">
        <v>27079000000</v>
      </c>
    </row>
    <row r="981" spans="1:3" hidden="1">
      <c r="A981" s="5" t="s">
        <v>28</v>
      </c>
      <c r="B981" s="5" t="s">
        <v>63</v>
      </c>
      <c r="C981" s="6">
        <v>8312000000</v>
      </c>
    </row>
    <row r="982" spans="1:3" hidden="1">
      <c r="A982" s="3" t="s">
        <v>28</v>
      </c>
      <c r="B982" s="3" t="s">
        <v>63</v>
      </c>
      <c r="C982" s="4">
        <v>9441000000</v>
      </c>
    </row>
    <row r="983" spans="1:3" hidden="1">
      <c r="A983" s="5" t="s">
        <v>28</v>
      </c>
      <c r="B983" s="5" t="s">
        <v>63</v>
      </c>
      <c r="C983" s="6">
        <v>9667000000</v>
      </c>
    </row>
    <row r="984" spans="1:3" hidden="1">
      <c r="A984" s="3" t="s">
        <v>28</v>
      </c>
      <c r="B984" s="3" t="s">
        <v>63</v>
      </c>
      <c r="C984" s="4">
        <v>10776000000</v>
      </c>
    </row>
    <row r="985" spans="1:3" hidden="1">
      <c r="A985" s="5" t="s">
        <v>58</v>
      </c>
      <c r="B985" s="5" t="s">
        <v>240</v>
      </c>
      <c r="C985" s="6">
        <v>475888000</v>
      </c>
    </row>
    <row r="986" spans="1:3" hidden="1">
      <c r="A986" s="3" t="s">
        <v>58</v>
      </c>
      <c r="B986" s="3" t="s">
        <v>240</v>
      </c>
      <c r="C986" s="4">
        <v>635490000</v>
      </c>
    </row>
    <row r="987" spans="1:3" hidden="1">
      <c r="A987" s="5" t="s">
        <v>58</v>
      </c>
      <c r="B987" s="5" t="s">
        <v>240</v>
      </c>
      <c r="C987" s="6">
        <v>992332000</v>
      </c>
    </row>
    <row r="988" spans="1:3" hidden="1">
      <c r="A988" s="3" t="s">
        <v>58</v>
      </c>
      <c r="B988" s="3" t="s">
        <v>240</v>
      </c>
      <c r="C988" s="4">
        <v>1042779000</v>
      </c>
    </row>
    <row r="989" spans="1:3" hidden="1">
      <c r="A989" s="5" t="s">
        <v>58</v>
      </c>
      <c r="B989" s="5" t="s">
        <v>271</v>
      </c>
      <c r="C989" s="6">
        <v>797517000</v>
      </c>
    </row>
    <row r="990" spans="1:3" hidden="1">
      <c r="A990" s="3" t="s">
        <v>58</v>
      </c>
      <c r="B990" s="3" t="s">
        <v>271</v>
      </c>
      <c r="C990" s="4">
        <v>1029475000</v>
      </c>
    </row>
    <row r="991" spans="1:3" hidden="1">
      <c r="A991" s="5" t="s">
        <v>58</v>
      </c>
      <c r="B991" s="5" t="s">
        <v>271</v>
      </c>
      <c r="C991" s="6">
        <v>1105247000</v>
      </c>
    </row>
    <row r="992" spans="1:3" hidden="1">
      <c r="A992" s="3" t="s">
        <v>58</v>
      </c>
      <c r="B992" s="3" t="s">
        <v>271</v>
      </c>
      <c r="C992" s="4">
        <v>1288149000</v>
      </c>
    </row>
    <row r="993" spans="1:3" hidden="1">
      <c r="A993" s="5" t="s">
        <v>25</v>
      </c>
      <c r="B993" s="5" t="s">
        <v>139</v>
      </c>
      <c r="C993" s="6">
        <v>11814000000</v>
      </c>
    </row>
    <row r="994" spans="1:3" hidden="1">
      <c r="A994" s="3" t="s">
        <v>25</v>
      </c>
      <c r="B994" s="3" t="s">
        <v>139</v>
      </c>
      <c r="C994" s="4">
        <v>12784000000</v>
      </c>
    </row>
    <row r="995" spans="1:3" hidden="1">
      <c r="A995" s="5" t="s">
        <v>25</v>
      </c>
      <c r="B995" s="5" t="s">
        <v>139</v>
      </c>
      <c r="C995" s="6">
        <v>13796000000</v>
      </c>
    </row>
    <row r="996" spans="1:3" hidden="1">
      <c r="A996" s="3" t="s">
        <v>25</v>
      </c>
      <c r="B996" s="3" t="s">
        <v>139</v>
      </c>
      <c r="C996" s="4">
        <v>14486000000</v>
      </c>
    </row>
    <row r="997" spans="1:3" hidden="1">
      <c r="A997" s="5" t="s">
        <v>19</v>
      </c>
      <c r="B997" s="5" t="s">
        <v>70</v>
      </c>
      <c r="C997" s="6">
        <v>6761000000</v>
      </c>
    </row>
    <row r="998" spans="1:3" hidden="1">
      <c r="A998" s="3" t="s">
        <v>19</v>
      </c>
      <c r="B998" s="3" t="s">
        <v>70</v>
      </c>
      <c r="C998" s="4">
        <v>7006000000</v>
      </c>
    </row>
    <row r="999" spans="1:3" hidden="1">
      <c r="A999" s="5" t="s">
        <v>19</v>
      </c>
      <c r="B999" s="5" t="s">
        <v>70</v>
      </c>
      <c r="C999" s="6">
        <v>7142000000</v>
      </c>
    </row>
    <row r="1000" spans="1:3" hidden="1">
      <c r="A1000" s="3" t="s">
        <v>19</v>
      </c>
      <c r="B1000" s="3" t="s">
        <v>70</v>
      </c>
      <c r="C1000" s="4">
        <v>7357000000</v>
      </c>
    </row>
    <row r="1001" spans="1:3" hidden="1">
      <c r="A1001" s="5" t="s">
        <v>25</v>
      </c>
      <c r="B1001" s="5" t="s">
        <v>292</v>
      </c>
      <c r="C1001" s="6">
        <v>6420881000</v>
      </c>
    </row>
    <row r="1002" spans="1:3" hidden="1">
      <c r="A1002" s="3" t="s">
        <v>25</v>
      </c>
      <c r="B1002" s="3" t="s">
        <v>292</v>
      </c>
      <c r="C1002" s="4">
        <v>6484892000</v>
      </c>
    </row>
    <row r="1003" spans="1:3" hidden="1">
      <c r="A1003" s="5" t="s">
        <v>25</v>
      </c>
      <c r="B1003" s="5" t="s">
        <v>292</v>
      </c>
      <c r="C1003" s="6">
        <v>6023819000</v>
      </c>
    </row>
    <row r="1004" spans="1:3" hidden="1">
      <c r="A1004" s="3" t="s">
        <v>25</v>
      </c>
      <c r="B1004" s="3" t="s">
        <v>292</v>
      </c>
      <c r="C1004" s="4">
        <v>5702613000</v>
      </c>
    </row>
    <row r="1005" spans="1:3" hidden="1">
      <c r="A1005" s="5" t="s">
        <v>25</v>
      </c>
      <c r="B1005" s="5" t="s">
        <v>161</v>
      </c>
      <c r="C1005" s="6">
        <v>27567000000</v>
      </c>
    </row>
    <row r="1006" spans="1:3" hidden="1">
      <c r="A1006" s="3" t="s">
        <v>25</v>
      </c>
      <c r="B1006" s="3" t="s">
        <v>161</v>
      </c>
      <c r="C1006" s="4">
        <v>28105700000</v>
      </c>
    </row>
    <row r="1007" spans="1:3" hidden="1">
      <c r="A1007" s="5" t="s">
        <v>25</v>
      </c>
      <c r="B1007" s="5" t="s">
        <v>161</v>
      </c>
      <c r="C1007" s="6">
        <v>27441300000</v>
      </c>
    </row>
    <row r="1008" spans="1:3" hidden="1">
      <c r="A1008" s="3" t="s">
        <v>25</v>
      </c>
      <c r="B1008" s="3" t="s">
        <v>161</v>
      </c>
      <c r="C1008" s="4">
        <v>25413000000</v>
      </c>
    </row>
    <row r="1009" spans="1:3" hidden="1">
      <c r="A1009" s="5" t="s">
        <v>28</v>
      </c>
      <c r="B1009" s="5" t="s">
        <v>40</v>
      </c>
      <c r="C1009" s="6">
        <v>1581623000</v>
      </c>
    </row>
    <row r="1010" spans="1:3" hidden="1">
      <c r="A1010" s="3" t="s">
        <v>28</v>
      </c>
      <c r="B1010" s="3" t="s">
        <v>40</v>
      </c>
      <c r="C1010" s="4">
        <v>1931217000</v>
      </c>
    </row>
    <row r="1011" spans="1:3" hidden="1">
      <c r="A1011" s="5" t="s">
        <v>28</v>
      </c>
      <c r="B1011" s="5" t="s">
        <v>40</v>
      </c>
      <c r="C1011" s="6">
        <v>2147036000</v>
      </c>
    </row>
    <row r="1012" spans="1:3" hidden="1">
      <c r="A1012" s="3" t="s">
        <v>28</v>
      </c>
      <c r="B1012" s="3" t="s">
        <v>40</v>
      </c>
      <c r="C1012" s="4">
        <v>2173334000</v>
      </c>
    </row>
    <row r="1013" spans="1:3" hidden="1">
      <c r="A1013" s="5" t="s">
        <v>31</v>
      </c>
      <c r="B1013" s="5" t="s">
        <v>34</v>
      </c>
      <c r="C1013" s="6">
        <v>122196000000</v>
      </c>
    </row>
    <row r="1014" spans="1:3" hidden="1">
      <c r="A1014" s="3" t="s">
        <v>31</v>
      </c>
      <c r="B1014" s="3" t="s">
        <v>34</v>
      </c>
      <c r="C1014" s="4">
        <v>137392000000</v>
      </c>
    </row>
    <row r="1015" spans="1:3" hidden="1">
      <c r="A1015" s="5" t="s">
        <v>31</v>
      </c>
      <c r="B1015" s="5" t="s">
        <v>34</v>
      </c>
      <c r="C1015" s="6">
        <v>179045000000</v>
      </c>
    </row>
    <row r="1016" spans="1:3" hidden="1">
      <c r="A1016" s="3" t="s">
        <v>31</v>
      </c>
      <c r="B1016" s="3" t="s">
        <v>34</v>
      </c>
      <c r="C1016" s="4">
        <v>190884000000</v>
      </c>
    </row>
    <row r="1017" spans="1:3" hidden="1">
      <c r="A1017" s="5" t="s">
        <v>53</v>
      </c>
      <c r="B1017" s="5" t="s">
        <v>385</v>
      </c>
      <c r="C1017" s="6">
        <v>2730300000</v>
      </c>
    </row>
    <row r="1018" spans="1:3" hidden="1">
      <c r="A1018" s="3" t="s">
        <v>53</v>
      </c>
      <c r="B1018" s="3" t="s">
        <v>385</v>
      </c>
      <c r="C1018" s="4">
        <v>2972500000</v>
      </c>
    </row>
    <row r="1019" spans="1:3" hidden="1">
      <c r="A1019" s="5" t="s">
        <v>53</v>
      </c>
      <c r="B1019" s="5" t="s">
        <v>385</v>
      </c>
      <c r="C1019" s="6">
        <v>3334300000</v>
      </c>
    </row>
    <row r="1020" spans="1:3" hidden="1">
      <c r="A1020" s="3" t="s">
        <v>53</v>
      </c>
      <c r="B1020" s="3" t="s">
        <v>385</v>
      </c>
      <c r="C1020" s="4">
        <v>3484500000</v>
      </c>
    </row>
    <row r="1021" spans="1:3" hidden="1">
      <c r="A1021" s="5" t="s">
        <v>42</v>
      </c>
      <c r="B1021" s="5" t="s">
        <v>130</v>
      </c>
      <c r="C1021" s="6">
        <v>35015000000</v>
      </c>
    </row>
    <row r="1022" spans="1:3" hidden="1">
      <c r="A1022" s="3" t="s">
        <v>42</v>
      </c>
      <c r="B1022" s="3" t="s">
        <v>130</v>
      </c>
      <c r="C1022" s="4">
        <v>35299000000</v>
      </c>
    </row>
    <row r="1023" spans="1:3" hidden="1">
      <c r="A1023" s="5" t="s">
        <v>42</v>
      </c>
      <c r="B1023" s="5" t="s">
        <v>130</v>
      </c>
      <c r="C1023" s="6">
        <v>34244000000</v>
      </c>
    </row>
    <row r="1024" spans="1:3" hidden="1">
      <c r="A1024" s="3" t="s">
        <v>42</v>
      </c>
      <c r="B1024" s="3" t="s">
        <v>130</v>
      </c>
      <c r="C1024" s="4">
        <v>29636000000</v>
      </c>
    </row>
    <row r="1025" spans="1:3" hidden="1">
      <c r="A1025" s="5" t="s">
        <v>53</v>
      </c>
      <c r="B1025" s="5" t="s">
        <v>54</v>
      </c>
      <c r="C1025" s="6">
        <v>68150000000</v>
      </c>
    </row>
    <row r="1026" spans="1:3" hidden="1">
      <c r="A1026" s="3" t="s">
        <v>53</v>
      </c>
      <c r="B1026" s="3" t="s">
        <v>54</v>
      </c>
      <c r="C1026" s="4">
        <v>68199000000</v>
      </c>
    </row>
    <row r="1027" spans="1:3" hidden="1">
      <c r="A1027" s="5" t="s">
        <v>53</v>
      </c>
      <c r="B1027" s="5" t="s">
        <v>54</v>
      </c>
      <c r="C1027" s="6">
        <v>73316000000</v>
      </c>
    </row>
    <row r="1028" spans="1:3" hidden="1">
      <c r="A1028" s="3" t="s">
        <v>53</v>
      </c>
      <c r="B1028" s="3" t="s">
        <v>54</v>
      </c>
      <c r="C1028" s="4">
        <v>69951000000</v>
      </c>
    </row>
    <row r="1029" spans="1:3" hidden="1">
      <c r="A1029" s="5" t="s">
        <v>25</v>
      </c>
      <c r="B1029" s="5" t="s">
        <v>389</v>
      </c>
      <c r="C1029" s="6">
        <v>5787980000</v>
      </c>
    </row>
    <row r="1030" spans="1:3" hidden="1">
      <c r="A1030" s="3" t="s">
        <v>25</v>
      </c>
      <c r="B1030" s="3" t="s">
        <v>389</v>
      </c>
      <c r="C1030" s="4">
        <v>7348754000</v>
      </c>
    </row>
    <row r="1031" spans="1:3" hidden="1">
      <c r="A1031" s="5" t="s">
        <v>25</v>
      </c>
      <c r="B1031" s="5" t="s">
        <v>389</v>
      </c>
      <c r="C1031" s="6">
        <v>7803446000</v>
      </c>
    </row>
    <row r="1032" spans="1:3" hidden="1">
      <c r="A1032" s="3" t="s">
        <v>25</v>
      </c>
      <c r="B1032" s="3" t="s">
        <v>389</v>
      </c>
      <c r="C1032" s="4">
        <v>8071563000</v>
      </c>
    </row>
    <row r="1033" spans="1:3" hidden="1">
      <c r="A1033" s="5" t="s">
        <v>42</v>
      </c>
      <c r="B1033" s="5" t="s">
        <v>130</v>
      </c>
      <c r="C1033" s="6">
        <v>3901300000</v>
      </c>
    </row>
    <row r="1034" spans="1:3" hidden="1">
      <c r="A1034" s="3" t="s">
        <v>42</v>
      </c>
      <c r="B1034" s="3" t="s">
        <v>130</v>
      </c>
      <c r="C1034" s="4">
        <v>4200700000</v>
      </c>
    </row>
    <row r="1035" spans="1:3" hidden="1">
      <c r="A1035" s="5" t="s">
        <v>42</v>
      </c>
      <c r="B1035" s="5" t="s">
        <v>130</v>
      </c>
      <c r="C1035" s="6">
        <v>4409300000</v>
      </c>
    </row>
    <row r="1036" spans="1:3" hidden="1">
      <c r="A1036" s="3" t="s">
        <v>42</v>
      </c>
      <c r="B1036" s="3" t="s">
        <v>130</v>
      </c>
      <c r="C1036" s="4">
        <v>4071300000</v>
      </c>
    </row>
    <row r="1037" spans="1:3" hidden="1">
      <c r="A1037" s="5" t="s">
        <v>42</v>
      </c>
      <c r="B1037" s="5" t="s">
        <v>130</v>
      </c>
      <c r="C1037" s="6">
        <v>4123400000</v>
      </c>
    </row>
    <row r="1038" spans="1:3" hidden="1">
      <c r="A1038" s="3" t="s">
        <v>42</v>
      </c>
      <c r="B1038" s="3" t="s">
        <v>130</v>
      </c>
      <c r="C1038" s="4">
        <v>4243200000</v>
      </c>
    </row>
    <row r="1039" spans="1:3" hidden="1">
      <c r="A1039" s="5" t="s">
        <v>42</v>
      </c>
      <c r="B1039" s="5" t="s">
        <v>130</v>
      </c>
      <c r="C1039" s="6">
        <v>4296300000</v>
      </c>
    </row>
    <row r="1040" spans="1:3" hidden="1">
      <c r="A1040" s="3" t="s">
        <v>42</v>
      </c>
      <c r="B1040" s="3" t="s">
        <v>130</v>
      </c>
      <c r="C1040" s="4">
        <v>4411500000</v>
      </c>
    </row>
    <row r="1041" spans="1:3" hidden="1">
      <c r="A1041" s="5" t="s">
        <v>65</v>
      </c>
      <c r="B1041" s="5" t="s">
        <v>393</v>
      </c>
      <c r="C1041" s="6">
        <v>2031901000</v>
      </c>
    </row>
    <row r="1042" spans="1:3" hidden="1">
      <c r="A1042" s="3" t="s">
        <v>65</v>
      </c>
      <c r="B1042" s="3" t="s">
        <v>393</v>
      </c>
      <c r="C1042" s="4">
        <v>2155551000</v>
      </c>
    </row>
    <row r="1043" spans="1:3" hidden="1">
      <c r="A1043" s="5" t="s">
        <v>65</v>
      </c>
      <c r="B1043" s="5" t="s">
        <v>393</v>
      </c>
      <c r="C1043" s="6">
        <v>2957951000</v>
      </c>
    </row>
    <row r="1044" spans="1:3" hidden="1">
      <c r="A1044" s="3" t="s">
        <v>65</v>
      </c>
      <c r="B1044" s="3" t="s">
        <v>393</v>
      </c>
      <c r="C1044" s="4">
        <v>3539570000</v>
      </c>
    </row>
    <row r="1045" spans="1:3" hidden="1">
      <c r="A1045" s="5" t="s">
        <v>53</v>
      </c>
      <c r="B1045" s="5" t="s">
        <v>395</v>
      </c>
      <c r="C1045" s="6">
        <v>11924000000</v>
      </c>
    </row>
    <row r="1046" spans="1:3" hidden="1">
      <c r="A1046" s="3" t="s">
        <v>53</v>
      </c>
      <c r="B1046" s="3" t="s">
        <v>395</v>
      </c>
      <c r="C1046" s="4">
        <v>12261000000</v>
      </c>
    </row>
    <row r="1047" spans="1:3" hidden="1">
      <c r="A1047" s="5" t="s">
        <v>53</v>
      </c>
      <c r="B1047" s="5" t="s">
        <v>395</v>
      </c>
      <c r="C1047" s="6">
        <v>12951000000</v>
      </c>
    </row>
    <row r="1048" spans="1:3" hidden="1">
      <c r="A1048" s="3" t="s">
        <v>53</v>
      </c>
      <c r="B1048" s="3" t="s">
        <v>395</v>
      </c>
      <c r="C1048" s="4">
        <v>12893000000</v>
      </c>
    </row>
    <row r="1049" spans="1:3" hidden="1">
      <c r="A1049" s="5" t="s">
        <v>19</v>
      </c>
      <c r="B1049" s="5" t="s">
        <v>170</v>
      </c>
      <c r="C1049" s="6">
        <v>30871000000</v>
      </c>
    </row>
    <row r="1050" spans="1:3" hidden="1">
      <c r="A1050" s="3" t="s">
        <v>19</v>
      </c>
      <c r="B1050" s="3" t="s">
        <v>170</v>
      </c>
      <c r="C1050" s="4">
        <v>31821000000</v>
      </c>
    </row>
    <row r="1051" spans="1:3" hidden="1">
      <c r="A1051" s="5" t="s">
        <v>19</v>
      </c>
      <c r="B1051" s="5" t="s">
        <v>170</v>
      </c>
      <c r="C1051" s="6">
        <v>30274000000</v>
      </c>
    </row>
    <row r="1052" spans="1:3" hidden="1">
      <c r="A1052" s="3" t="s">
        <v>19</v>
      </c>
      <c r="B1052" s="3" t="s">
        <v>170</v>
      </c>
      <c r="C1052" s="4">
        <v>30109000000</v>
      </c>
    </row>
    <row r="1053" spans="1:3" hidden="1">
      <c r="A1053" s="5" t="s">
        <v>42</v>
      </c>
      <c r="B1053" s="5" t="s">
        <v>220</v>
      </c>
      <c r="C1053" s="6">
        <v>2060702000</v>
      </c>
    </row>
    <row r="1054" spans="1:3" hidden="1">
      <c r="A1054" s="3" t="s">
        <v>42</v>
      </c>
      <c r="B1054" s="3" t="s">
        <v>220</v>
      </c>
      <c r="C1054" s="4">
        <v>2246428000</v>
      </c>
    </row>
    <row r="1055" spans="1:3" hidden="1">
      <c r="A1055" s="5" t="s">
        <v>42</v>
      </c>
      <c r="B1055" s="5" t="s">
        <v>220</v>
      </c>
      <c r="C1055" s="6">
        <v>2464867000</v>
      </c>
    </row>
    <row r="1056" spans="1:3" hidden="1">
      <c r="A1056" s="3" t="s">
        <v>42</v>
      </c>
      <c r="B1056" s="3" t="s">
        <v>220</v>
      </c>
      <c r="C1056" s="4">
        <v>2722564000</v>
      </c>
    </row>
    <row r="1057" spans="1:3" hidden="1">
      <c r="A1057" s="5" t="s">
        <v>42</v>
      </c>
      <c r="B1057" s="5" t="s">
        <v>399</v>
      </c>
      <c r="C1057" s="6">
        <v>24618000000</v>
      </c>
    </row>
    <row r="1058" spans="1:3" hidden="1">
      <c r="A1058" s="3" t="s">
        <v>42</v>
      </c>
      <c r="B1058" s="3" t="s">
        <v>399</v>
      </c>
      <c r="C1058" s="4">
        <v>24466000000</v>
      </c>
    </row>
    <row r="1059" spans="1:3" hidden="1">
      <c r="A1059" s="5" t="s">
        <v>42</v>
      </c>
      <c r="B1059" s="5" t="s">
        <v>399</v>
      </c>
      <c r="C1059" s="6">
        <v>24522000000</v>
      </c>
    </row>
    <row r="1060" spans="1:3" hidden="1">
      <c r="A1060" s="3" t="s">
        <v>42</v>
      </c>
      <c r="B1060" s="3" t="s">
        <v>399</v>
      </c>
      <c r="C1060" s="4">
        <v>25434000000</v>
      </c>
    </row>
    <row r="1061" spans="1:3" hidden="1">
      <c r="A1061" s="5" t="s">
        <v>65</v>
      </c>
      <c r="B1061" s="5" t="s">
        <v>144</v>
      </c>
      <c r="C1061" s="6">
        <v>14861000000</v>
      </c>
    </row>
    <row r="1062" spans="1:3" hidden="1">
      <c r="A1062" s="3" t="s">
        <v>65</v>
      </c>
      <c r="B1062" s="3" t="s">
        <v>144</v>
      </c>
      <c r="C1062" s="4">
        <v>15855000000</v>
      </c>
    </row>
    <row r="1063" spans="1:3" hidden="1">
      <c r="A1063" s="5" t="s">
        <v>65</v>
      </c>
      <c r="B1063" s="5" t="s">
        <v>144</v>
      </c>
      <c r="C1063" s="6">
        <v>15001000000</v>
      </c>
    </row>
    <row r="1064" spans="1:3" hidden="1">
      <c r="A1064" s="3" t="s">
        <v>65</v>
      </c>
      <c r="B1064" s="3" t="s">
        <v>144</v>
      </c>
      <c r="C1064" s="4">
        <v>13502000000</v>
      </c>
    </row>
    <row r="1065" spans="1:3" hidden="1">
      <c r="A1065" s="5" t="s">
        <v>65</v>
      </c>
      <c r="B1065" s="5" t="s">
        <v>144</v>
      </c>
      <c r="C1065" s="6">
        <v>9974100000</v>
      </c>
    </row>
    <row r="1066" spans="1:3" hidden="1">
      <c r="A1066" s="3" t="s">
        <v>65</v>
      </c>
      <c r="B1066" s="3" t="s">
        <v>144</v>
      </c>
      <c r="C1066" s="4">
        <v>9055800000</v>
      </c>
    </row>
    <row r="1067" spans="1:3" hidden="1">
      <c r="A1067" s="5" t="s">
        <v>65</v>
      </c>
      <c r="B1067" s="5" t="s">
        <v>144</v>
      </c>
      <c r="C1067" s="6">
        <v>8895300000</v>
      </c>
    </row>
    <row r="1068" spans="1:3" hidden="1">
      <c r="A1068" s="3" t="s">
        <v>65</v>
      </c>
      <c r="B1068" s="3" t="s">
        <v>144</v>
      </c>
      <c r="C1068" s="4">
        <v>7162800000</v>
      </c>
    </row>
    <row r="1069" spans="1:3">
      <c r="A1069" s="5" t="s">
        <v>89</v>
      </c>
      <c r="B1069" s="5" t="s">
        <v>347</v>
      </c>
      <c r="C1069" s="6">
        <v>82243000000</v>
      </c>
    </row>
    <row r="1070" spans="1:3">
      <c r="A1070" s="3" t="s">
        <v>89</v>
      </c>
      <c r="B1070" s="3" t="s">
        <v>347</v>
      </c>
      <c r="C1070" s="4">
        <v>100160000000</v>
      </c>
    </row>
    <row r="1071" spans="1:3">
      <c r="A1071" s="5" t="s">
        <v>89</v>
      </c>
      <c r="B1071" s="5" t="s">
        <v>347</v>
      </c>
      <c r="C1071" s="6">
        <v>97817000000</v>
      </c>
    </row>
    <row r="1072" spans="1:3">
      <c r="A1072" s="3" t="s">
        <v>89</v>
      </c>
      <c r="B1072" s="3" t="s">
        <v>347</v>
      </c>
      <c r="C1072" s="4">
        <v>72051000000</v>
      </c>
    </row>
    <row r="1073" spans="1:3" hidden="1">
      <c r="A1073" s="5" t="s">
        <v>31</v>
      </c>
      <c r="B1073" s="5" t="s">
        <v>32</v>
      </c>
      <c r="C1073" s="6">
        <v>47267000000</v>
      </c>
    </row>
    <row r="1074" spans="1:3" hidden="1">
      <c r="A1074" s="3" t="s">
        <v>31</v>
      </c>
      <c r="B1074" s="3" t="s">
        <v>32</v>
      </c>
      <c r="C1074" s="4">
        <v>44033000000</v>
      </c>
    </row>
    <row r="1075" spans="1:3" hidden="1">
      <c r="A1075" s="5" t="s">
        <v>31</v>
      </c>
      <c r="B1075" s="5" t="s">
        <v>32</v>
      </c>
      <c r="C1075" s="6">
        <v>42237000000</v>
      </c>
    </row>
    <row r="1076" spans="1:3" hidden="1">
      <c r="A1076" s="3" t="s">
        <v>31</v>
      </c>
      <c r="B1076" s="3" t="s">
        <v>32</v>
      </c>
      <c r="C1076" s="4">
        <v>39498000000</v>
      </c>
    </row>
    <row r="1077" spans="1:3">
      <c r="A1077" s="5" t="s">
        <v>89</v>
      </c>
      <c r="B1077" s="5" t="s">
        <v>90</v>
      </c>
      <c r="C1077" s="6">
        <v>11966000000</v>
      </c>
    </row>
    <row r="1078" spans="1:3">
      <c r="A1078" s="3" t="s">
        <v>89</v>
      </c>
      <c r="B1078" s="3" t="s">
        <v>90</v>
      </c>
      <c r="C1078" s="4">
        <v>11325000000</v>
      </c>
    </row>
    <row r="1079" spans="1:3">
      <c r="A1079" s="5" t="s">
        <v>89</v>
      </c>
      <c r="B1079" s="5" t="s">
        <v>90</v>
      </c>
      <c r="C1079" s="6">
        <v>10846000000</v>
      </c>
    </row>
    <row r="1080" spans="1:3">
      <c r="A1080" s="3" t="s">
        <v>89</v>
      </c>
      <c r="B1080" s="3" t="s">
        <v>90</v>
      </c>
      <c r="C1080" s="4">
        <v>5522000000</v>
      </c>
    </row>
    <row r="1081" spans="1:3" hidden="1">
      <c r="A1081" s="5" t="s">
        <v>28</v>
      </c>
      <c r="B1081" s="5" t="s">
        <v>406</v>
      </c>
      <c r="C1081" s="6">
        <v>77849000000</v>
      </c>
    </row>
    <row r="1082" spans="1:3" hidden="1">
      <c r="A1082" s="3" t="s">
        <v>28</v>
      </c>
      <c r="B1082" s="3" t="s">
        <v>406</v>
      </c>
      <c r="C1082" s="4">
        <v>86833000000</v>
      </c>
    </row>
    <row r="1083" spans="1:3" hidden="1">
      <c r="A1083" s="5" t="s">
        <v>28</v>
      </c>
      <c r="B1083" s="5" t="s">
        <v>406</v>
      </c>
      <c r="C1083" s="6">
        <v>93580000000</v>
      </c>
    </row>
    <row r="1084" spans="1:3" hidden="1">
      <c r="A1084" s="3" t="s">
        <v>28</v>
      </c>
      <c r="B1084" s="3" t="s">
        <v>406</v>
      </c>
      <c r="C1084" s="4">
        <v>85320000000</v>
      </c>
    </row>
    <row r="1085" spans="1:3" hidden="1">
      <c r="A1085" s="5" t="s">
        <v>53</v>
      </c>
      <c r="B1085" s="5" t="s">
        <v>111</v>
      </c>
      <c r="C1085" s="6">
        <v>4608955000</v>
      </c>
    </row>
    <row r="1086" spans="1:3" hidden="1">
      <c r="A1086" s="3" t="s">
        <v>53</v>
      </c>
      <c r="B1086" s="3" t="s">
        <v>111</v>
      </c>
      <c r="C1086" s="4">
        <v>4822539000</v>
      </c>
    </row>
    <row r="1087" spans="1:3" hidden="1">
      <c r="A1087" s="5" t="s">
        <v>53</v>
      </c>
      <c r="B1087" s="5" t="s">
        <v>111</v>
      </c>
      <c r="C1087" s="6">
        <v>4736150000</v>
      </c>
    </row>
    <row r="1088" spans="1:3" hidden="1">
      <c r="A1088" s="3" t="s">
        <v>53</v>
      </c>
      <c r="B1088" s="3" t="s">
        <v>111</v>
      </c>
      <c r="C1088" s="4">
        <v>4995881000</v>
      </c>
    </row>
    <row r="1089" spans="1:3" hidden="1">
      <c r="A1089" s="5" t="s">
        <v>31</v>
      </c>
      <c r="B1089" s="5" t="s">
        <v>324</v>
      </c>
      <c r="C1089" s="6">
        <v>2378972000</v>
      </c>
    </row>
    <row r="1090" spans="1:3" hidden="1">
      <c r="A1090" s="3" t="s">
        <v>31</v>
      </c>
      <c r="B1090" s="3" t="s">
        <v>324</v>
      </c>
      <c r="C1090" s="4">
        <v>2485983000</v>
      </c>
    </row>
    <row r="1091" spans="1:3" hidden="1">
      <c r="A1091" s="5" t="s">
        <v>31</v>
      </c>
      <c r="B1091" s="5" t="s">
        <v>324</v>
      </c>
      <c r="C1091" s="6">
        <v>2395447000</v>
      </c>
    </row>
    <row r="1092" spans="1:3" hidden="1">
      <c r="A1092" s="3" t="s">
        <v>31</v>
      </c>
      <c r="B1092" s="3" t="s">
        <v>324</v>
      </c>
      <c r="C1092" s="4">
        <v>2508257000</v>
      </c>
    </row>
    <row r="1093" spans="1:3" hidden="1">
      <c r="A1093" s="5" t="s">
        <v>28</v>
      </c>
      <c r="B1093" s="5" t="s">
        <v>40</v>
      </c>
      <c r="C1093" s="6">
        <v>9073000000</v>
      </c>
    </row>
    <row r="1094" spans="1:3" hidden="1">
      <c r="A1094" s="3" t="s">
        <v>28</v>
      </c>
      <c r="B1094" s="3" t="s">
        <v>40</v>
      </c>
      <c r="C1094" s="4">
        <v>16358000000</v>
      </c>
    </row>
    <row r="1095" spans="1:3" hidden="1">
      <c r="A1095" s="5" t="s">
        <v>28</v>
      </c>
      <c r="B1095" s="5" t="s">
        <v>40</v>
      </c>
      <c r="C1095" s="6">
        <v>16192000000</v>
      </c>
    </row>
    <row r="1096" spans="1:3" hidden="1">
      <c r="A1096" s="3" t="s">
        <v>28</v>
      </c>
      <c r="B1096" s="3" t="s">
        <v>40</v>
      </c>
      <c r="C1096" s="4">
        <v>12399000000</v>
      </c>
    </row>
    <row r="1097" spans="1:3">
      <c r="A1097" s="5" t="s">
        <v>89</v>
      </c>
      <c r="B1097" s="5" t="s">
        <v>150</v>
      </c>
      <c r="C1097" s="6">
        <v>4608563000</v>
      </c>
    </row>
    <row r="1098" spans="1:3">
      <c r="A1098" s="3" t="s">
        <v>89</v>
      </c>
      <c r="B1098" s="3" t="s">
        <v>150</v>
      </c>
      <c r="C1098" s="4">
        <v>5312686000</v>
      </c>
    </row>
    <row r="1099" spans="1:3">
      <c r="A1099" s="5" t="s">
        <v>89</v>
      </c>
      <c r="B1099" s="5" t="s">
        <v>150</v>
      </c>
      <c r="C1099" s="6">
        <v>5288933000</v>
      </c>
    </row>
    <row r="1100" spans="1:3">
      <c r="A1100" s="3" t="s">
        <v>89</v>
      </c>
      <c r="B1100" s="3" t="s">
        <v>150</v>
      </c>
      <c r="C1100" s="4">
        <v>2787116000</v>
      </c>
    </row>
    <row r="1101" spans="1:3" hidden="1">
      <c r="A1101" s="5" t="s">
        <v>31</v>
      </c>
      <c r="B1101" s="5" t="s">
        <v>32</v>
      </c>
      <c r="C1101" s="6">
        <v>7719600000</v>
      </c>
    </row>
    <row r="1102" spans="1:3" hidden="1">
      <c r="A1102" s="3" t="s">
        <v>31</v>
      </c>
      <c r="B1102" s="3" t="s">
        <v>32</v>
      </c>
      <c r="C1102" s="4">
        <v>9429300000</v>
      </c>
    </row>
    <row r="1103" spans="1:3">
      <c r="A1103" s="5" t="s">
        <v>89</v>
      </c>
      <c r="B1103" s="5" t="s">
        <v>90</v>
      </c>
      <c r="C1103" s="6">
        <v>5015000000</v>
      </c>
    </row>
    <row r="1104" spans="1:3">
      <c r="A1104" s="3" t="s">
        <v>89</v>
      </c>
      <c r="B1104" s="3" t="s">
        <v>90</v>
      </c>
      <c r="C1104" s="4">
        <v>5115000000</v>
      </c>
    </row>
    <row r="1105" spans="1:3">
      <c r="A1105" s="5" t="s">
        <v>89</v>
      </c>
      <c r="B1105" s="5" t="s">
        <v>90</v>
      </c>
      <c r="C1105" s="6">
        <v>3183000000</v>
      </c>
    </row>
    <row r="1106" spans="1:3">
      <c r="A1106" s="3" t="s">
        <v>89</v>
      </c>
      <c r="B1106" s="3" t="s">
        <v>90</v>
      </c>
      <c r="C1106" s="4">
        <v>3491000000</v>
      </c>
    </row>
    <row r="1107" spans="1:3" hidden="1">
      <c r="A1107" s="5" t="s">
        <v>53</v>
      </c>
      <c r="B1107" s="5" t="s">
        <v>385</v>
      </c>
      <c r="C1107" s="6">
        <v>3023000000</v>
      </c>
    </row>
    <row r="1108" spans="1:3" hidden="1">
      <c r="A1108" s="3" t="s">
        <v>53</v>
      </c>
      <c r="B1108" s="3" t="s">
        <v>385</v>
      </c>
      <c r="C1108" s="4">
        <v>3100000000</v>
      </c>
    </row>
    <row r="1109" spans="1:3" hidden="1">
      <c r="A1109" s="5" t="s">
        <v>53</v>
      </c>
      <c r="B1109" s="5" t="s">
        <v>385</v>
      </c>
      <c r="C1109" s="6">
        <v>3383000000</v>
      </c>
    </row>
    <row r="1110" spans="1:3" hidden="1">
      <c r="A1110" s="3" t="s">
        <v>53</v>
      </c>
      <c r="B1110" s="3" t="s">
        <v>385</v>
      </c>
      <c r="C1110" s="4">
        <v>3292000000</v>
      </c>
    </row>
    <row r="1111" spans="1:3" hidden="1">
      <c r="A1111" s="5" t="s">
        <v>48</v>
      </c>
      <c r="B1111" s="5" t="s">
        <v>49</v>
      </c>
      <c r="C1111" s="6">
        <v>14256000000</v>
      </c>
    </row>
    <row r="1112" spans="1:3" hidden="1">
      <c r="A1112" s="3" t="s">
        <v>48</v>
      </c>
      <c r="B1112" s="3" t="s">
        <v>49</v>
      </c>
      <c r="C1112" s="4">
        <v>15136000000</v>
      </c>
    </row>
    <row r="1113" spans="1:3" hidden="1">
      <c r="A1113" s="5" t="s">
        <v>48</v>
      </c>
      <c r="B1113" s="5" t="s">
        <v>49</v>
      </c>
      <c r="C1113" s="6">
        <v>17021000000</v>
      </c>
    </row>
    <row r="1114" spans="1:3" hidden="1">
      <c r="A1114" s="3" t="s">
        <v>48</v>
      </c>
      <c r="B1114" s="3" t="s">
        <v>49</v>
      </c>
      <c r="C1114" s="4">
        <v>17486000000</v>
      </c>
    </row>
    <row r="1115" spans="1:3" hidden="1">
      <c r="A1115" s="5" t="s">
        <v>65</v>
      </c>
      <c r="B1115" s="5" t="s">
        <v>416</v>
      </c>
      <c r="C1115" s="6">
        <v>9964000000</v>
      </c>
    </row>
    <row r="1116" spans="1:3" hidden="1">
      <c r="A1116" s="3" t="s">
        <v>65</v>
      </c>
      <c r="B1116" s="3" t="s">
        <v>416</v>
      </c>
      <c r="C1116" s="4">
        <v>8414000000</v>
      </c>
    </row>
    <row r="1117" spans="1:3" hidden="1">
      <c r="A1117" s="5" t="s">
        <v>65</v>
      </c>
      <c r="B1117" s="5" t="s">
        <v>416</v>
      </c>
      <c r="C1117" s="6">
        <v>7292000000</v>
      </c>
    </row>
    <row r="1118" spans="1:3" hidden="1">
      <c r="A1118" s="3" t="s">
        <v>65</v>
      </c>
      <c r="B1118" s="3" t="s">
        <v>416</v>
      </c>
      <c r="C1118" s="4">
        <v>7729000000</v>
      </c>
    </row>
    <row r="1119" spans="1:3" hidden="1">
      <c r="A1119" s="5" t="s">
        <v>28</v>
      </c>
      <c r="B1119" s="5" t="s">
        <v>63</v>
      </c>
      <c r="C1119" s="6">
        <v>4374562000</v>
      </c>
    </row>
    <row r="1120" spans="1:3" hidden="1">
      <c r="A1120" s="3" t="s">
        <v>28</v>
      </c>
      <c r="B1120" s="3" t="s">
        <v>63</v>
      </c>
      <c r="C1120" s="4">
        <v>5504656000</v>
      </c>
    </row>
    <row r="1121" spans="1:3" hidden="1">
      <c r="A1121" s="5" t="s">
        <v>28</v>
      </c>
      <c r="B1121" s="5" t="s">
        <v>63</v>
      </c>
      <c r="C1121" s="6">
        <v>6779511000</v>
      </c>
    </row>
    <row r="1122" spans="1:3" hidden="1">
      <c r="A1122" s="3" t="s">
        <v>28</v>
      </c>
      <c r="B1122" s="3" t="s">
        <v>63</v>
      </c>
      <c r="C1122" s="4">
        <v>8830669000</v>
      </c>
    </row>
    <row r="1123" spans="1:3">
      <c r="A1123" s="5" t="s">
        <v>89</v>
      </c>
      <c r="B1123" s="5" t="s">
        <v>90</v>
      </c>
      <c r="C1123" s="6">
        <v>1562000000</v>
      </c>
    </row>
    <row r="1124" spans="1:3">
      <c r="A1124" s="3" t="s">
        <v>89</v>
      </c>
      <c r="B1124" s="3" t="s">
        <v>90</v>
      </c>
      <c r="C1124" s="4">
        <v>1857000000</v>
      </c>
    </row>
    <row r="1125" spans="1:3">
      <c r="A1125" s="5" t="s">
        <v>89</v>
      </c>
      <c r="B1125" s="5" t="s">
        <v>90</v>
      </c>
      <c r="C1125" s="6">
        <v>2288000000</v>
      </c>
    </row>
    <row r="1126" spans="1:3">
      <c r="A1126" s="3" t="s">
        <v>89</v>
      </c>
      <c r="B1126" s="3" t="s">
        <v>90</v>
      </c>
      <c r="C1126" s="4">
        <v>1557000000</v>
      </c>
    </row>
    <row r="1127" spans="1:3" hidden="1">
      <c r="A1127" s="5" t="s">
        <v>25</v>
      </c>
      <c r="B1127" s="5" t="s">
        <v>295</v>
      </c>
      <c r="C1127" s="6">
        <v>25313000000</v>
      </c>
    </row>
    <row r="1128" spans="1:3" hidden="1">
      <c r="A1128" s="3" t="s">
        <v>25</v>
      </c>
      <c r="B1128" s="3" t="s">
        <v>295</v>
      </c>
      <c r="C1128" s="4">
        <v>27799000000</v>
      </c>
    </row>
    <row r="1129" spans="1:3" hidden="1">
      <c r="A1129" s="5" t="s">
        <v>25</v>
      </c>
      <c r="B1129" s="5" t="s">
        <v>295</v>
      </c>
      <c r="C1129" s="6">
        <v>30601000000</v>
      </c>
    </row>
    <row r="1130" spans="1:3" hidden="1">
      <c r="A1130" s="3" t="s">
        <v>25</v>
      </c>
      <c r="B1130" s="3" t="s">
        <v>295</v>
      </c>
      <c r="C1130" s="4">
        <v>32376000000</v>
      </c>
    </row>
    <row r="1131" spans="1:3" hidden="1">
      <c r="A1131" s="5" t="s">
        <v>19</v>
      </c>
      <c r="B1131" s="5" t="s">
        <v>217</v>
      </c>
      <c r="C1131" s="6">
        <v>5703000000</v>
      </c>
    </row>
    <row r="1132" spans="1:3" hidden="1">
      <c r="A1132" s="3" t="s">
        <v>19</v>
      </c>
      <c r="B1132" s="3" t="s">
        <v>217</v>
      </c>
      <c r="C1132" s="4">
        <v>6288000000</v>
      </c>
    </row>
    <row r="1133" spans="1:3" hidden="1">
      <c r="A1133" s="5" t="s">
        <v>19</v>
      </c>
      <c r="B1133" s="5" t="s">
        <v>217</v>
      </c>
      <c r="C1133" s="6">
        <v>6172000000</v>
      </c>
    </row>
    <row r="1134" spans="1:3" hidden="1">
      <c r="A1134" s="3" t="s">
        <v>19</v>
      </c>
      <c r="B1134" s="3" t="s">
        <v>217</v>
      </c>
      <c r="C1134" s="4">
        <v>6309000000</v>
      </c>
    </row>
    <row r="1135" spans="1:3">
      <c r="A1135" s="5" t="s">
        <v>89</v>
      </c>
      <c r="B1135" s="5" t="s">
        <v>120</v>
      </c>
      <c r="C1135" s="6">
        <v>17194000000</v>
      </c>
    </row>
    <row r="1136" spans="1:3">
      <c r="A1136" s="3" t="s">
        <v>89</v>
      </c>
      <c r="B1136" s="3" t="s">
        <v>120</v>
      </c>
      <c r="C1136" s="4">
        <v>19221000000</v>
      </c>
    </row>
    <row r="1137" spans="1:3">
      <c r="A1137" s="5" t="s">
        <v>89</v>
      </c>
      <c r="B1137" s="5" t="s">
        <v>120</v>
      </c>
      <c r="C1137" s="6">
        <v>21440000000</v>
      </c>
    </row>
    <row r="1138" spans="1:3">
      <c r="A1138" s="3" t="s">
        <v>89</v>
      </c>
      <c r="B1138" s="3" t="s">
        <v>120</v>
      </c>
      <c r="C1138" s="4">
        <v>14757000000</v>
      </c>
    </row>
    <row r="1139" spans="1:3" hidden="1">
      <c r="A1139" s="5" t="s">
        <v>19</v>
      </c>
      <c r="B1139" s="5" t="s">
        <v>184</v>
      </c>
      <c r="C1139" s="6">
        <v>11245000000</v>
      </c>
    </row>
    <row r="1140" spans="1:3" hidden="1">
      <c r="A1140" s="3" t="s">
        <v>19</v>
      </c>
      <c r="B1140" s="3" t="s">
        <v>184</v>
      </c>
      <c r="C1140" s="4">
        <v>11624000000</v>
      </c>
    </row>
    <row r="1141" spans="1:3" hidden="1">
      <c r="A1141" s="5" t="s">
        <v>19</v>
      </c>
      <c r="B1141" s="5" t="s">
        <v>184</v>
      </c>
      <c r="C1141" s="6">
        <v>10511000000</v>
      </c>
    </row>
    <row r="1142" spans="1:3" hidden="1">
      <c r="A1142" s="3" t="s">
        <v>19</v>
      </c>
      <c r="B1142" s="3" t="s">
        <v>184</v>
      </c>
      <c r="C1142" s="4">
        <v>9888000000</v>
      </c>
    </row>
    <row r="1143" spans="1:3" hidden="1">
      <c r="A1143" s="5" t="s">
        <v>28</v>
      </c>
      <c r="B1143" s="5" t="s">
        <v>63</v>
      </c>
      <c r="C1143" s="6">
        <v>6332400000</v>
      </c>
    </row>
    <row r="1144" spans="1:3" hidden="1">
      <c r="A1144" s="3" t="s">
        <v>28</v>
      </c>
      <c r="B1144" s="3" t="s">
        <v>63</v>
      </c>
      <c r="C1144" s="4">
        <v>6325000000</v>
      </c>
    </row>
    <row r="1145" spans="1:3" hidden="1">
      <c r="A1145" s="5" t="s">
        <v>28</v>
      </c>
      <c r="B1145" s="5" t="s">
        <v>63</v>
      </c>
      <c r="C1145" s="6">
        <v>6123000000</v>
      </c>
    </row>
    <row r="1146" spans="1:3" hidden="1">
      <c r="A1146" s="3" t="s">
        <v>28</v>
      </c>
      <c r="B1146" s="3" t="s">
        <v>63</v>
      </c>
      <c r="C1146" s="4">
        <v>5546000000</v>
      </c>
    </row>
    <row r="1147" spans="1:3" hidden="1">
      <c r="A1147" s="5" t="s">
        <v>65</v>
      </c>
      <c r="B1147" s="5" t="s">
        <v>425</v>
      </c>
      <c r="C1147" s="6">
        <v>19429273000</v>
      </c>
    </row>
    <row r="1148" spans="1:3" hidden="1">
      <c r="A1148" s="3" t="s">
        <v>65</v>
      </c>
      <c r="B1148" s="3" t="s">
        <v>425</v>
      </c>
      <c r="C1148" s="4">
        <v>19052046000</v>
      </c>
    </row>
    <row r="1149" spans="1:3" hidden="1">
      <c r="A1149" s="5" t="s">
        <v>65</v>
      </c>
      <c r="B1149" s="5" t="s">
        <v>425</v>
      </c>
      <c r="C1149" s="6">
        <v>21105141000</v>
      </c>
    </row>
    <row r="1150" spans="1:3" hidden="1">
      <c r="A1150" s="3" t="s">
        <v>65</v>
      </c>
      <c r="B1150" s="3" t="s">
        <v>425</v>
      </c>
      <c r="C1150" s="4">
        <v>16439276000</v>
      </c>
    </row>
    <row r="1151" spans="1:3" hidden="1">
      <c r="A1151" s="5" t="s">
        <v>28</v>
      </c>
      <c r="B1151" s="5" t="s">
        <v>40</v>
      </c>
      <c r="C1151" s="6">
        <v>4280159000</v>
      </c>
    </row>
    <row r="1152" spans="1:3" hidden="1">
      <c r="A1152" s="3" t="s">
        <v>28</v>
      </c>
      <c r="B1152" s="3" t="s">
        <v>40</v>
      </c>
      <c r="C1152" s="4">
        <v>4130000000</v>
      </c>
    </row>
    <row r="1153" spans="1:3" hidden="1">
      <c r="A1153" s="5" t="s">
        <v>28</v>
      </c>
      <c r="B1153" s="5" t="s">
        <v>40</v>
      </c>
      <c r="C1153" s="6">
        <v>4682000000</v>
      </c>
    </row>
    <row r="1154" spans="1:3" hidden="1">
      <c r="A1154" s="3" t="s">
        <v>28</v>
      </c>
      <c r="B1154" s="3" t="s">
        <v>40</v>
      </c>
      <c r="C1154" s="4">
        <v>5010000000</v>
      </c>
    </row>
    <row r="1155" spans="1:3" hidden="1">
      <c r="A1155" s="5" t="s">
        <v>25</v>
      </c>
      <c r="B1155" s="5" t="s">
        <v>428</v>
      </c>
      <c r="C1155" s="6">
        <v>5508500000</v>
      </c>
    </row>
    <row r="1156" spans="1:3" hidden="1">
      <c r="A1156" s="3" t="s">
        <v>25</v>
      </c>
      <c r="B1156" s="3" t="s">
        <v>428</v>
      </c>
      <c r="C1156" s="4">
        <v>5607000000</v>
      </c>
    </row>
    <row r="1157" spans="1:3" hidden="1">
      <c r="A1157" s="5" t="s">
        <v>25</v>
      </c>
      <c r="B1157" s="5" t="s">
        <v>428</v>
      </c>
      <c r="C1157" s="6">
        <v>5727000000</v>
      </c>
    </row>
    <row r="1158" spans="1:3" hidden="1">
      <c r="A1158" s="3" t="s">
        <v>25</v>
      </c>
      <c r="B1158" s="3" t="s">
        <v>428</v>
      </c>
      <c r="C1158" s="4">
        <v>5915700000</v>
      </c>
    </row>
    <row r="1159" spans="1:3" hidden="1">
      <c r="A1159" s="5" t="s">
        <v>58</v>
      </c>
      <c r="B1159" s="5" t="s">
        <v>271</v>
      </c>
      <c r="C1159" s="6">
        <v>484581000</v>
      </c>
    </row>
    <row r="1160" spans="1:3" hidden="1">
      <c r="A1160" s="3" t="s">
        <v>58</v>
      </c>
      <c r="B1160" s="3" t="s">
        <v>271</v>
      </c>
      <c r="C1160" s="4">
        <v>780209000</v>
      </c>
    </row>
    <row r="1161" spans="1:3" hidden="1">
      <c r="A1161" s="5" t="s">
        <v>58</v>
      </c>
      <c r="B1161" s="5" t="s">
        <v>271</v>
      </c>
      <c r="C1161" s="6">
        <v>933505000</v>
      </c>
    </row>
    <row r="1162" spans="1:3" hidden="1">
      <c r="A1162" s="3" t="s">
        <v>58</v>
      </c>
      <c r="B1162" s="3" t="s">
        <v>271</v>
      </c>
      <c r="C1162" s="4">
        <v>1023285000</v>
      </c>
    </row>
    <row r="1163" spans="1:3">
      <c r="A1163" s="5" t="s">
        <v>89</v>
      </c>
      <c r="B1163" s="5" t="s">
        <v>90</v>
      </c>
      <c r="C1163" s="6">
        <v>10184121000</v>
      </c>
    </row>
    <row r="1164" spans="1:3">
      <c r="A1164" s="3" t="s">
        <v>89</v>
      </c>
      <c r="B1164" s="3" t="s">
        <v>90</v>
      </c>
      <c r="C1164" s="4">
        <v>11871879000</v>
      </c>
    </row>
    <row r="1165" spans="1:3">
      <c r="A1165" s="5" t="s">
        <v>89</v>
      </c>
      <c r="B1165" s="5" t="s">
        <v>90</v>
      </c>
      <c r="C1165" s="6">
        <v>12195091000</v>
      </c>
    </row>
    <row r="1166" spans="1:3">
      <c r="A1166" s="3" t="s">
        <v>89</v>
      </c>
      <c r="B1166" s="3" t="s">
        <v>90</v>
      </c>
      <c r="C1166" s="4">
        <v>7763206000</v>
      </c>
    </row>
    <row r="1167" spans="1:3" hidden="1">
      <c r="A1167" s="5" t="s">
        <v>25</v>
      </c>
      <c r="B1167" s="5" t="s">
        <v>329</v>
      </c>
      <c r="C1167" s="6">
        <v>15317800000</v>
      </c>
    </row>
    <row r="1168" spans="1:3" hidden="1">
      <c r="A1168" s="3" t="s">
        <v>25</v>
      </c>
      <c r="B1168" s="3" t="s">
        <v>329</v>
      </c>
      <c r="C1168" s="4">
        <v>15134400000</v>
      </c>
    </row>
    <row r="1169" spans="1:3" hidden="1">
      <c r="A1169" s="5" t="s">
        <v>25</v>
      </c>
      <c r="B1169" s="5" t="s">
        <v>329</v>
      </c>
      <c r="C1169" s="6">
        <v>15416900000</v>
      </c>
    </row>
    <row r="1170" spans="1:3" hidden="1">
      <c r="A1170" s="3" t="s">
        <v>25</v>
      </c>
      <c r="B1170" s="3" t="s">
        <v>85</v>
      </c>
      <c r="C1170" s="4">
        <v>6182184000</v>
      </c>
    </row>
    <row r="1171" spans="1:3" hidden="1">
      <c r="A1171" s="5" t="s">
        <v>25</v>
      </c>
      <c r="B1171" s="5" t="s">
        <v>85</v>
      </c>
      <c r="C1171" s="6">
        <v>6649237000</v>
      </c>
    </row>
    <row r="1172" spans="1:3" hidden="1">
      <c r="A1172" s="3" t="s">
        <v>25</v>
      </c>
      <c r="B1172" s="3" t="s">
        <v>85</v>
      </c>
      <c r="C1172" s="4">
        <v>7216081000</v>
      </c>
    </row>
    <row r="1173" spans="1:3" hidden="1">
      <c r="A1173" s="5" t="s">
        <v>25</v>
      </c>
      <c r="B1173" s="5" t="s">
        <v>85</v>
      </c>
      <c r="C1173" s="6">
        <v>7966674000</v>
      </c>
    </row>
    <row r="1174" spans="1:3">
      <c r="A1174" s="3" t="s">
        <v>89</v>
      </c>
      <c r="B1174" s="3" t="s">
        <v>90</v>
      </c>
      <c r="C1174" s="4">
        <v>20100000000</v>
      </c>
    </row>
    <row r="1175" spans="1:3">
      <c r="A1175" s="5" t="s">
        <v>89</v>
      </c>
      <c r="B1175" s="5" t="s">
        <v>90</v>
      </c>
      <c r="C1175" s="6">
        <v>20170000000</v>
      </c>
    </row>
    <row r="1176" spans="1:3">
      <c r="A1176" s="3" t="s">
        <v>89</v>
      </c>
      <c r="B1176" s="3" t="s">
        <v>90</v>
      </c>
      <c r="C1176" s="4">
        <v>19312000000</v>
      </c>
    </row>
    <row r="1177" spans="1:3">
      <c r="A1177" s="5" t="s">
        <v>89</v>
      </c>
      <c r="B1177" s="5" t="s">
        <v>90</v>
      </c>
      <c r="C1177" s="6">
        <v>12480000000</v>
      </c>
    </row>
    <row r="1178" spans="1:3" hidden="1">
      <c r="A1178" s="3" t="s">
        <v>53</v>
      </c>
      <c r="B1178" s="3" t="s">
        <v>435</v>
      </c>
      <c r="C1178" s="4">
        <v>1355300000</v>
      </c>
    </row>
    <row r="1179" spans="1:3" hidden="1">
      <c r="A1179" s="5" t="s">
        <v>53</v>
      </c>
      <c r="B1179" s="5" t="s">
        <v>435</v>
      </c>
      <c r="C1179" s="6">
        <v>1346100000</v>
      </c>
    </row>
    <row r="1180" spans="1:3" hidden="1">
      <c r="A1180" s="3" t="s">
        <v>53</v>
      </c>
      <c r="B1180" s="3" t="s">
        <v>435</v>
      </c>
      <c r="C1180" s="4">
        <v>1381400000</v>
      </c>
    </row>
    <row r="1181" spans="1:3" hidden="1">
      <c r="A1181" s="5" t="s">
        <v>53</v>
      </c>
      <c r="B1181" s="5" t="s">
        <v>435</v>
      </c>
      <c r="C1181" s="6">
        <v>1421300000</v>
      </c>
    </row>
    <row r="1182" spans="1:3" hidden="1">
      <c r="A1182" s="3" t="s">
        <v>19</v>
      </c>
      <c r="B1182" s="3" t="s">
        <v>437</v>
      </c>
      <c r="C1182" s="4">
        <v>3823713000</v>
      </c>
    </row>
    <row r="1183" spans="1:3" hidden="1">
      <c r="A1183" s="5" t="s">
        <v>19</v>
      </c>
      <c r="B1183" s="5" t="s">
        <v>437</v>
      </c>
      <c r="C1183" s="6">
        <v>3791335000</v>
      </c>
    </row>
    <row r="1184" spans="1:3" hidden="1">
      <c r="A1184" s="3" t="s">
        <v>19</v>
      </c>
      <c r="B1184" s="3" t="s">
        <v>437</v>
      </c>
      <c r="C1184" s="4">
        <v>3821504000</v>
      </c>
    </row>
    <row r="1185" spans="1:3" hidden="1">
      <c r="A1185" s="5" t="s">
        <v>19</v>
      </c>
      <c r="B1185" s="5" t="s">
        <v>437</v>
      </c>
      <c r="C1185" s="6">
        <v>3578060000</v>
      </c>
    </row>
    <row r="1186" spans="1:3" hidden="1">
      <c r="A1186" s="3" t="s">
        <v>19</v>
      </c>
      <c r="B1186" s="3" t="s">
        <v>133</v>
      </c>
      <c r="C1186" s="4">
        <v>16596800000</v>
      </c>
    </row>
    <row r="1187" spans="1:3" hidden="1">
      <c r="A1187" s="5" t="s">
        <v>19</v>
      </c>
      <c r="B1187" s="5" t="s">
        <v>133</v>
      </c>
      <c r="C1187" s="6">
        <v>16661000000</v>
      </c>
    </row>
    <row r="1188" spans="1:3" hidden="1">
      <c r="A1188" s="3" t="s">
        <v>19</v>
      </c>
      <c r="B1188" s="3" t="s">
        <v>133</v>
      </c>
      <c r="C1188" s="4">
        <v>18534400000</v>
      </c>
    </row>
    <row r="1189" spans="1:3" hidden="1">
      <c r="A1189" s="5" t="s">
        <v>19</v>
      </c>
      <c r="B1189" s="5" t="s">
        <v>133</v>
      </c>
      <c r="C1189" s="6">
        <v>18671300000</v>
      </c>
    </row>
    <row r="1190" spans="1:3" hidden="1">
      <c r="A1190" s="3" t="s">
        <v>48</v>
      </c>
      <c r="B1190" s="3" t="s">
        <v>49</v>
      </c>
      <c r="C1190" s="4">
        <v>15598000000</v>
      </c>
    </row>
    <row r="1191" spans="1:3" hidden="1">
      <c r="A1191" s="5" t="s">
        <v>48</v>
      </c>
      <c r="B1191" s="5" t="s">
        <v>49</v>
      </c>
      <c r="C1191" s="6">
        <v>17090000000</v>
      </c>
    </row>
    <row r="1192" spans="1:3" hidden="1">
      <c r="A1192" s="3" t="s">
        <v>48</v>
      </c>
      <c r="B1192" s="3" t="s">
        <v>49</v>
      </c>
      <c r="C1192" s="4">
        <v>16833000000</v>
      </c>
    </row>
    <row r="1193" spans="1:3" hidden="1">
      <c r="A1193" s="5" t="s">
        <v>48</v>
      </c>
      <c r="B1193" s="5" t="s">
        <v>49</v>
      </c>
      <c r="C1193" s="6">
        <v>17666000000</v>
      </c>
    </row>
    <row r="1194" spans="1:3" hidden="1">
      <c r="A1194" s="3" t="s">
        <v>25</v>
      </c>
      <c r="B1194" s="3" t="s">
        <v>83</v>
      </c>
      <c r="C1194" s="4">
        <v>5260956000</v>
      </c>
    </row>
    <row r="1195" spans="1:3" hidden="1">
      <c r="A1195" s="5" t="s">
        <v>25</v>
      </c>
      <c r="B1195" s="5" t="s">
        <v>83</v>
      </c>
      <c r="C1195" s="6">
        <v>6793306000</v>
      </c>
    </row>
    <row r="1196" spans="1:3" hidden="1">
      <c r="A1196" s="3" t="s">
        <v>25</v>
      </c>
      <c r="B1196" s="3" t="s">
        <v>83</v>
      </c>
      <c r="C1196" s="4">
        <v>8441971000</v>
      </c>
    </row>
    <row r="1197" spans="1:3" hidden="1">
      <c r="A1197" s="5" t="s">
        <v>25</v>
      </c>
      <c r="B1197" s="5" t="s">
        <v>83</v>
      </c>
      <c r="C1197" s="6">
        <v>9223987000</v>
      </c>
    </row>
    <row r="1198" spans="1:3" hidden="1">
      <c r="A1198" s="3" t="s">
        <v>31</v>
      </c>
      <c r="B1198" s="3" t="s">
        <v>172</v>
      </c>
      <c r="C1198" s="4">
        <v>3637212000</v>
      </c>
    </row>
    <row r="1199" spans="1:3" hidden="1">
      <c r="A1199" s="5" t="s">
        <v>31</v>
      </c>
      <c r="B1199" s="5" t="s">
        <v>172</v>
      </c>
      <c r="C1199" s="6">
        <v>3585141000</v>
      </c>
    </row>
    <row r="1200" spans="1:3" hidden="1">
      <c r="A1200" s="3" t="s">
        <v>31</v>
      </c>
      <c r="B1200" s="3" t="s">
        <v>172</v>
      </c>
      <c r="C1200" s="4">
        <v>3910865000</v>
      </c>
    </row>
    <row r="1201" spans="1:3" hidden="1">
      <c r="A1201" s="5" t="s">
        <v>31</v>
      </c>
      <c r="B1201" s="5" t="s">
        <v>172</v>
      </c>
      <c r="C1201" s="6">
        <v>5386703000</v>
      </c>
    </row>
    <row r="1202" spans="1:3" hidden="1">
      <c r="A1202" s="3" t="s">
        <v>48</v>
      </c>
      <c r="B1202" s="3" t="s">
        <v>51</v>
      </c>
      <c r="C1202" s="4">
        <v>9781000000</v>
      </c>
    </row>
    <row r="1203" spans="1:3" hidden="1">
      <c r="A1203" s="5" t="s">
        <v>48</v>
      </c>
      <c r="B1203" s="5" t="s">
        <v>51</v>
      </c>
      <c r="C1203" s="6">
        <v>9968000000</v>
      </c>
    </row>
    <row r="1204" spans="1:3" hidden="1">
      <c r="A1204" s="3" t="s">
        <v>48</v>
      </c>
      <c r="B1204" s="3" t="s">
        <v>51</v>
      </c>
      <c r="C1204" s="4">
        <v>10886000000</v>
      </c>
    </row>
    <row r="1205" spans="1:3" hidden="1">
      <c r="A1205" s="5" t="s">
        <v>48</v>
      </c>
      <c r="B1205" s="5" t="s">
        <v>51</v>
      </c>
      <c r="C1205" s="6">
        <v>10415000000</v>
      </c>
    </row>
    <row r="1206" spans="1:3" hidden="1">
      <c r="A1206" s="3" t="s">
        <v>42</v>
      </c>
      <c r="B1206" s="3" t="s">
        <v>220</v>
      </c>
      <c r="C1206" s="4">
        <v>66415000000</v>
      </c>
    </row>
    <row r="1207" spans="1:3" hidden="1">
      <c r="A1207" s="5" t="s">
        <v>42</v>
      </c>
      <c r="B1207" s="5" t="s">
        <v>220</v>
      </c>
      <c r="C1207" s="6">
        <v>66683000000</v>
      </c>
    </row>
    <row r="1208" spans="1:3" hidden="1">
      <c r="A1208" s="3" t="s">
        <v>42</v>
      </c>
      <c r="B1208" s="3" t="s">
        <v>220</v>
      </c>
      <c r="C1208" s="4">
        <v>63056000000</v>
      </c>
    </row>
    <row r="1209" spans="1:3" hidden="1">
      <c r="A1209" s="5" t="s">
        <v>42</v>
      </c>
      <c r="B1209" s="5" t="s">
        <v>220</v>
      </c>
      <c r="C1209" s="6">
        <v>62799000000</v>
      </c>
    </row>
    <row r="1210" spans="1:3" hidden="1">
      <c r="A1210" s="3" t="s">
        <v>31</v>
      </c>
      <c r="B1210" s="3" t="s">
        <v>32</v>
      </c>
      <c r="C1210" s="4">
        <v>54657000000</v>
      </c>
    </row>
    <row r="1211" spans="1:3" hidden="1">
      <c r="A1211" s="5" t="s">
        <v>31</v>
      </c>
      <c r="B1211" s="5" t="s">
        <v>32</v>
      </c>
      <c r="C1211" s="6">
        <v>51584000000</v>
      </c>
    </row>
    <row r="1212" spans="1:3" hidden="1">
      <c r="A1212" s="3" t="s">
        <v>31</v>
      </c>
      <c r="B1212" s="3" t="s">
        <v>32</v>
      </c>
      <c r="C1212" s="4">
        <v>49605000000</v>
      </c>
    </row>
    <row r="1213" spans="1:3" hidden="1">
      <c r="A1213" s="5" t="s">
        <v>31</v>
      </c>
      <c r="B1213" s="5" t="s">
        <v>32</v>
      </c>
      <c r="C1213" s="6">
        <v>48851000000</v>
      </c>
    </row>
    <row r="1214" spans="1:3" hidden="1">
      <c r="A1214" s="3" t="s">
        <v>53</v>
      </c>
      <c r="B1214" s="3" t="s">
        <v>385</v>
      </c>
      <c r="C1214" s="4">
        <v>9289500000</v>
      </c>
    </row>
    <row r="1215" spans="1:3" hidden="1">
      <c r="A1215" s="5" t="s">
        <v>53</v>
      </c>
      <c r="B1215" s="5" t="s">
        <v>385</v>
      </c>
      <c r="C1215" s="6">
        <v>10477600000</v>
      </c>
    </row>
    <row r="1216" spans="1:3" hidden="1">
      <c r="A1216" s="3" t="s">
        <v>53</v>
      </c>
      <c r="B1216" s="3" t="s">
        <v>385</v>
      </c>
      <c r="C1216" s="4">
        <v>11964400000</v>
      </c>
    </row>
    <row r="1217" spans="1:3" hidden="1">
      <c r="A1217" s="5" t="s">
        <v>53</v>
      </c>
      <c r="B1217" s="5" t="s">
        <v>385</v>
      </c>
      <c r="C1217" s="6">
        <v>12394100000</v>
      </c>
    </row>
    <row r="1218" spans="1:3" hidden="1">
      <c r="A1218" s="3" t="s">
        <v>42</v>
      </c>
      <c r="B1218" s="3" t="s">
        <v>176</v>
      </c>
      <c r="C1218" s="4">
        <v>2104745000</v>
      </c>
    </row>
    <row r="1219" spans="1:3" hidden="1">
      <c r="A1219" s="5" t="s">
        <v>42</v>
      </c>
      <c r="B1219" s="5" t="s">
        <v>176</v>
      </c>
      <c r="C1219" s="6">
        <v>2819557000</v>
      </c>
    </row>
    <row r="1220" spans="1:3" hidden="1">
      <c r="A1220" s="3" t="s">
        <v>42</v>
      </c>
      <c r="B1220" s="3" t="s">
        <v>176</v>
      </c>
      <c r="C1220" s="4">
        <v>4103728000</v>
      </c>
    </row>
    <row r="1221" spans="1:3" hidden="1">
      <c r="A1221" s="5" t="s">
        <v>42</v>
      </c>
      <c r="B1221" s="5" t="s">
        <v>176</v>
      </c>
      <c r="C1221" s="6">
        <v>4860427000</v>
      </c>
    </row>
    <row r="1222" spans="1:3" hidden="1">
      <c r="A1222" s="3" t="s">
        <v>53</v>
      </c>
      <c r="B1222" s="3" t="s">
        <v>56</v>
      </c>
      <c r="C1222" s="4">
        <v>17083900000</v>
      </c>
    </row>
    <row r="1223" spans="1:3" hidden="1">
      <c r="A1223" s="5" t="s">
        <v>53</v>
      </c>
      <c r="B1223" s="5" t="s">
        <v>56</v>
      </c>
      <c r="C1223" s="6">
        <v>18170900000</v>
      </c>
    </row>
    <row r="1224" spans="1:3" hidden="1">
      <c r="A1224" s="3" t="s">
        <v>53</v>
      </c>
      <c r="B1224" s="3" t="s">
        <v>56</v>
      </c>
      <c r="C1224" s="4">
        <v>19391400000</v>
      </c>
    </row>
    <row r="1225" spans="1:3" hidden="1">
      <c r="A1225" s="5" t="s">
        <v>53</v>
      </c>
      <c r="B1225" s="5" t="s">
        <v>56</v>
      </c>
      <c r="C1225" s="6">
        <v>20853800000</v>
      </c>
    </row>
    <row r="1226" spans="1:3" hidden="1">
      <c r="A1226" s="3" t="s">
        <v>19</v>
      </c>
      <c r="B1226" s="3" t="s">
        <v>170</v>
      </c>
      <c r="C1226" s="4">
        <v>13015704000</v>
      </c>
    </row>
    <row r="1227" spans="1:3" hidden="1">
      <c r="A1227" s="5" t="s">
        <v>19</v>
      </c>
      <c r="B1227" s="5" t="s">
        <v>170</v>
      </c>
      <c r="C1227" s="6">
        <v>13215971000</v>
      </c>
    </row>
    <row r="1228" spans="1:3" hidden="1">
      <c r="A1228" s="3" t="s">
        <v>19</v>
      </c>
      <c r="B1228" s="3" t="s">
        <v>170</v>
      </c>
      <c r="C1228" s="4">
        <v>12711744000</v>
      </c>
    </row>
    <row r="1229" spans="1:3" hidden="1">
      <c r="A1229" s="5" t="s">
        <v>19</v>
      </c>
      <c r="B1229" s="5" t="s">
        <v>170</v>
      </c>
      <c r="C1229" s="6">
        <v>11360753000</v>
      </c>
    </row>
    <row r="1230" spans="1:3" hidden="1">
      <c r="A1230" s="3" t="s">
        <v>25</v>
      </c>
      <c r="B1230" s="3" t="s">
        <v>207</v>
      </c>
      <c r="C1230" s="4">
        <v>5679595000</v>
      </c>
    </row>
    <row r="1231" spans="1:3" hidden="1">
      <c r="A1231" s="5" t="s">
        <v>25</v>
      </c>
      <c r="B1231" s="5" t="s">
        <v>207</v>
      </c>
      <c r="C1231" s="6">
        <v>5822363000</v>
      </c>
    </row>
    <row r="1232" spans="1:3" hidden="1">
      <c r="A1232" s="3" t="s">
        <v>25</v>
      </c>
      <c r="B1232" s="3" t="s">
        <v>207</v>
      </c>
      <c r="C1232" s="4">
        <v>5981964000</v>
      </c>
    </row>
    <row r="1233" spans="1:3" hidden="1">
      <c r="A1233" s="5" t="s">
        <v>25</v>
      </c>
      <c r="B1233" s="5" t="s">
        <v>207</v>
      </c>
      <c r="C1233" s="6">
        <v>7668476000</v>
      </c>
    </row>
    <row r="1234" spans="1:3" hidden="1">
      <c r="A1234" s="3" t="s">
        <v>31</v>
      </c>
      <c r="B1234" s="3" t="s">
        <v>36</v>
      </c>
      <c r="C1234" s="4">
        <v>2105188000</v>
      </c>
    </row>
    <row r="1235" spans="1:3" hidden="1">
      <c r="A1235" s="5" t="s">
        <v>31</v>
      </c>
      <c r="B1235" s="5" t="s">
        <v>36</v>
      </c>
      <c r="C1235" s="6">
        <v>2157586000</v>
      </c>
    </row>
    <row r="1236" spans="1:3" hidden="1">
      <c r="A1236" s="3" t="s">
        <v>31</v>
      </c>
      <c r="B1236" s="3" t="s">
        <v>36</v>
      </c>
      <c r="C1236" s="4">
        <v>2237219000</v>
      </c>
    </row>
    <row r="1237" spans="1:3" hidden="1">
      <c r="A1237" s="5" t="s">
        <v>31</v>
      </c>
      <c r="B1237" s="5" t="s">
        <v>36</v>
      </c>
      <c r="C1237" s="6">
        <v>2262359000</v>
      </c>
    </row>
    <row r="1238" spans="1:3" hidden="1">
      <c r="A1238" s="3" t="s">
        <v>42</v>
      </c>
      <c r="B1238" s="3" t="s">
        <v>399</v>
      </c>
      <c r="C1238" s="4">
        <v>80029000000</v>
      </c>
    </row>
    <row r="1239" spans="1:3" hidden="1">
      <c r="A1239" s="5" t="s">
        <v>42</v>
      </c>
      <c r="B1239" s="5" t="s">
        <v>399</v>
      </c>
      <c r="C1239" s="6">
        <v>80106000000</v>
      </c>
    </row>
    <row r="1240" spans="1:3" hidden="1">
      <c r="A1240" s="3" t="s">
        <v>42</v>
      </c>
      <c r="B1240" s="3" t="s">
        <v>399</v>
      </c>
      <c r="C1240" s="4">
        <v>73908000000</v>
      </c>
    </row>
    <row r="1241" spans="1:3" hidden="1">
      <c r="A1241" s="5" t="s">
        <v>42</v>
      </c>
      <c r="B1241" s="5" t="s">
        <v>399</v>
      </c>
      <c r="C1241" s="6">
        <v>74953000000</v>
      </c>
    </row>
    <row r="1242" spans="1:3" hidden="1">
      <c r="A1242" s="3" t="s">
        <v>53</v>
      </c>
      <c r="B1242" s="3" t="s">
        <v>111</v>
      </c>
      <c r="C1242" s="4">
        <v>16606000000</v>
      </c>
    </row>
    <row r="1243" spans="1:3" hidden="1">
      <c r="A1243" s="5" t="s">
        <v>53</v>
      </c>
      <c r="B1243" s="5" t="s">
        <v>111</v>
      </c>
      <c r="C1243" s="6">
        <v>16872000000</v>
      </c>
    </row>
    <row r="1244" spans="1:3" hidden="1">
      <c r="A1244" s="3" t="s">
        <v>53</v>
      </c>
      <c r="B1244" s="3" t="s">
        <v>111</v>
      </c>
      <c r="C1244" s="4">
        <v>16281000000</v>
      </c>
    </row>
    <row r="1245" spans="1:3" hidden="1">
      <c r="A1245" s="5" t="s">
        <v>53</v>
      </c>
      <c r="B1245" s="5" t="s">
        <v>111</v>
      </c>
      <c r="C1245" s="6">
        <v>16270000000</v>
      </c>
    </row>
    <row r="1246" spans="1:3" hidden="1">
      <c r="A1246" s="3" t="s">
        <v>19</v>
      </c>
      <c r="B1246" s="3" t="s">
        <v>163</v>
      </c>
      <c r="C1246" s="4">
        <v>4306800000</v>
      </c>
    </row>
    <row r="1247" spans="1:3" hidden="1">
      <c r="A1247" s="5" t="s">
        <v>19</v>
      </c>
      <c r="B1247" s="5" t="s">
        <v>163</v>
      </c>
      <c r="C1247" s="6">
        <v>6999700000</v>
      </c>
    </row>
    <row r="1248" spans="1:3" hidden="1">
      <c r="A1248" s="3" t="s">
        <v>19</v>
      </c>
      <c r="B1248" s="3" t="s">
        <v>163</v>
      </c>
      <c r="C1248" s="4">
        <v>7039000000</v>
      </c>
    </row>
    <row r="1249" spans="1:3" hidden="1">
      <c r="A1249" s="5" t="s">
        <v>19</v>
      </c>
      <c r="B1249" s="5" t="s">
        <v>163</v>
      </c>
      <c r="C1249" s="6">
        <v>6449000000</v>
      </c>
    </row>
    <row r="1250" spans="1:3" hidden="1">
      <c r="A1250" s="3" t="s">
        <v>48</v>
      </c>
      <c r="B1250" s="3" t="s">
        <v>49</v>
      </c>
      <c r="C1250" s="4">
        <v>3301804000</v>
      </c>
    </row>
    <row r="1251" spans="1:3" hidden="1">
      <c r="A1251" s="5" t="s">
        <v>48</v>
      </c>
      <c r="B1251" s="5" t="s">
        <v>49</v>
      </c>
      <c r="C1251" s="6">
        <v>3454628000</v>
      </c>
    </row>
    <row r="1252" spans="1:3" hidden="1">
      <c r="A1252" s="3" t="s">
        <v>48</v>
      </c>
      <c r="B1252" s="3" t="s">
        <v>49</v>
      </c>
      <c r="C1252" s="4">
        <v>3491632000</v>
      </c>
    </row>
    <row r="1253" spans="1:3" hidden="1">
      <c r="A1253" s="5" t="s">
        <v>48</v>
      </c>
      <c r="B1253" s="5" t="s">
        <v>49</v>
      </c>
      <c r="C1253" s="6">
        <v>3495443000</v>
      </c>
    </row>
    <row r="1254" spans="1:3" hidden="1">
      <c r="A1254" s="3" t="s">
        <v>65</v>
      </c>
      <c r="B1254" s="3" t="s">
        <v>199</v>
      </c>
      <c r="C1254" s="4">
        <v>14265000000</v>
      </c>
    </row>
    <row r="1255" spans="1:3" hidden="1">
      <c r="A1255" s="5" t="s">
        <v>65</v>
      </c>
      <c r="B1255" s="5" t="s">
        <v>199</v>
      </c>
      <c r="C1255" s="6">
        <v>14791000000</v>
      </c>
    </row>
    <row r="1256" spans="1:3" hidden="1">
      <c r="A1256" s="3" t="s">
        <v>65</v>
      </c>
      <c r="B1256" s="3" t="s">
        <v>199</v>
      </c>
      <c r="C1256" s="4">
        <v>14766000000</v>
      </c>
    </row>
    <row r="1257" spans="1:3" hidden="1">
      <c r="A1257" s="5" t="s">
        <v>65</v>
      </c>
      <c r="B1257" s="5" t="s">
        <v>199</v>
      </c>
      <c r="C1257" s="6">
        <v>14751000000</v>
      </c>
    </row>
    <row r="1258" spans="1:3" hidden="1">
      <c r="A1258" s="3" t="s">
        <v>48</v>
      </c>
      <c r="B1258" s="3" t="s">
        <v>51</v>
      </c>
      <c r="C1258" s="4">
        <v>12132000000</v>
      </c>
    </row>
    <row r="1259" spans="1:3" hidden="1">
      <c r="A1259" s="5" t="s">
        <v>48</v>
      </c>
      <c r="B1259" s="5" t="s">
        <v>51</v>
      </c>
      <c r="C1259" s="6">
        <v>7263000000</v>
      </c>
    </row>
    <row r="1260" spans="1:3" hidden="1">
      <c r="A1260" s="3" t="s">
        <v>48</v>
      </c>
      <c r="B1260" s="3" t="s">
        <v>51</v>
      </c>
      <c r="C1260" s="4">
        <v>7852000000</v>
      </c>
    </row>
    <row r="1261" spans="1:3" hidden="1">
      <c r="A1261" s="5" t="s">
        <v>48</v>
      </c>
      <c r="B1261" s="5" t="s">
        <v>51</v>
      </c>
      <c r="C1261" s="6">
        <v>7669000000</v>
      </c>
    </row>
    <row r="1262" spans="1:3" hidden="1">
      <c r="A1262" s="3" t="s">
        <v>53</v>
      </c>
      <c r="B1262" s="3" t="s">
        <v>385</v>
      </c>
      <c r="C1262" s="4">
        <v>84847000000</v>
      </c>
    </row>
    <row r="1263" spans="1:3" hidden="1">
      <c r="A1263" s="5" t="s">
        <v>53</v>
      </c>
      <c r="B1263" s="5" t="s">
        <v>385</v>
      </c>
      <c r="C1263" s="6">
        <v>41461000000</v>
      </c>
    </row>
    <row r="1264" spans="1:3" hidden="1">
      <c r="A1264" s="3" t="s">
        <v>53</v>
      </c>
      <c r="B1264" s="3" t="s">
        <v>385</v>
      </c>
      <c r="C1264" s="4">
        <v>54105000000</v>
      </c>
    </row>
    <row r="1265" spans="1:3" hidden="1">
      <c r="A1265" s="5" t="s">
        <v>53</v>
      </c>
      <c r="B1265" s="5" t="s">
        <v>385</v>
      </c>
      <c r="C1265" s="6">
        <v>57119000000</v>
      </c>
    </row>
    <row r="1266" spans="1:3">
      <c r="A1266" s="3" t="s">
        <v>89</v>
      </c>
      <c r="B1266" s="3" t="s">
        <v>347</v>
      </c>
      <c r="C1266" s="4">
        <v>179290000000</v>
      </c>
    </row>
    <row r="1267" spans="1:3">
      <c r="A1267" s="5" t="s">
        <v>89</v>
      </c>
      <c r="B1267" s="5" t="s">
        <v>347</v>
      </c>
      <c r="C1267" s="6">
        <v>171596000000</v>
      </c>
    </row>
    <row r="1268" spans="1:3">
      <c r="A1268" s="3" t="s">
        <v>89</v>
      </c>
      <c r="B1268" s="3" t="s">
        <v>347</v>
      </c>
      <c r="C1268" s="4">
        <v>161212000000</v>
      </c>
    </row>
    <row r="1269" spans="1:3">
      <c r="A1269" s="5" t="s">
        <v>89</v>
      </c>
      <c r="B1269" s="5" t="s">
        <v>347</v>
      </c>
      <c r="C1269" s="6">
        <v>98975000000</v>
      </c>
    </row>
    <row r="1270" spans="1:3" hidden="1">
      <c r="A1270" s="3" t="s">
        <v>25</v>
      </c>
      <c r="B1270" s="3" t="s">
        <v>295</v>
      </c>
      <c r="C1270" s="4">
        <v>6043000000</v>
      </c>
    </row>
    <row r="1271" spans="1:3" hidden="1">
      <c r="A1271" s="5" t="s">
        <v>25</v>
      </c>
      <c r="B1271" s="5" t="s">
        <v>295</v>
      </c>
      <c r="C1271" s="6">
        <v>8186400000</v>
      </c>
    </row>
    <row r="1272" spans="1:3" hidden="1">
      <c r="A1272" s="3" t="s">
        <v>25</v>
      </c>
      <c r="B1272" s="3" t="s">
        <v>295</v>
      </c>
      <c r="C1272" s="4">
        <v>8241200000</v>
      </c>
    </row>
    <row r="1273" spans="1:3" hidden="1">
      <c r="A1273" s="5" t="s">
        <v>25</v>
      </c>
      <c r="B1273" s="5" t="s">
        <v>295</v>
      </c>
      <c r="C1273" s="6">
        <v>8020300000</v>
      </c>
    </row>
    <row r="1274" spans="1:3" hidden="1">
      <c r="A1274" s="3" t="s">
        <v>19</v>
      </c>
      <c r="B1274" s="3" t="s">
        <v>170</v>
      </c>
      <c r="C1274" s="4">
        <v>5920269000</v>
      </c>
    </row>
    <row r="1275" spans="1:3" hidden="1">
      <c r="A1275" s="5" t="s">
        <v>19</v>
      </c>
      <c r="B1275" s="5" t="s">
        <v>170</v>
      </c>
      <c r="C1275" s="6">
        <v>6411577000</v>
      </c>
    </row>
    <row r="1276" spans="1:3" hidden="1">
      <c r="A1276" s="3" t="s">
        <v>19</v>
      </c>
      <c r="B1276" s="3" t="s">
        <v>170</v>
      </c>
      <c r="C1276" s="4">
        <v>7747229000</v>
      </c>
    </row>
    <row r="1277" spans="1:3" hidden="1">
      <c r="A1277" s="5" t="s">
        <v>19</v>
      </c>
      <c r="B1277" s="5" t="s">
        <v>170</v>
      </c>
      <c r="C1277" s="6">
        <v>7572436000</v>
      </c>
    </row>
    <row r="1278" spans="1:3" hidden="1">
      <c r="A1278" s="3" t="s">
        <v>65</v>
      </c>
      <c r="B1278" s="3" t="s">
        <v>93</v>
      </c>
      <c r="C1278" s="4">
        <v>11224000000</v>
      </c>
    </row>
    <row r="1279" spans="1:3" hidden="1">
      <c r="A1279" s="5" t="s">
        <v>65</v>
      </c>
      <c r="B1279" s="5" t="s">
        <v>93</v>
      </c>
      <c r="C1279" s="6">
        <v>11925000000</v>
      </c>
    </row>
    <row r="1280" spans="1:3" hidden="1">
      <c r="A1280" s="3" t="s">
        <v>65</v>
      </c>
      <c r="B1280" s="3" t="s">
        <v>93</v>
      </c>
      <c r="C1280" s="4">
        <v>12273000000</v>
      </c>
    </row>
    <row r="1281" spans="1:3" hidden="1">
      <c r="A1281" s="5" t="s">
        <v>65</v>
      </c>
      <c r="B1281" s="5" t="s">
        <v>93</v>
      </c>
      <c r="C1281" s="6">
        <v>10776000000</v>
      </c>
    </row>
    <row r="1282" spans="1:3" hidden="1">
      <c r="A1282" s="3" t="s">
        <v>28</v>
      </c>
      <c r="B1282" s="3" t="s">
        <v>40</v>
      </c>
      <c r="C1282" s="4">
        <v>24866000000</v>
      </c>
    </row>
    <row r="1283" spans="1:3" hidden="1">
      <c r="A1283" s="5" t="s">
        <v>28</v>
      </c>
      <c r="B1283" s="5" t="s">
        <v>40</v>
      </c>
      <c r="C1283" s="6">
        <v>26487000000</v>
      </c>
    </row>
    <row r="1284" spans="1:3" hidden="1">
      <c r="A1284" s="3" t="s">
        <v>28</v>
      </c>
      <c r="B1284" s="3" t="s">
        <v>40</v>
      </c>
      <c r="C1284" s="4">
        <v>25281000000</v>
      </c>
    </row>
    <row r="1285" spans="1:3" hidden="1">
      <c r="A1285" s="5" t="s">
        <v>28</v>
      </c>
      <c r="B1285" s="5" t="s">
        <v>40</v>
      </c>
      <c r="C1285" s="6">
        <v>23554000000</v>
      </c>
    </row>
    <row r="1286" spans="1:3" hidden="1">
      <c r="A1286" s="3" t="s">
        <v>28</v>
      </c>
      <c r="B1286" s="3" t="s">
        <v>40</v>
      </c>
      <c r="C1286" s="4">
        <v>1148231000</v>
      </c>
    </row>
    <row r="1287" spans="1:3" hidden="1">
      <c r="A1287" s="5" t="s">
        <v>28</v>
      </c>
      <c r="B1287" s="5" t="s">
        <v>40</v>
      </c>
      <c r="C1287" s="6">
        <v>1710966000</v>
      </c>
    </row>
    <row r="1288" spans="1:3" hidden="1">
      <c r="A1288" s="3" t="s">
        <v>28</v>
      </c>
      <c r="B1288" s="3" t="s">
        <v>40</v>
      </c>
      <c r="C1288" s="4">
        <v>2610726000</v>
      </c>
    </row>
    <row r="1289" spans="1:3" hidden="1">
      <c r="A1289" s="5" t="s">
        <v>19</v>
      </c>
      <c r="B1289" s="5" t="s">
        <v>170</v>
      </c>
      <c r="C1289" s="6">
        <v>6419285000</v>
      </c>
    </row>
    <row r="1290" spans="1:3" hidden="1">
      <c r="A1290" s="3" t="s">
        <v>19</v>
      </c>
      <c r="B1290" s="3" t="s">
        <v>170</v>
      </c>
      <c r="C1290" s="4">
        <v>6638774000</v>
      </c>
    </row>
    <row r="1291" spans="1:3" hidden="1">
      <c r="A1291" s="5" t="s">
        <v>19</v>
      </c>
      <c r="B1291" s="5" t="s">
        <v>170</v>
      </c>
      <c r="C1291" s="6">
        <v>6571893000</v>
      </c>
    </row>
    <row r="1292" spans="1:3" hidden="1">
      <c r="A1292" s="3" t="s">
        <v>19</v>
      </c>
      <c r="B1292" s="3" t="s">
        <v>170</v>
      </c>
      <c r="C1292" s="4">
        <v>6786984000</v>
      </c>
    </row>
    <row r="1293" spans="1:3" hidden="1">
      <c r="A1293" s="5" t="s">
        <v>25</v>
      </c>
      <c r="B1293" s="5" t="s">
        <v>139</v>
      </c>
      <c r="C1293" s="6">
        <v>7688024000</v>
      </c>
    </row>
    <row r="1294" spans="1:3" hidden="1">
      <c r="A1294" s="3" t="s">
        <v>25</v>
      </c>
      <c r="B1294" s="3" t="s">
        <v>139</v>
      </c>
      <c r="C1294" s="4">
        <v>7959894000</v>
      </c>
    </row>
    <row r="1295" spans="1:3" hidden="1">
      <c r="A1295" s="5" t="s">
        <v>25</v>
      </c>
      <c r="B1295" s="5" t="s">
        <v>139</v>
      </c>
      <c r="C1295" s="6">
        <v>8073855000</v>
      </c>
    </row>
    <row r="1296" spans="1:3" hidden="1">
      <c r="A1296" s="3" t="s">
        <v>25</v>
      </c>
      <c r="B1296" s="3" t="s">
        <v>139</v>
      </c>
      <c r="C1296" s="4">
        <v>8299074000</v>
      </c>
    </row>
    <row r="1297" spans="1:3" hidden="1">
      <c r="A1297" s="5" t="s">
        <v>31</v>
      </c>
      <c r="B1297" s="5" t="s">
        <v>72</v>
      </c>
      <c r="C1297" s="6">
        <v>2104745000</v>
      </c>
    </row>
    <row r="1298" spans="1:3" hidden="1">
      <c r="A1298" s="3" t="s">
        <v>31</v>
      </c>
      <c r="B1298" s="3" t="s">
        <v>72</v>
      </c>
      <c r="C1298" s="4">
        <v>2819557000</v>
      </c>
    </row>
    <row r="1299" spans="1:3" hidden="1">
      <c r="A1299" s="5" t="s">
        <v>31</v>
      </c>
      <c r="B1299" s="5" t="s">
        <v>72</v>
      </c>
      <c r="C1299" s="6">
        <v>4103728000</v>
      </c>
    </row>
    <row r="1300" spans="1:3" hidden="1">
      <c r="A1300" s="3" t="s">
        <v>31</v>
      </c>
      <c r="B1300" s="3" t="s">
        <v>72</v>
      </c>
      <c r="C1300" s="4">
        <v>4860427000</v>
      </c>
    </row>
    <row r="1301" spans="1:3" hidden="1">
      <c r="A1301" s="5" t="s">
        <v>19</v>
      </c>
      <c r="B1301" s="5" t="s">
        <v>468</v>
      </c>
      <c r="C1301" s="6">
        <v>4245895000</v>
      </c>
    </row>
    <row r="1302" spans="1:3" hidden="1">
      <c r="A1302" s="3" t="s">
        <v>19</v>
      </c>
      <c r="B1302" s="3" t="s">
        <v>468</v>
      </c>
      <c r="C1302" s="4">
        <v>4695014000</v>
      </c>
    </row>
    <row r="1303" spans="1:3" hidden="1">
      <c r="A1303" s="5" t="s">
        <v>19</v>
      </c>
      <c r="B1303" s="5" t="s">
        <v>468</v>
      </c>
      <c r="C1303" s="6">
        <v>5094933000</v>
      </c>
    </row>
    <row r="1304" spans="1:3" hidden="1">
      <c r="A1304" s="3" t="s">
        <v>19</v>
      </c>
      <c r="B1304" s="3" t="s">
        <v>468</v>
      </c>
      <c r="C1304" s="4">
        <v>5250399000</v>
      </c>
    </row>
    <row r="1305" spans="1:3" hidden="1">
      <c r="A1305" s="5" t="s">
        <v>28</v>
      </c>
      <c r="B1305" s="5" t="s">
        <v>406</v>
      </c>
      <c r="C1305" s="6">
        <v>1328817000</v>
      </c>
    </row>
    <row r="1306" spans="1:3" hidden="1">
      <c r="A1306" s="3" t="s">
        <v>28</v>
      </c>
      <c r="B1306" s="3" t="s">
        <v>406</v>
      </c>
      <c r="C1306" s="4">
        <v>1534615000</v>
      </c>
    </row>
    <row r="1307" spans="1:3" hidden="1">
      <c r="A1307" s="5" t="s">
        <v>28</v>
      </c>
      <c r="B1307" s="5" t="s">
        <v>406</v>
      </c>
      <c r="C1307" s="6">
        <v>1789489000</v>
      </c>
    </row>
    <row r="1308" spans="1:3" hidden="1">
      <c r="A1308" s="3" t="s">
        <v>28</v>
      </c>
      <c r="B1308" s="3" t="s">
        <v>406</v>
      </c>
      <c r="C1308" s="4">
        <v>2052230000</v>
      </c>
    </row>
    <row r="1309" spans="1:3" hidden="1">
      <c r="A1309" s="5" t="s">
        <v>25</v>
      </c>
      <c r="B1309" s="5" t="s">
        <v>295</v>
      </c>
      <c r="C1309" s="6">
        <v>6945000000</v>
      </c>
    </row>
    <row r="1310" spans="1:3" hidden="1">
      <c r="A1310" s="3" t="s">
        <v>25</v>
      </c>
      <c r="B1310" s="3" t="s">
        <v>295</v>
      </c>
      <c r="C1310" s="4">
        <v>7450000000</v>
      </c>
    </row>
    <row r="1311" spans="1:3" hidden="1">
      <c r="A1311" s="5" t="s">
        <v>25</v>
      </c>
      <c r="B1311" s="5" t="s">
        <v>295</v>
      </c>
      <c r="C1311" s="6">
        <v>7620000000</v>
      </c>
    </row>
    <row r="1312" spans="1:3" hidden="1">
      <c r="A1312" s="3" t="s">
        <v>25</v>
      </c>
      <c r="B1312" s="3" t="s">
        <v>295</v>
      </c>
      <c r="C1312" s="4">
        <v>7405000000</v>
      </c>
    </row>
    <row r="1313" spans="1:3" hidden="1">
      <c r="A1313" s="5" t="s">
        <v>19</v>
      </c>
      <c r="B1313" s="5" t="s">
        <v>170</v>
      </c>
      <c r="C1313" s="6">
        <v>6351900000</v>
      </c>
    </row>
    <row r="1314" spans="1:3" hidden="1">
      <c r="A1314" s="3" t="s">
        <v>19</v>
      </c>
      <c r="B1314" s="3" t="s">
        <v>170</v>
      </c>
      <c r="C1314" s="4">
        <v>6623500000</v>
      </c>
    </row>
    <row r="1315" spans="1:3" hidden="1">
      <c r="A1315" s="5" t="s">
        <v>19</v>
      </c>
      <c r="B1315" s="5" t="s">
        <v>170</v>
      </c>
      <c r="C1315" s="6">
        <v>6307900000</v>
      </c>
    </row>
    <row r="1316" spans="1:3" hidden="1">
      <c r="A1316" s="3" t="s">
        <v>19</v>
      </c>
      <c r="B1316" s="3" t="s">
        <v>170</v>
      </c>
      <c r="C1316" s="4">
        <v>5879500000</v>
      </c>
    </row>
    <row r="1317" spans="1:3" hidden="1">
      <c r="A1317" s="5" t="s">
        <v>19</v>
      </c>
      <c r="B1317" s="5" t="s">
        <v>170</v>
      </c>
      <c r="C1317" s="6">
        <v>2993489000</v>
      </c>
    </row>
    <row r="1318" spans="1:3" hidden="1">
      <c r="A1318" s="3" t="s">
        <v>19</v>
      </c>
      <c r="B1318" s="3" t="s">
        <v>170</v>
      </c>
      <c r="C1318" s="4">
        <v>3238128000</v>
      </c>
    </row>
    <row r="1319" spans="1:3" hidden="1">
      <c r="A1319" s="5" t="s">
        <v>19</v>
      </c>
      <c r="B1319" s="5" t="s">
        <v>170</v>
      </c>
      <c r="C1319" s="6">
        <v>3549494000</v>
      </c>
    </row>
    <row r="1320" spans="1:3" hidden="1">
      <c r="A1320" s="3" t="s">
        <v>19</v>
      </c>
      <c r="B1320" s="3" t="s">
        <v>170</v>
      </c>
      <c r="C1320" s="4">
        <v>3582395000</v>
      </c>
    </row>
    <row r="1321" spans="1:3" hidden="1">
      <c r="A1321" s="5" t="s">
        <v>25</v>
      </c>
      <c r="B1321" s="5" t="s">
        <v>263</v>
      </c>
      <c r="C1321" s="6">
        <v>9721065000</v>
      </c>
    </row>
    <row r="1322" spans="1:3" hidden="1">
      <c r="A1322" s="3" t="s">
        <v>25</v>
      </c>
      <c r="B1322" s="3" t="s">
        <v>263</v>
      </c>
      <c r="C1322" s="4">
        <v>10230353000</v>
      </c>
    </row>
    <row r="1323" spans="1:3" hidden="1">
      <c r="A1323" s="5" t="s">
        <v>25</v>
      </c>
      <c r="B1323" s="5" t="s">
        <v>263</v>
      </c>
      <c r="C1323" s="6">
        <v>11041677000</v>
      </c>
    </row>
    <row r="1324" spans="1:3" hidden="1">
      <c r="A1324" s="3" t="s">
        <v>25</v>
      </c>
      <c r="B1324" s="3" t="s">
        <v>263</v>
      </c>
      <c r="C1324" s="4">
        <v>11939999000</v>
      </c>
    </row>
    <row r="1325" spans="1:3">
      <c r="A1325" s="5" t="s">
        <v>89</v>
      </c>
      <c r="B1325" s="5" t="s">
        <v>90</v>
      </c>
      <c r="C1325" s="6">
        <v>1367135000</v>
      </c>
    </row>
    <row r="1326" spans="1:3">
      <c r="A1326" s="3" t="s">
        <v>89</v>
      </c>
      <c r="B1326" s="3" t="s">
        <v>90</v>
      </c>
      <c r="C1326" s="4">
        <v>1832253000</v>
      </c>
    </row>
    <row r="1327" spans="1:3">
      <c r="A1327" s="5" t="s">
        <v>89</v>
      </c>
      <c r="B1327" s="5" t="s">
        <v>90</v>
      </c>
      <c r="C1327" s="6">
        <v>2042537000</v>
      </c>
    </row>
    <row r="1328" spans="1:3">
      <c r="A1328" s="3" t="s">
        <v>89</v>
      </c>
      <c r="B1328" s="3" t="s">
        <v>90</v>
      </c>
      <c r="C1328" s="4">
        <v>1181704000</v>
      </c>
    </row>
    <row r="1329" spans="1:3" hidden="1">
      <c r="A1329" s="5" t="s">
        <v>19</v>
      </c>
      <c r="B1329" s="5" t="s">
        <v>170</v>
      </c>
      <c r="C1329" s="6">
        <v>8417200000</v>
      </c>
    </row>
    <row r="1330" spans="1:3" hidden="1">
      <c r="A1330" s="3" t="s">
        <v>19</v>
      </c>
      <c r="B1330" s="3" t="s">
        <v>170</v>
      </c>
      <c r="C1330" s="4">
        <v>8803300000</v>
      </c>
    </row>
    <row r="1331" spans="1:3" hidden="1">
      <c r="A1331" s="5" t="s">
        <v>19</v>
      </c>
      <c r="B1331" s="5" t="s">
        <v>170</v>
      </c>
      <c r="C1331" s="6">
        <v>9115000000</v>
      </c>
    </row>
    <row r="1332" spans="1:3" hidden="1">
      <c r="A1332" s="3" t="s">
        <v>19</v>
      </c>
      <c r="B1332" s="3" t="s">
        <v>170</v>
      </c>
      <c r="C1332" s="4">
        <v>9387700000</v>
      </c>
    </row>
    <row r="1333" spans="1:3" hidden="1">
      <c r="A1333" s="5" t="s">
        <v>25</v>
      </c>
      <c r="B1333" s="5" t="s">
        <v>161</v>
      </c>
      <c r="C1333" s="6">
        <v>14866800000</v>
      </c>
    </row>
    <row r="1334" spans="1:3" hidden="1">
      <c r="A1334" s="3" t="s">
        <v>25</v>
      </c>
      <c r="B1334" s="3" t="s">
        <v>161</v>
      </c>
      <c r="C1334" s="4">
        <v>16447800000</v>
      </c>
    </row>
    <row r="1335" spans="1:3" hidden="1">
      <c r="A1335" s="5" t="s">
        <v>25</v>
      </c>
      <c r="B1335" s="5" t="s">
        <v>161</v>
      </c>
      <c r="C1335" s="6">
        <v>19162700000</v>
      </c>
    </row>
    <row r="1336" spans="1:3" hidden="1">
      <c r="A1336" s="3" t="s">
        <v>25</v>
      </c>
      <c r="B1336" s="3" t="s">
        <v>161</v>
      </c>
      <c r="C1336" s="4">
        <v>21315900000</v>
      </c>
    </row>
    <row r="1337" spans="1:3" hidden="1">
      <c r="A1337" s="5" t="s">
        <v>48</v>
      </c>
      <c r="B1337" s="5" t="s">
        <v>49</v>
      </c>
      <c r="C1337" s="6">
        <v>4176000000</v>
      </c>
    </row>
    <row r="1338" spans="1:3" hidden="1">
      <c r="A1338" s="3" t="s">
        <v>48</v>
      </c>
      <c r="B1338" s="3" t="s">
        <v>49</v>
      </c>
      <c r="C1338" s="4">
        <v>4495000000</v>
      </c>
    </row>
    <row r="1339" spans="1:3" hidden="1">
      <c r="A1339" s="5" t="s">
        <v>48</v>
      </c>
      <c r="B1339" s="5" t="s">
        <v>49</v>
      </c>
      <c r="C1339" s="6">
        <v>4951000000</v>
      </c>
    </row>
    <row r="1340" spans="1:3" hidden="1">
      <c r="A1340" s="3" t="s">
        <v>48</v>
      </c>
      <c r="B1340" s="3" t="s">
        <v>49</v>
      </c>
      <c r="C1340" s="4">
        <v>4380000000</v>
      </c>
    </row>
    <row r="1341" spans="1:3">
      <c r="A1341" s="5" t="s">
        <v>89</v>
      </c>
      <c r="B1341" s="5" t="s">
        <v>347</v>
      </c>
      <c r="C1341" s="6">
        <v>5075000000</v>
      </c>
    </row>
    <row r="1342" spans="1:3">
      <c r="A1342" s="3" t="s">
        <v>89</v>
      </c>
      <c r="B1342" s="3" t="s">
        <v>347</v>
      </c>
      <c r="C1342" s="4">
        <v>5518000000</v>
      </c>
    </row>
    <row r="1343" spans="1:3">
      <c r="A1343" s="5" t="s">
        <v>89</v>
      </c>
      <c r="B1343" s="5" t="s">
        <v>347</v>
      </c>
      <c r="C1343" s="6">
        <v>5903000000</v>
      </c>
    </row>
    <row r="1344" spans="1:3">
      <c r="A1344" s="3" t="s">
        <v>89</v>
      </c>
      <c r="B1344" s="3" t="s">
        <v>347</v>
      </c>
      <c r="C1344" s="4">
        <v>5234000000</v>
      </c>
    </row>
    <row r="1345" spans="1:3" hidden="1">
      <c r="A1345" s="5" t="s">
        <v>65</v>
      </c>
      <c r="B1345" s="5" t="s">
        <v>102</v>
      </c>
      <c r="C1345" s="6">
        <v>7690800000</v>
      </c>
    </row>
    <row r="1346" spans="1:3" hidden="1">
      <c r="A1346" s="3" t="s">
        <v>65</v>
      </c>
      <c r="B1346" s="3" t="s">
        <v>102</v>
      </c>
      <c r="C1346" s="4">
        <v>7750500000</v>
      </c>
    </row>
    <row r="1347" spans="1:3" hidden="1">
      <c r="A1347" s="5" t="s">
        <v>65</v>
      </c>
      <c r="B1347" s="5" t="s">
        <v>102</v>
      </c>
      <c r="C1347" s="6">
        <v>7031500000</v>
      </c>
    </row>
    <row r="1348" spans="1:3" hidden="1">
      <c r="A1348" s="3" t="s">
        <v>65</v>
      </c>
      <c r="B1348" s="3" t="s">
        <v>102</v>
      </c>
      <c r="C1348" s="4">
        <v>6778300000</v>
      </c>
    </row>
    <row r="1349" spans="1:3" hidden="1">
      <c r="A1349" s="5" t="s">
        <v>65</v>
      </c>
      <c r="B1349" s="5" t="s">
        <v>66</v>
      </c>
      <c r="C1349" s="6">
        <v>9534462000</v>
      </c>
    </row>
    <row r="1350" spans="1:3" hidden="1">
      <c r="A1350" s="3" t="s">
        <v>65</v>
      </c>
      <c r="B1350" s="3" t="s">
        <v>66</v>
      </c>
      <c r="C1350" s="4">
        <v>10185532000</v>
      </c>
    </row>
    <row r="1351" spans="1:3" hidden="1">
      <c r="A1351" s="5" t="s">
        <v>65</v>
      </c>
      <c r="B1351" s="5" t="s">
        <v>66</v>
      </c>
      <c r="C1351" s="6">
        <v>11129533000</v>
      </c>
    </row>
    <row r="1352" spans="1:3" hidden="1">
      <c r="A1352" s="3" t="s">
        <v>65</v>
      </c>
      <c r="B1352" s="3" t="s">
        <v>66</v>
      </c>
      <c r="C1352" s="4">
        <v>11339304000</v>
      </c>
    </row>
    <row r="1353" spans="1:3" hidden="1">
      <c r="A1353" s="5" t="s">
        <v>25</v>
      </c>
      <c r="B1353" s="5" t="s">
        <v>85</v>
      </c>
      <c r="C1353" s="6">
        <v>3983400000</v>
      </c>
    </row>
    <row r="1354" spans="1:3" hidden="1">
      <c r="A1354" s="3" t="s">
        <v>25</v>
      </c>
      <c r="B1354" s="3" t="s">
        <v>85</v>
      </c>
      <c r="C1354" s="4">
        <v>4209200000</v>
      </c>
    </row>
    <row r="1355" spans="1:3" hidden="1">
      <c r="A1355" s="5" t="s">
        <v>25</v>
      </c>
      <c r="B1355" s="5" t="s">
        <v>85</v>
      </c>
      <c r="C1355" s="6">
        <v>5736300000</v>
      </c>
    </row>
    <row r="1356" spans="1:3" hidden="1">
      <c r="A1356" s="3" t="s">
        <v>25</v>
      </c>
      <c r="B1356" s="3" t="s">
        <v>85</v>
      </c>
      <c r="C1356" s="4">
        <v>6550200000</v>
      </c>
    </row>
    <row r="1357" spans="1:3" hidden="1">
      <c r="A1357" s="5" t="s">
        <v>42</v>
      </c>
      <c r="B1357" s="5" t="s">
        <v>130</v>
      </c>
      <c r="C1357" s="6">
        <v>5897700000</v>
      </c>
    </row>
    <row r="1358" spans="1:3" hidden="1">
      <c r="A1358" s="3" t="s">
        <v>42</v>
      </c>
      <c r="B1358" s="3" t="s">
        <v>130</v>
      </c>
      <c r="C1358" s="4">
        <v>5610600000</v>
      </c>
    </row>
    <row r="1359" spans="1:3" hidden="1">
      <c r="A1359" s="5" t="s">
        <v>42</v>
      </c>
      <c r="B1359" s="5" t="s">
        <v>130</v>
      </c>
      <c r="C1359" s="6">
        <v>5692700000</v>
      </c>
    </row>
    <row r="1360" spans="1:3" hidden="1">
      <c r="A1360" s="3" t="s">
        <v>42</v>
      </c>
      <c r="B1360" s="3" t="s">
        <v>130</v>
      </c>
      <c r="C1360" s="4">
        <v>7811200000</v>
      </c>
    </row>
    <row r="1361" spans="1:3" hidden="1">
      <c r="A1361" s="5" t="s">
        <v>58</v>
      </c>
      <c r="B1361" s="5" t="s">
        <v>484</v>
      </c>
      <c r="C1361" s="6">
        <v>1290052000</v>
      </c>
    </row>
    <row r="1362" spans="1:3" hidden="1">
      <c r="A1362" s="3" t="s">
        <v>58</v>
      </c>
      <c r="B1362" s="3" t="s">
        <v>484</v>
      </c>
      <c r="C1362" s="4">
        <v>1371065000</v>
      </c>
    </row>
    <row r="1363" spans="1:3" hidden="1">
      <c r="A1363" s="5" t="s">
        <v>58</v>
      </c>
      <c r="B1363" s="5" t="s">
        <v>484</v>
      </c>
      <c r="C1363" s="6">
        <v>1519978000</v>
      </c>
    </row>
    <row r="1364" spans="1:3" hidden="1">
      <c r="A1364" s="3" t="s">
        <v>58</v>
      </c>
      <c r="B1364" s="3" t="s">
        <v>484</v>
      </c>
      <c r="C1364" s="4">
        <v>1662829000</v>
      </c>
    </row>
    <row r="1365" spans="1:3" hidden="1">
      <c r="A1365" s="5" t="s">
        <v>25</v>
      </c>
      <c r="B1365" s="5" t="s">
        <v>486</v>
      </c>
      <c r="C1365" s="6">
        <v>3237500000</v>
      </c>
    </row>
    <row r="1366" spans="1:3" hidden="1">
      <c r="A1366" s="3" t="s">
        <v>25</v>
      </c>
      <c r="B1366" s="3" t="s">
        <v>486</v>
      </c>
      <c r="C1366" s="4">
        <v>3492600000</v>
      </c>
    </row>
    <row r="1367" spans="1:3" hidden="1">
      <c r="A1367" s="5" t="s">
        <v>25</v>
      </c>
      <c r="B1367" s="5" t="s">
        <v>486</v>
      </c>
      <c r="C1367" s="6">
        <v>3593100000</v>
      </c>
    </row>
    <row r="1368" spans="1:3" hidden="1">
      <c r="A1368" s="3" t="s">
        <v>25</v>
      </c>
      <c r="B1368" s="3" t="s">
        <v>486</v>
      </c>
      <c r="C1368" s="4">
        <v>3711800000</v>
      </c>
    </row>
    <row r="1369" spans="1:3" hidden="1">
      <c r="A1369" s="5" t="s">
        <v>25</v>
      </c>
      <c r="B1369" s="5" t="s">
        <v>210</v>
      </c>
      <c r="C1369" s="6">
        <v>2307182000</v>
      </c>
    </row>
    <row r="1370" spans="1:3" hidden="1">
      <c r="A1370" s="3" t="s">
        <v>25</v>
      </c>
      <c r="B1370" s="3" t="s">
        <v>210</v>
      </c>
      <c r="C1370" s="4">
        <v>2530809000</v>
      </c>
    </row>
    <row r="1371" spans="1:3" hidden="1">
      <c r="A1371" s="5" t="s">
        <v>25</v>
      </c>
      <c r="B1371" s="5" t="s">
        <v>210</v>
      </c>
      <c r="C1371" s="6">
        <v>2665456000</v>
      </c>
    </row>
    <row r="1372" spans="1:3" hidden="1">
      <c r="A1372" s="3" t="s">
        <v>25</v>
      </c>
      <c r="B1372" s="3" t="s">
        <v>210</v>
      </c>
      <c r="C1372" s="4">
        <v>3018227000</v>
      </c>
    </row>
    <row r="1373" spans="1:3" hidden="1">
      <c r="A1373" s="5" t="s">
        <v>48</v>
      </c>
      <c r="B1373" s="5" t="s">
        <v>51</v>
      </c>
      <c r="C1373" s="6">
        <v>16537000000</v>
      </c>
    </row>
    <row r="1374" spans="1:3" hidden="1">
      <c r="A1374" s="3" t="s">
        <v>48</v>
      </c>
      <c r="B1374" s="3" t="s">
        <v>51</v>
      </c>
      <c r="C1374" s="4">
        <v>17087000000</v>
      </c>
    </row>
    <row r="1375" spans="1:3" hidden="1">
      <c r="A1375" s="5" t="s">
        <v>48</v>
      </c>
      <c r="B1375" s="5" t="s">
        <v>51</v>
      </c>
      <c r="C1375" s="6">
        <v>18467000000</v>
      </c>
    </row>
    <row r="1376" spans="1:3" hidden="1">
      <c r="A1376" s="3" t="s">
        <v>48</v>
      </c>
      <c r="B1376" s="3" t="s">
        <v>51</v>
      </c>
      <c r="C1376" s="4">
        <v>17489000000</v>
      </c>
    </row>
    <row r="1377" spans="1:3" hidden="1">
      <c r="A1377" s="5" t="s">
        <v>58</v>
      </c>
      <c r="B1377" s="5" t="s">
        <v>59</v>
      </c>
      <c r="C1377" s="6">
        <v>4256157000</v>
      </c>
    </row>
    <row r="1378" spans="1:3" hidden="1">
      <c r="A1378" s="3" t="s">
        <v>58</v>
      </c>
      <c r="B1378" s="3" t="s">
        <v>59</v>
      </c>
      <c r="C1378" s="4">
        <v>4543849000</v>
      </c>
    </row>
    <row r="1379" spans="1:3" hidden="1">
      <c r="A1379" s="5" t="s">
        <v>58</v>
      </c>
      <c r="B1379" s="5" t="s">
        <v>59</v>
      </c>
      <c r="C1379" s="6">
        <v>4870818000</v>
      </c>
    </row>
    <row r="1380" spans="1:3" hidden="1">
      <c r="A1380" s="3" t="s">
        <v>58</v>
      </c>
      <c r="B1380" s="3" t="s">
        <v>59</v>
      </c>
      <c r="C1380" s="4">
        <v>5266103000</v>
      </c>
    </row>
    <row r="1381" spans="1:3" hidden="1">
      <c r="A1381" s="5" t="s">
        <v>25</v>
      </c>
      <c r="B1381" s="5" t="s">
        <v>85</v>
      </c>
      <c r="C1381" s="6">
        <v>24380510000</v>
      </c>
    </row>
    <row r="1382" spans="1:3" hidden="1">
      <c r="A1382" s="3" t="s">
        <v>25</v>
      </c>
      <c r="B1382" s="3" t="s">
        <v>85</v>
      </c>
      <c r="C1382" s="4">
        <v>23114000000</v>
      </c>
    </row>
    <row r="1383" spans="1:3" hidden="1">
      <c r="A1383" s="5" t="s">
        <v>25</v>
      </c>
      <c r="B1383" s="5" t="s">
        <v>85</v>
      </c>
      <c r="C1383" s="6">
        <v>22492000000</v>
      </c>
    </row>
    <row r="1384" spans="1:3" hidden="1">
      <c r="A1384" s="3" t="s">
        <v>25</v>
      </c>
      <c r="B1384" s="3" t="s">
        <v>85</v>
      </c>
      <c r="C1384" s="4">
        <v>21059000000</v>
      </c>
    </row>
    <row r="1385" spans="1:3" hidden="1">
      <c r="A1385" s="5" t="s">
        <v>19</v>
      </c>
      <c r="B1385" s="5" t="s">
        <v>170</v>
      </c>
      <c r="C1385" s="6">
        <v>1913149000</v>
      </c>
    </row>
    <row r="1386" spans="1:3" hidden="1">
      <c r="A1386" s="3" t="s">
        <v>19</v>
      </c>
      <c r="B1386" s="3" t="s">
        <v>170</v>
      </c>
      <c r="C1386" s="4">
        <v>2142807000</v>
      </c>
    </row>
    <row r="1387" spans="1:3" hidden="1">
      <c r="A1387" s="5" t="s">
        <v>19</v>
      </c>
      <c r="B1387" s="5" t="s">
        <v>170</v>
      </c>
      <c r="C1387" s="6">
        <v>2555601000</v>
      </c>
    </row>
    <row r="1388" spans="1:3" hidden="1">
      <c r="A1388" s="3" t="s">
        <v>19</v>
      </c>
      <c r="B1388" s="3" t="s">
        <v>170</v>
      </c>
      <c r="C1388" s="4">
        <v>2985908000</v>
      </c>
    </row>
    <row r="1389" spans="1:3" hidden="1">
      <c r="A1389" s="5" t="s">
        <v>48</v>
      </c>
      <c r="B1389" s="5" t="s">
        <v>49</v>
      </c>
      <c r="C1389" s="6">
        <v>9647000000</v>
      </c>
    </row>
    <row r="1390" spans="1:3" hidden="1">
      <c r="A1390" s="3" t="s">
        <v>48</v>
      </c>
      <c r="B1390" s="3" t="s">
        <v>49</v>
      </c>
      <c r="C1390" s="4">
        <v>10557000000</v>
      </c>
    </row>
    <row r="1391" spans="1:3" hidden="1">
      <c r="A1391" s="5" t="s">
        <v>48</v>
      </c>
      <c r="B1391" s="5" t="s">
        <v>49</v>
      </c>
      <c r="C1391" s="6">
        <v>11035000000</v>
      </c>
    </row>
    <row r="1392" spans="1:3" hidden="1">
      <c r="A1392" s="3" t="s">
        <v>48</v>
      </c>
      <c r="B1392" s="3" t="s">
        <v>49</v>
      </c>
      <c r="C1392" s="4">
        <v>10231000000</v>
      </c>
    </row>
    <row r="1393" spans="1:3" hidden="1">
      <c r="A1393" s="5" t="s">
        <v>53</v>
      </c>
      <c r="B1393" s="5" t="s">
        <v>111</v>
      </c>
      <c r="C1393" s="6">
        <v>11240000000</v>
      </c>
    </row>
    <row r="1394" spans="1:3" hidden="1">
      <c r="A1394" s="3" t="s">
        <v>53</v>
      </c>
      <c r="B1394" s="3" t="s">
        <v>111</v>
      </c>
      <c r="C1394" s="4">
        <v>8602000000</v>
      </c>
    </row>
    <row r="1395" spans="1:3" hidden="1">
      <c r="A1395" s="5" t="s">
        <v>53</v>
      </c>
      <c r="B1395" s="5" t="s">
        <v>111</v>
      </c>
      <c r="C1395" s="6">
        <v>8707000000</v>
      </c>
    </row>
    <row r="1396" spans="1:3" hidden="1">
      <c r="A1396" s="3" t="s">
        <v>53</v>
      </c>
      <c r="B1396" s="3" t="s">
        <v>111</v>
      </c>
      <c r="C1396" s="4">
        <v>8533000000</v>
      </c>
    </row>
    <row r="1397" spans="1:3" hidden="1">
      <c r="A1397" s="5" t="s">
        <v>28</v>
      </c>
      <c r="B1397" s="5" t="s">
        <v>495</v>
      </c>
      <c r="C1397" s="6">
        <v>14351000000</v>
      </c>
    </row>
    <row r="1398" spans="1:3" hidden="1">
      <c r="A1398" s="3" t="s">
        <v>28</v>
      </c>
      <c r="B1398" s="3" t="s">
        <v>495</v>
      </c>
      <c r="C1398" s="4">
        <v>13724000000</v>
      </c>
    </row>
    <row r="1399" spans="1:3" hidden="1">
      <c r="A1399" s="5" t="s">
        <v>28</v>
      </c>
      <c r="B1399" s="5" t="s">
        <v>495</v>
      </c>
      <c r="C1399" s="6">
        <v>13739000000</v>
      </c>
    </row>
    <row r="1400" spans="1:3" hidden="1">
      <c r="A1400" s="3" t="s">
        <v>28</v>
      </c>
      <c r="B1400" s="3" t="s">
        <v>495</v>
      </c>
      <c r="C1400" s="4">
        <v>11160000000</v>
      </c>
    </row>
    <row r="1401" spans="1:3" hidden="1">
      <c r="A1401" s="5" t="s">
        <v>42</v>
      </c>
      <c r="B1401" s="5" t="s">
        <v>497</v>
      </c>
      <c r="C1401" s="6">
        <v>2796100000</v>
      </c>
    </row>
    <row r="1402" spans="1:3" hidden="1">
      <c r="A1402" s="3" t="s">
        <v>42</v>
      </c>
      <c r="B1402" s="3" t="s">
        <v>497</v>
      </c>
      <c r="C1402" s="4">
        <v>4867700000</v>
      </c>
    </row>
    <row r="1403" spans="1:3" hidden="1">
      <c r="A1403" s="5" t="s">
        <v>42</v>
      </c>
      <c r="B1403" s="5" t="s">
        <v>497</v>
      </c>
      <c r="C1403" s="6">
        <v>6028000000</v>
      </c>
    </row>
    <row r="1404" spans="1:3" hidden="1">
      <c r="A1404" s="3" t="s">
        <v>42</v>
      </c>
      <c r="B1404" s="3" t="s">
        <v>497</v>
      </c>
      <c r="C1404" s="4">
        <v>6548400000</v>
      </c>
    </row>
    <row r="1405" spans="1:3" hidden="1">
      <c r="A1405" s="5" t="s">
        <v>25</v>
      </c>
      <c r="B1405" s="5" t="s">
        <v>486</v>
      </c>
      <c r="C1405" s="6">
        <v>10889500000</v>
      </c>
    </row>
    <row r="1406" spans="1:3" hidden="1">
      <c r="A1406" s="3" t="s">
        <v>25</v>
      </c>
      <c r="B1406" s="3" t="s">
        <v>486</v>
      </c>
      <c r="C1406" s="4">
        <v>11338600000</v>
      </c>
    </row>
    <row r="1407" spans="1:3" hidden="1">
      <c r="A1407" s="5" t="s">
        <v>25</v>
      </c>
      <c r="B1407" s="5" t="s">
        <v>486</v>
      </c>
      <c r="C1407" s="6">
        <v>11171800000</v>
      </c>
    </row>
    <row r="1408" spans="1:3" hidden="1">
      <c r="A1408" s="3" t="s">
        <v>25</v>
      </c>
      <c r="B1408" s="3" t="s">
        <v>486</v>
      </c>
      <c r="C1408" s="4">
        <v>11406900000</v>
      </c>
    </row>
    <row r="1409" spans="1:3" hidden="1">
      <c r="A1409" s="5" t="s">
        <v>28</v>
      </c>
      <c r="B1409" s="5" t="s">
        <v>40</v>
      </c>
      <c r="C1409" s="6">
        <v>1792000000</v>
      </c>
    </row>
    <row r="1410" spans="1:3" hidden="1">
      <c r="A1410" s="3" t="s">
        <v>28</v>
      </c>
      <c r="B1410" s="3" t="s">
        <v>40</v>
      </c>
      <c r="C1410" s="4">
        <v>2291500000</v>
      </c>
    </row>
    <row r="1411" spans="1:3" hidden="1">
      <c r="A1411" s="5" t="s">
        <v>28</v>
      </c>
      <c r="B1411" s="5" t="s">
        <v>40</v>
      </c>
      <c r="C1411" s="6">
        <v>3258400000</v>
      </c>
    </row>
    <row r="1412" spans="1:3" hidden="1">
      <c r="A1412" s="3" t="s">
        <v>28</v>
      </c>
      <c r="B1412" s="3" t="s">
        <v>40</v>
      </c>
      <c r="C1412" s="4">
        <v>3289000000</v>
      </c>
    </row>
    <row r="1413" spans="1:3">
      <c r="A1413" s="5" t="s">
        <v>89</v>
      </c>
      <c r="B1413" s="5" t="s">
        <v>90</v>
      </c>
      <c r="C1413" s="6">
        <v>2730000000</v>
      </c>
    </row>
    <row r="1414" spans="1:3">
      <c r="A1414" s="3" t="s">
        <v>89</v>
      </c>
      <c r="B1414" s="3" t="s">
        <v>90</v>
      </c>
      <c r="C1414" s="4">
        <v>3371000000</v>
      </c>
    </row>
    <row r="1415" spans="1:3">
      <c r="A1415" s="5" t="s">
        <v>89</v>
      </c>
      <c r="B1415" s="5" t="s">
        <v>90</v>
      </c>
      <c r="C1415" s="6">
        <v>4038000000</v>
      </c>
    </row>
    <row r="1416" spans="1:3">
      <c r="A1416" s="3" t="s">
        <v>89</v>
      </c>
      <c r="B1416" s="3" t="s">
        <v>90</v>
      </c>
      <c r="C1416" s="4">
        <v>3133000000</v>
      </c>
    </row>
    <row r="1417" spans="1:3" hidden="1">
      <c r="A1417" s="5" t="s">
        <v>53</v>
      </c>
      <c r="B1417" s="5" t="s">
        <v>106</v>
      </c>
      <c r="C1417" s="6">
        <v>10793000000</v>
      </c>
    </row>
    <row r="1418" spans="1:3" hidden="1">
      <c r="A1418" s="3" t="s">
        <v>53</v>
      </c>
      <c r="B1418" s="3" t="s">
        <v>106</v>
      </c>
      <c r="C1418" s="4">
        <v>11813000000</v>
      </c>
    </row>
    <row r="1419" spans="1:3" hidden="1">
      <c r="A1419" s="5" t="s">
        <v>53</v>
      </c>
      <c r="B1419" s="5" t="s">
        <v>106</v>
      </c>
      <c r="C1419" s="6">
        <v>12727000000</v>
      </c>
    </row>
    <row r="1420" spans="1:3" hidden="1">
      <c r="A1420" s="3" t="s">
        <v>53</v>
      </c>
      <c r="B1420" s="3" t="s">
        <v>106</v>
      </c>
      <c r="C1420" s="4">
        <v>13620000000</v>
      </c>
    </row>
    <row r="1421" spans="1:3" hidden="1">
      <c r="A1421" s="5" t="s">
        <v>31</v>
      </c>
      <c r="B1421" s="5" t="s">
        <v>36</v>
      </c>
      <c r="C1421" s="6">
        <v>9021000000</v>
      </c>
    </row>
    <row r="1422" spans="1:3" hidden="1">
      <c r="A1422" s="3" t="s">
        <v>31</v>
      </c>
      <c r="B1422" s="3" t="s">
        <v>36</v>
      </c>
      <c r="C1422" s="4">
        <v>9675000000</v>
      </c>
    </row>
    <row r="1423" spans="1:3" hidden="1">
      <c r="A1423" s="5" t="s">
        <v>31</v>
      </c>
      <c r="B1423" s="5" t="s">
        <v>36</v>
      </c>
      <c r="C1423" s="6">
        <v>9946000000</v>
      </c>
    </row>
    <row r="1424" spans="1:3" hidden="1">
      <c r="A1424" s="3" t="s">
        <v>31</v>
      </c>
      <c r="B1424" s="3" t="s">
        <v>36</v>
      </c>
      <c r="C1424" s="4">
        <v>11325000000</v>
      </c>
    </row>
    <row r="1425" spans="1:3" hidden="1">
      <c r="A1425" s="5" t="s">
        <v>28</v>
      </c>
      <c r="B1425" s="5" t="s">
        <v>38</v>
      </c>
      <c r="C1425" s="6">
        <v>6906000000</v>
      </c>
    </row>
    <row r="1426" spans="1:3" hidden="1">
      <c r="A1426" s="3" t="s">
        <v>28</v>
      </c>
      <c r="B1426" s="3" t="s">
        <v>38</v>
      </c>
      <c r="C1426" s="4">
        <v>4183000000</v>
      </c>
    </row>
    <row r="1427" spans="1:3" hidden="1">
      <c r="A1427" s="5" t="s">
        <v>28</v>
      </c>
      <c r="B1427" s="5" t="s">
        <v>38</v>
      </c>
      <c r="C1427" s="6">
        <v>3956000000</v>
      </c>
    </row>
    <row r="1428" spans="1:3" hidden="1">
      <c r="A1428" s="3" t="s">
        <v>28</v>
      </c>
      <c r="B1428" s="3" t="s">
        <v>38</v>
      </c>
      <c r="C1428" s="4">
        <v>3600000000</v>
      </c>
    </row>
    <row r="1429" spans="1:3" hidden="1">
      <c r="A1429" s="5" t="s">
        <v>42</v>
      </c>
      <c r="B1429" s="5" t="s">
        <v>505</v>
      </c>
      <c r="C1429" s="6">
        <v>44411233000</v>
      </c>
    </row>
    <row r="1430" spans="1:3" hidden="1">
      <c r="A1430" s="3" t="s">
        <v>42</v>
      </c>
      <c r="B1430" s="3" t="s">
        <v>505</v>
      </c>
      <c r="C1430" s="4">
        <v>46516712000</v>
      </c>
    </row>
    <row r="1431" spans="1:3" hidden="1">
      <c r="A1431" s="5" t="s">
        <v>42</v>
      </c>
      <c r="B1431" s="5" t="s">
        <v>505</v>
      </c>
      <c r="C1431" s="6">
        <v>48680752000</v>
      </c>
    </row>
    <row r="1432" spans="1:3" hidden="1">
      <c r="A1432" s="3" t="s">
        <v>42</v>
      </c>
      <c r="B1432" s="3" t="s">
        <v>505</v>
      </c>
      <c r="C1432" s="4">
        <v>50366919000</v>
      </c>
    </row>
    <row r="1433" spans="1:3" hidden="1">
      <c r="A1433" s="5" t="s">
        <v>188</v>
      </c>
      <c r="B1433" s="5" t="s">
        <v>189</v>
      </c>
      <c r="C1433" s="6">
        <v>127434000000</v>
      </c>
    </row>
    <row r="1434" spans="1:3" hidden="1">
      <c r="A1434" s="3" t="s">
        <v>188</v>
      </c>
      <c r="B1434" s="3" t="s">
        <v>189</v>
      </c>
      <c r="C1434" s="4">
        <v>128752000000</v>
      </c>
    </row>
    <row r="1435" spans="1:3" hidden="1">
      <c r="A1435" s="5" t="s">
        <v>188</v>
      </c>
      <c r="B1435" s="5" t="s">
        <v>189</v>
      </c>
      <c r="C1435" s="6">
        <v>132447000000</v>
      </c>
    </row>
    <row r="1436" spans="1:3" hidden="1">
      <c r="A1436" s="3" t="s">
        <v>188</v>
      </c>
      <c r="B1436" s="3" t="s">
        <v>189</v>
      </c>
      <c r="C1436" s="4">
        <v>146801000000</v>
      </c>
    </row>
    <row r="1437" spans="1:3" hidden="1">
      <c r="A1437" s="5" t="s">
        <v>42</v>
      </c>
      <c r="B1437" s="5" t="s">
        <v>508</v>
      </c>
      <c r="C1437" s="6">
        <v>4206100000</v>
      </c>
    </row>
    <row r="1438" spans="1:3" hidden="1">
      <c r="A1438" s="3" t="s">
        <v>42</v>
      </c>
      <c r="B1438" s="3" t="s">
        <v>508</v>
      </c>
      <c r="C1438" s="4">
        <v>4146300000</v>
      </c>
    </row>
    <row r="1439" spans="1:3" hidden="1">
      <c r="A1439" s="5" t="s">
        <v>42</v>
      </c>
      <c r="B1439" s="5" t="s">
        <v>508</v>
      </c>
      <c r="C1439" s="6">
        <v>3567500000</v>
      </c>
    </row>
    <row r="1440" spans="1:3" hidden="1">
      <c r="A1440" s="3" t="s">
        <v>42</v>
      </c>
      <c r="B1440" s="3" t="s">
        <v>508</v>
      </c>
      <c r="C1440" s="4">
        <v>4885000000</v>
      </c>
    </row>
    <row r="1441" spans="1:3" hidden="1">
      <c r="A1441" s="5" t="s">
        <v>28</v>
      </c>
      <c r="B1441" s="5" t="s">
        <v>38</v>
      </c>
      <c r="C1441" s="6">
        <v>2665000000</v>
      </c>
    </row>
    <row r="1442" spans="1:3" hidden="1">
      <c r="A1442" s="3" t="s">
        <v>28</v>
      </c>
      <c r="B1442" s="3" t="s">
        <v>38</v>
      </c>
      <c r="C1442" s="4">
        <v>2692000000</v>
      </c>
    </row>
    <row r="1443" spans="1:3" hidden="1">
      <c r="A1443" s="5" t="s">
        <v>28</v>
      </c>
      <c r="B1443" s="5" t="s">
        <v>38</v>
      </c>
      <c r="C1443" s="6">
        <v>2732000000</v>
      </c>
    </row>
    <row r="1444" spans="1:3" hidden="1">
      <c r="A1444" s="3" t="s">
        <v>28</v>
      </c>
      <c r="B1444" s="3" t="s">
        <v>38</v>
      </c>
      <c r="C1444" s="4">
        <v>2530000000</v>
      </c>
    </row>
    <row r="1445" spans="1:3" hidden="1">
      <c r="A1445" s="5" t="s">
        <v>19</v>
      </c>
      <c r="B1445" s="5" t="s">
        <v>97</v>
      </c>
      <c r="C1445" s="6">
        <v>1924400000</v>
      </c>
    </row>
    <row r="1446" spans="1:3" hidden="1">
      <c r="A1446" s="3" t="s">
        <v>19</v>
      </c>
      <c r="B1446" s="3" t="s">
        <v>97</v>
      </c>
      <c r="C1446" s="4">
        <v>2372906000</v>
      </c>
    </row>
    <row r="1447" spans="1:3" hidden="1">
      <c r="A1447" s="5" t="s">
        <v>19</v>
      </c>
      <c r="B1447" s="5" t="s">
        <v>97</v>
      </c>
      <c r="C1447" s="6">
        <v>2707115000</v>
      </c>
    </row>
    <row r="1448" spans="1:3" hidden="1">
      <c r="A1448" s="3" t="s">
        <v>19</v>
      </c>
      <c r="B1448" s="3" t="s">
        <v>97</v>
      </c>
      <c r="C1448" s="4">
        <v>3171411000</v>
      </c>
    </row>
    <row r="1449" spans="1:3" hidden="1">
      <c r="A1449" s="5" t="s">
        <v>28</v>
      </c>
      <c r="B1449" s="5" t="s">
        <v>512</v>
      </c>
      <c r="C1449" s="6">
        <v>11390000000</v>
      </c>
    </row>
    <row r="1450" spans="1:3" hidden="1">
      <c r="A1450" s="3" t="s">
        <v>28</v>
      </c>
      <c r="B1450" s="3" t="s">
        <v>512</v>
      </c>
      <c r="C1450" s="4">
        <v>11973000000</v>
      </c>
    </row>
    <row r="1451" spans="1:3" hidden="1">
      <c r="A1451" s="5" t="s">
        <v>28</v>
      </c>
      <c r="B1451" s="5" t="s">
        <v>512</v>
      </c>
      <c r="C1451" s="6">
        <v>12233000000</v>
      </c>
    </row>
    <row r="1452" spans="1:3" hidden="1">
      <c r="A1452" s="3" t="s">
        <v>28</v>
      </c>
      <c r="B1452" s="3" t="s">
        <v>512</v>
      </c>
      <c r="C1452" s="4">
        <v>12238000000</v>
      </c>
    </row>
    <row r="1453" spans="1:3" hidden="1">
      <c r="A1453" s="5" t="s">
        <v>25</v>
      </c>
      <c r="B1453" s="5" t="s">
        <v>514</v>
      </c>
      <c r="C1453" s="6">
        <v>5353197000</v>
      </c>
    </row>
    <row r="1454" spans="1:3" hidden="1">
      <c r="A1454" s="3" t="s">
        <v>25</v>
      </c>
      <c r="B1454" s="3" t="s">
        <v>514</v>
      </c>
      <c r="C1454" s="4">
        <v>1603123000</v>
      </c>
    </row>
    <row r="1455" spans="1:3" hidden="1">
      <c r="A1455" s="5" t="s">
        <v>25</v>
      </c>
      <c r="B1455" s="5" t="s">
        <v>514</v>
      </c>
      <c r="C1455" s="6">
        <v>2626141000</v>
      </c>
    </row>
    <row r="1456" spans="1:3" hidden="1">
      <c r="A1456" s="3" t="s">
        <v>25</v>
      </c>
      <c r="B1456" s="3" t="s">
        <v>514</v>
      </c>
      <c r="C1456" s="4">
        <v>3050945000</v>
      </c>
    </row>
    <row r="1457" spans="1:3" hidden="1">
      <c r="A1457" s="5" t="s">
        <v>25</v>
      </c>
      <c r="B1457" s="5" t="s">
        <v>203</v>
      </c>
      <c r="C1457" s="6">
        <v>73301000000</v>
      </c>
    </row>
    <row r="1458" spans="1:3" hidden="1">
      <c r="A1458" s="3" t="s">
        <v>25</v>
      </c>
      <c r="B1458" s="3" t="s">
        <v>203</v>
      </c>
      <c r="C1458" s="4">
        <v>71279000000</v>
      </c>
    </row>
    <row r="1459" spans="1:3" hidden="1">
      <c r="A1459" s="5" t="s">
        <v>25</v>
      </c>
      <c r="B1459" s="5" t="s">
        <v>203</v>
      </c>
      <c r="C1459" s="6">
        <v>72618000000</v>
      </c>
    </row>
    <row r="1460" spans="1:3" hidden="1">
      <c r="A1460" s="3" t="s">
        <v>25</v>
      </c>
      <c r="B1460" s="3" t="s">
        <v>203</v>
      </c>
      <c r="C1460" s="4">
        <v>73785000000</v>
      </c>
    </row>
    <row r="1461" spans="1:3" hidden="1">
      <c r="A1461" s="5" t="s">
        <v>25</v>
      </c>
      <c r="B1461" s="5" t="s">
        <v>295</v>
      </c>
      <c r="C1461" s="6">
        <v>3794249000</v>
      </c>
    </row>
    <row r="1462" spans="1:3" hidden="1">
      <c r="A1462" s="3" t="s">
        <v>25</v>
      </c>
      <c r="B1462" s="3" t="s">
        <v>295</v>
      </c>
      <c r="C1462" s="4">
        <v>4031100000</v>
      </c>
    </row>
    <row r="1463" spans="1:3" hidden="1">
      <c r="A1463" s="5" t="s">
        <v>25</v>
      </c>
      <c r="B1463" s="5" t="s">
        <v>295</v>
      </c>
      <c r="C1463" s="6">
        <v>4249900000</v>
      </c>
    </row>
    <row r="1464" spans="1:3" hidden="1">
      <c r="A1464" s="3" t="s">
        <v>25</v>
      </c>
      <c r="B1464" s="3" t="s">
        <v>295</v>
      </c>
      <c r="C1464" s="4">
        <v>4104900000</v>
      </c>
    </row>
    <row r="1465" spans="1:3" hidden="1">
      <c r="A1465" s="5" t="s">
        <v>25</v>
      </c>
      <c r="B1465" s="5" t="s">
        <v>263</v>
      </c>
      <c r="C1465" s="6">
        <v>25878372000</v>
      </c>
    </row>
    <row r="1466" spans="1:3" hidden="1">
      <c r="A1466" s="3" t="s">
        <v>25</v>
      </c>
      <c r="B1466" s="3" t="s">
        <v>263</v>
      </c>
      <c r="C1466" s="4">
        <v>27422696000</v>
      </c>
    </row>
    <row r="1467" spans="1:3" hidden="1">
      <c r="A1467" s="5" t="s">
        <v>25</v>
      </c>
      <c r="B1467" s="5" t="s">
        <v>263</v>
      </c>
      <c r="C1467" s="6">
        <v>29078407000</v>
      </c>
    </row>
    <row r="1468" spans="1:3" hidden="1">
      <c r="A1468" s="3" t="s">
        <v>25</v>
      </c>
      <c r="B1468" s="3" t="s">
        <v>263</v>
      </c>
      <c r="C1468" s="4">
        <v>30944938000</v>
      </c>
    </row>
    <row r="1469" spans="1:3" hidden="1">
      <c r="A1469" s="5" t="s">
        <v>53</v>
      </c>
      <c r="B1469" s="5" t="s">
        <v>54</v>
      </c>
      <c r="C1469" s="6">
        <v>3589516000</v>
      </c>
    </row>
    <row r="1470" spans="1:3" hidden="1">
      <c r="A1470" s="3" t="s">
        <v>53</v>
      </c>
      <c r="B1470" s="3" t="s">
        <v>54</v>
      </c>
      <c r="C1470" s="4">
        <v>3494253000</v>
      </c>
    </row>
    <row r="1471" spans="1:3" hidden="1">
      <c r="A1471" s="5" t="s">
        <v>53</v>
      </c>
      <c r="B1471" s="5" t="s">
        <v>54</v>
      </c>
      <c r="C1471" s="6">
        <v>3620095000</v>
      </c>
    </row>
    <row r="1472" spans="1:3" hidden="1">
      <c r="A1472" s="3" t="s">
        <v>53</v>
      </c>
      <c r="B1472" s="3" t="s">
        <v>54</v>
      </c>
      <c r="C1472" s="4">
        <v>3766065000</v>
      </c>
    </row>
    <row r="1473" spans="1:3" hidden="1">
      <c r="A1473" s="5" t="s">
        <v>31</v>
      </c>
      <c r="B1473" s="5" t="s">
        <v>36</v>
      </c>
      <c r="C1473" s="6">
        <v>12509900000</v>
      </c>
    </row>
    <row r="1474" spans="1:3" hidden="1">
      <c r="A1474" s="3" t="s">
        <v>31</v>
      </c>
      <c r="B1474" s="3" t="s">
        <v>36</v>
      </c>
      <c r="C1474" s="4">
        <v>13090300000</v>
      </c>
    </row>
    <row r="1475" spans="1:3" hidden="1">
      <c r="A1475" s="5" t="s">
        <v>31</v>
      </c>
      <c r="B1475" s="5" t="s">
        <v>36</v>
      </c>
      <c r="C1475" s="6">
        <v>16889600000</v>
      </c>
    </row>
    <row r="1476" spans="1:3" hidden="1">
      <c r="A1476" s="3" t="s">
        <v>31</v>
      </c>
      <c r="B1476" s="3" t="s">
        <v>36</v>
      </c>
      <c r="C1476" s="4">
        <v>16965400000</v>
      </c>
    </row>
    <row r="1477" spans="1:3" hidden="1">
      <c r="A1477" s="5" t="s">
        <v>25</v>
      </c>
      <c r="B1477" s="5" t="s">
        <v>83</v>
      </c>
      <c r="C1477" s="6">
        <v>763000000</v>
      </c>
    </row>
    <row r="1478" spans="1:3" hidden="1">
      <c r="A1478" s="3" t="s">
        <v>25</v>
      </c>
      <c r="B1478" s="3" t="s">
        <v>83</v>
      </c>
      <c r="C1478" s="4">
        <v>945000000</v>
      </c>
    </row>
    <row r="1479" spans="1:3" hidden="1">
      <c r="A1479" s="5" t="s">
        <v>25</v>
      </c>
      <c r="B1479" s="5" t="s">
        <v>83</v>
      </c>
      <c r="C1479" s="6">
        <v>1246000000</v>
      </c>
    </row>
    <row r="1480" spans="1:3" hidden="1">
      <c r="A1480" s="3" t="s">
        <v>25</v>
      </c>
      <c r="B1480" s="3" t="s">
        <v>83</v>
      </c>
      <c r="C1480" s="4">
        <v>1492000000</v>
      </c>
    </row>
    <row r="1481" spans="1:3" hidden="1">
      <c r="A1481" s="5" t="s">
        <v>53</v>
      </c>
      <c r="B1481" s="5" t="s">
        <v>56</v>
      </c>
      <c r="C1481" s="6">
        <v>26191000000</v>
      </c>
    </row>
    <row r="1482" spans="1:3" hidden="1">
      <c r="A1482" s="3" t="s">
        <v>53</v>
      </c>
      <c r="B1482" s="3" t="s">
        <v>56</v>
      </c>
      <c r="C1482" s="4">
        <v>27174000000</v>
      </c>
    </row>
    <row r="1483" spans="1:3" hidden="1">
      <c r="A1483" s="5" t="s">
        <v>53</v>
      </c>
      <c r="B1483" s="5" t="s">
        <v>56</v>
      </c>
      <c r="C1483" s="6">
        <v>26815000000</v>
      </c>
    </row>
    <row r="1484" spans="1:3" hidden="1">
      <c r="A1484" s="3" t="s">
        <v>53</v>
      </c>
      <c r="B1484" s="3" t="s">
        <v>56</v>
      </c>
      <c r="C1484" s="4">
        <v>27625000000</v>
      </c>
    </row>
    <row r="1485" spans="1:3" hidden="1">
      <c r="A1485" s="5" t="s">
        <v>25</v>
      </c>
      <c r="B1485" s="5" t="s">
        <v>523</v>
      </c>
      <c r="C1485" s="6">
        <v>4664120000</v>
      </c>
    </row>
    <row r="1486" spans="1:3" hidden="1">
      <c r="A1486" s="3" t="s">
        <v>25</v>
      </c>
      <c r="B1486" s="3" t="s">
        <v>523</v>
      </c>
      <c r="C1486" s="4">
        <v>5164784000</v>
      </c>
    </row>
    <row r="1487" spans="1:3" hidden="1">
      <c r="A1487" s="5" t="s">
        <v>25</v>
      </c>
      <c r="B1487" s="5" t="s">
        <v>523</v>
      </c>
      <c r="C1487" s="6">
        <v>5711715000</v>
      </c>
    </row>
    <row r="1488" spans="1:3" hidden="1">
      <c r="A1488" s="3" t="s">
        <v>25</v>
      </c>
      <c r="B1488" s="3" t="s">
        <v>523</v>
      </c>
      <c r="C1488" s="4">
        <v>6226507000</v>
      </c>
    </row>
    <row r="1489" spans="1:3" hidden="1">
      <c r="A1489" s="5" t="s">
        <v>42</v>
      </c>
      <c r="B1489" s="5" t="s">
        <v>130</v>
      </c>
      <c r="C1489" s="6">
        <v>34374000000</v>
      </c>
    </row>
    <row r="1490" spans="1:3" hidden="1">
      <c r="A1490" s="3" t="s">
        <v>42</v>
      </c>
      <c r="B1490" s="3" t="s">
        <v>130</v>
      </c>
      <c r="C1490" s="4">
        <v>37580000000</v>
      </c>
    </row>
    <row r="1491" spans="1:3" hidden="1">
      <c r="A1491" s="5" t="s">
        <v>42</v>
      </c>
      <c r="B1491" s="5" t="s">
        <v>130</v>
      </c>
      <c r="C1491" s="6">
        <v>41373000000</v>
      </c>
    </row>
    <row r="1492" spans="1:3" hidden="1">
      <c r="A1492" s="3" t="s">
        <v>42</v>
      </c>
      <c r="B1492" s="3" t="s">
        <v>130</v>
      </c>
      <c r="C1492" s="4">
        <v>36881000000</v>
      </c>
    </row>
    <row r="1493" spans="1:3">
      <c r="A1493" s="5" t="s">
        <v>89</v>
      </c>
      <c r="B1493" s="5" t="s">
        <v>347</v>
      </c>
      <c r="C1493" s="6">
        <v>29809000000</v>
      </c>
    </row>
    <row r="1494" spans="1:3">
      <c r="A1494" s="3" t="s">
        <v>89</v>
      </c>
      <c r="B1494" s="3" t="s">
        <v>347</v>
      </c>
      <c r="C1494" s="4">
        <v>37601000000</v>
      </c>
    </row>
    <row r="1495" spans="1:3">
      <c r="A1495" s="5" t="s">
        <v>89</v>
      </c>
      <c r="B1495" s="5" t="s">
        <v>347</v>
      </c>
      <c r="C1495" s="6">
        <v>40633000000</v>
      </c>
    </row>
    <row r="1496" spans="1:3">
      <c r="A1496" s="3" t="s">
        <v>89</v>
      </c>
      <c r="B1496" s="3" t="s">
        <v>347</v>
      </c>
      <c r="C1496" s="4">
        <v>28711000000</v>
      </c>
    </row>
    <row r="1497" spans="1:3" hidden="1">
      <c r="A1497" s="5" t="s">
        <v>28</v>
      </c>
      <c r="B1497" s="5" t="s">
        <v>63</v>
      </c>
      <c r="C1497" s="6">
        <v>1793557000</v>
      </c>
    </row>
    <row r="1498" spans="1:3" hidden="1">
      <c r="A1498" s="3" t="s">
        <v>28</v>
      </c>
      <c r="B1498" s="3" t="s">
        <v>63</v>
      </c>
      <c r="C1498" s="4">
        <v>2064305000</v>
      </c>
    </row>
    <row r="1499" spans="1:3" hidden="1">
      <c r="A1499" s="5" t="s">
        <v>28</v>
      </c>
      <c r="B1499" s="5" t="s">
        <v>63</v>
      </c>
      <c r="C1499" s="6">
        <v>2446877000</v>
      </c>
    </row>
    <row r="1500" spans="1:3" hidden="1">
      <c r="A1500" s="3" t="s">
        <v>28</v>
      </c>
      <c r="B1500" s="3" t="s">
        <v>63</v>
      </c>
      <c r="C1500" s="4">
        <v>2779541000</v>
      </c>
    </row>
    <row r="1501" spans="1:3" hidden="1">
      <c r="A1501" s="5" t="s">
        <v>28</v>
      </c>
      <c r="B1501" s="5" t="s">
        <v>40</v>
      </c>
      <c r="C1501" s="6">
        <v>12825000000</v>
      </c>
    </row>
    <row r="1502" spans="1:3" hidden="1">
      <c r="A1502" s="3" t="s">
        <v>28</v>
      </c>
      <c r="B1502" s="3" t="s">
        <v>40</v>
      </c>
      <c r="C1502" s="4">
        <v>12205000000</v>
      </c>
    </row>
    <row r="1503" spans="1:3" hidden="1">
      <c r="A1503" s="5" t="s">
        <v>28</v>
      </c>
      <c r="B1503" s="5" t="s">
        <v>40</v>
      </c>
      <c r="C1503" s="6">
        <v>13045000000</v>
      </c>
    </row>
    <row r="1504" spans="1:3" hidden="1">
      <c r="A1504" s="3" t="s">
        <v>28</v>
      </c>
      <c r="B1504" s="3" t="s">
        <v>40</v>
      </c>
      <c r="C1504" s="4">
        <v>13000000000</v>
      </c>
    </row>
    <row r="1505" spans="1:3" hidden="1">
      <c r="A1505" s="5" t="s">
        <v>19</v>
      </c>
      <c r="B1505" s="5" t="s">
        <v>170</v>
      </c>
      <c r="C1505" s="6">
        <v>12237000000</v>
      </c>
    </row>
    <row r="1506" spans="1:3" hidden="1">
      <c r="A1506" s="3" t="s">
        <v>19</v>
      </c>
      <c r="B1506" s="3" t="s">
        <v>170</v>
      </c>
      <c r="C1506" s="4">
        <v>12104000000</v>
      </c>
    </row>
    <row r="1507" spans="1:3" hidden="1">
      <c r="A1507" s="5" t="s">
        <v>19</v>
      </c>
      <c r="B1507" s="5" t="s">
        <v>170</v>
      </c>
      <c r="C1507" s="6">
        <v>13878000000</v>
      </c>
    </row>
    <row r="1508" spans="1:3" hidden="1">
      <c r="A1508" s="3" t="s">
        <v>19</v>
      </c>
      <c r="B1508" s="3" t="s">
        <v>170</v>
      </c>
      <c r="C1508" s="4">
        <v>13423000000</v>
      </c>
    </row>
    <row r="1509" spans="1:3" hidden="1">
      <c r="A1509" s="5" t="s">
        <v>25</v>
      </c>
      <c r="B1509" s="5" t="s">
        <v>295</v>
      </c>
      <c r="C1509" s="6">
        <v>1834921000</v>
      </c>
    </row>
    <row r="1510" spans="1:3" hidden="1">
      <c r="A1510" s="3" t="s">
        <v>25</v>
      </c>
      <c r="B1510" s="3" t="s">
        <v>295</v>
      </c>
      <c r="C1510" s="4">
        <v>2332051000</v>
      </c>
    </row>
    <row r="1511" spans="1:3" hidden="1">
      <c r="A1511" s="5" t="s">
        <v>25</v>
      </c>
      <c r="B1511" s="5" t="s">
        <v>295</v>
      </c>
      <c r="C1511" s="6">
        <v>3084370000</v>
      </c>
    </row>
    <row r="1512" spans="1:3" hidden="1">
      <c r="A1512" s="3" t="s">
        <v>25</v>
      </c>
      <c r="B1512" s="3" t="s">
        <v>295</v>
      </c>
      <c r="C1512" s="4">
        <v>3963313000</v>
      </c>
    </row>
    <row r="1513" spans="1:3" hidden="1">
      <c r="A1513" s="5" t="s">
        <v>25</v>
      </c>
      <c r="B1513" s="5" t="s">
        <v>295</v>
      </c>
      <c r="C1513" s="6">
        <v>1834921000</v>
      </c>
    </row>
    <row r="1514" spans="1:3" hidden="1">
      <c r="A1514" s="3" t="s">
        <v>25</v>
      </c>
      <c r="B1514" s="3" t="s">
        <v>295</v>
      </c>
      <c r="C1514" s="4">
        <v>2332051000</v>
      </c>
    </row>
    <row r="1515" spans="1:3" hidden="1">
      <c r="A1515" s="5" t="s">
        <v>25</v>
      </c>
      <c r="B1515" s="5" t="s">
        <v>295</v>
      </c>
      <c r="C1515" s="6">
        <v>3084370000</v>
      </c>
    </row>
    <row r="1516" spans="1:3" hidden="1">
      <c r="A1516" s="3" t="s">
        <v>25</v>
      </c>
      <c r="B1516" s="3" t="s">
        <v>295</v>
      </c>
      <c r="C1516" s="4">
        <v>3963313000</v>
      </c>
    </row>
    <row r="1517" spans="1:3" hidden="1">
      <c r="A1517" s="5" t="s">
        <v>19</v>
      </c>
      <c r="B1517" s="5" t="s">
        <v>20</v>
      </c>
      <c r="C1517" s="6">
        <v>37152000000</v>
      </c>
    </row>
    <row r="1518" spans="1:3" hidden="1">
      <c r="A1518" s="3" t="s">
        <v>19</v>
      </c>
      <c r="B1518" s="3" t="s">
        <v>20</v>
      </c>
      <c r="C1518" s="4">
        <v>38279000000</v>
      </c>
    </row>
    <row r="1519" spans="1:3" hidden="1">
      <c r="A1519" s="5" t="s">
        <v>19</v>
      </c>
      <c r="B1519" s="5" t="s">
        <v>20</v>
      </c>
      <c r="C1519" s="6">
        <v>38901000000</v>
      </c>
    </row>
    <row r="1520" spans="1:3" hidden="1">
      <c r="A1520" s="3" t="s">
        <v>19</v>
      </c>
      <c r="B1520" s="3" t="s">
        <v>20</v>
      </c>
      <c r="C1520" s="4">
        <v>37864000000</v>
      </c>
    </row>
    <row r="1521" spans="1:3" hidden="1">
      <c r="A1521" s="5" t="s">
        <v>58</v>
      </c>
      <c r="B1521" s="5" t="s">
        <v>240</v>
      </c>
      <c r="C1521" s="6">
        <v>716612000</v>
      </c>
    </row>
    <row r="1522" spans="1:3" hidden="1">
      <c r="A1522" s="3" t="s">
        <v>58</v>
      </c>
      <c r="B1522" s="3" t="s">
        <v>240</v>
      </c>
      <c r="C1522" s="4">
        <v>758926000</v>
      </c>
    </row>
    <row r="1523" spans="1:3" hidden="1">
      <c r="A1523" s="5" t="s">
        <v>58</v>
      </c>
      <c r="B1523" s="5" t="s">
        <v>240</v>
      </c>
      <c r="C1523" s="6">
        <v>818046000</v>
      </c>
    </row>
    <row r="1524" spans="1:3" hidden="1">
      <c r="A1524" s="3" t="s">
        <v>58</v>
      </c>
      <c r="B1524" s="3" t="s">
        <v>240</v>
      </c>
      <c r="C1524" s="4">
        <v>894638000</v>
      </c>
    </row>
    <row r="1525" spans="1:3" hidden="1">
      <c r="A1525" s="5" t="s">
        <v>25</v>
      </c>
      <c r="B1525" s="5" t="s">
        <v>85</v>
      </c>
      <c r="C1525" s="6">
        <v>2220256000</v>
      </c>
    </row>
    <row r="1526" spans="1:3" hidden="1">
      <c r="A1526" s="3" t="s">
        <v>25</v>
      </c>
      <c r="B1526" s="3" t="s">
        <v>85</v>
      </c>
      <c r="C1526" s="4">
        <v>2670573000</v>
      </c>
    </row>
    <row r="1527" spans="1:3" hidden="1">
      <c r="A1527" s="5" t="s">
        <v>25</v>
      </c>
      <c r="B1527" s="5" t="s">
        <v>85</v>
      </c>
      <c r="C1527" s="6">
        <v>3241369000</v>
      </c>
    </row>
    <row r="1528" spans="1:3" hidden="1">
      <c r="A1528" s="3" t="s">
        <v>25</v>
      </c>
      <c r="B1528" s="3" t="s">
        <v>85</v>
      </c>
      <c r="C1528" s="4">
        <v>3924116000</v>
      </c>
    </row>
    <row r="1529" spans="1:3" hidden="1">
      <c r="A1529" s="5" t="s">
        <v>31</v>
      </c>
      <c r="B1529" s="5" t="s">
        <v>87</v>
      </c>
      <c r="C1529" s="6">
        <v>122489000000</v>
      </c>
    </row>
    <row r="1530" spans="1:3" hidden="1">
      <c r="A1530" s="3" t="s">
        <v>31</v>
      </c>
      <c r="B1530" s="3" t="s">
        <v>87</v>
      </c>
      <c r="C1530" s="4">
        <v>130474000000</v>
      </c>
    </row>
    <row r="1531" spans="1:3" hidden="1">
      <c r="A1531" s="5" t="s">
        <v>31</v>
      </c>
      <c r="B1531" s="5" t="s">
        <v>87</v>
      </c>
      <c r="C1531" s="6">
        <v>157107000000</v>
      </c>
    </row>
    <row r="1532" spans="1:3" hidden="1">
      <c r="A1532" s="3" t="s">
        <v>31</v>
      </c>
      <c r="B1532" s="3" t="s">
        <v>87</v>
      </c>
      <c r="C1532" s="4">
        <v>184840000000</v>
      </c>
    </row>
    <row r="1533" spans="1:3" hidden="1">
      <c r="A1533" s="5" t="s">
        <v>53</v>
      </c>
      <c r="B1533" s="5" t="s">
        <v>385</v>
      </c>
      <c r="C1533" s="6">
        <v>10515400000</v>
      </c>
    </row>
    <row r="1534" spans="1:3" hidden="1">
      <c r="A1534" s="3" t="s">
        <v>53</v>
      </c>
      <c r="B1534" s="3" t="s">
        <v>385</v>
      </c>
      <c r="C1534" s="4">
        <v>10368600000</v>
      </c>
    </row>
    <row r="1535" spans="1:3" hidden="1">
      <c r="A1535" s="5" t="s">
        <v>53</v>
      </c>
      <c r="B1535" s="5" t="s">
        <v>385</v>
      </c>
      <c r="C1535" s="6">
        <v>10524500000</v>
      </c>
    </row>
    <row r="1536" spans="1:3" hidden="1">
      <c r="A1536" s="3" t="s">
        <v>53</v>
      </c>
      <c r="B1536" s="3" t="s">
        <v>385</v>
      </c>
      <c r="C1536" s="4">
        <v>10731300000</v>
      </c>
    </row>
    <row r="1537" spans="1:3" hidden="1">
      <c r="A1537" s="5" t="s">
        <v>19</v>
      </c>
      <c r="B1537" s="5" t="s">
        <v>184</v>
      </c>
      <c r="C1537" s="6">
        <v>21963000000</v>
      </c>
    </row>
    <row r="1538" spans="1:3" hidden="1">
      <c r="A1538" s="3" t="s">
        <v>19</v>
      </c>
      <c r="B1538" s="3" t="s">
        <v>184</v>
      </c>
      <c r="C1538" s="4">
        <v>23988000000</v>
      </c>
    </row>
    <row r="1539" spans="1:3" hidden="1">
      <c r="A1539" s="5" t="s">
        <v>19</v>
      </c>
      <c r="B1539" s="5" t="s">
        <v>184</v>
      </c>
      <c r="C1539" s="6">
        <v>21813000000</v>
      </c>
    </row>
    <row r="1540" spans="1:3" hidden="1">
      <c r="A1540" s="3" t="s">
        <v>19</v>
      </c>
      <c r="B1540" s="3" t="s">
        <v>184</v>
      </c>
      <c r="C1540" s="4">
        <v>19941000000</v>
      </c>
    </row>
    <row r="1541" spans="1:3" hidden="1">
      <c r="A1541" s="5" t="s">
        <v>19</v>
      </c>
      <c r="B1541" s="5" t="s">
        <v>152</v>
      </c>
      <c r="C1541" s="6">
        <v>54127000000</v>
      </c>
    </row>
    <row r="1542" spans="1:3" hidden="1">
      <c r="A1542" s="3" t="s">
        <v>19</v>
      </c>
      <c r="B1542" s="3" t="s">
        <v>152</v>
      </c>
      <c r="C1542" s="4">
        <v>55438000000</v>
      </c>
    </row>
    <row r="1543" spans="1:3" hidden="1">
      <c r="A1543" s="5" t="s">
        <v>19</v>
      </c>
      <c r="B1543" s="5" t="s">
        <v>152</v>
      </c>
      <c r="C1543" s="6">
        <v>58232000000</v>
      </c>
    </row>
    <row r="1544" spans="1:3" hidden="1">
      <c r="A1544" s="3" t="s">
        <v>19</v>
      </c>
      <c r="B1544" s="3" t="s">
        <v>152</v>
      </c>
      <c r="C1544" s="4">
        <v>58363000000</v>
      </c>
    </row>
    <row r="1545" spans="1:3" hidden="1">
      <c r="A1545" s="5" t="s">
        <v>25</v>
      </c>
      <c r="B1545" s="5" t="s">
        <v>263</v>
      </c>
      <c r="C1545" s="6">
        <v>2794925000</v>
      </c>
    </row>
    <row r="1546" spans="1:3" hidden="1">
      <c r="A1546" s="3" t="s">
        <v>25</v>
      </c>
      <c r="B1546" s="3" t="s">
        <v>263</v>
      </c>
      <c r="C1546" s="4">
        <v>3086608000</v>
      </c>
    </row>
    <row r="1547" spans="1:3" hidden="1">
      <c r="A1547" s="5" t="s">
        <v>25</v>
      </c>
      <c r="B1547" s="5" t="s">
        <v>263</v>
      </c>
      <c r="C1547" s="6">
        <v>3323077000</v>
      </c>
    </row>
    <row r="1548" spans="1:3" hidden="1">
      <c r="A1548" s="3" t="s">
        <v>25</v>
      </c>
      <c r="B1548" s="3" t="s">
        <v>263</v>
      </c>
      <c r="C1548" s="4">
        <v>3445134000</v>
      </c>
    </row>
    <row r="1549" spans="1:3" hidden="1">
      <c r="A1549" s="5" t="s">
        <v>53</v>
      </c>
      <c r="B1549" s="5" t="s">
        <v>111</v>
      </c>
      <c r="C1549" s="6">
        <v>2436948000</v>
      </c>
    </row>
    <row r="1550" spans="1:3" hidden="1">
      <c r="A1550" s="3" t="s">
        <v>53</v>
      </c>
      <c r="B1550" s="3" t="s">
        <v>111</v>
      </c>
      <c r="C1550" s="4">
        <v>2473500000</v>
      </c>
    </row>
    <row r="1551" spans="1:3" hidden="1">
      <c r="A1551" s="5" t="s">
        <v>53</v>
      </c>
      <c r="B1551" s="5" t="s">
        <v>111</v>
      </c>
      <c r="C1551" s="6">
        <v>2371200000</v>
      </c>
    </row>
    <row r="1552" spans="1:3" hidden="1">
      <c r="A1552" s="3" t="s">
        <v>53</v>
      </c>
      <c r="B1552" s="3" t="s">
        <v>111</v>
      </c>
      <c r="C1552" s="4">
        <v>2220300000</v>
      </c>
    </row>
    <row r="1553" spans="1:3" hidden="1">
      <c r="A1553" s="5" t="s">
        <v>19</v>
      </c>
      <c r="B1553" s="5" t="s">
        <v>170</v>
      </c>
      <c r="C1553" s="6">
        <v>56600000000</v>
      </c>
    </row>
    <row r="1554" spans="1:3" hidden="1">
      <c r="A1554" s="3" t="s">
        <v>19</v>
      </c>
      <c r="B1554" s="3" t="s">
        <v>170</v>
      </c>
      <c r="C1554" s="4">
        <v>57900000000</v>
      </c>
    </row>
    <row r="1555" spans="1:3" hidden="1">
      <c r="A1555" s="5" t="s">
        <v>19</v>
      </c>
      <c r="B1555" s="5" t="s">
        <v>170</v>
      </c>
      <c r="C1555" s="6">
        <v>56098000000</v>
      </c>
    </row>
    <row r="1556" spans="1:3" hidden="1">
      <c r="A1556" s="3" t="s">
        <v>19</v>
      </c>
      <c r="B1556" s="3" t="s">
        <v>170</v>
      </c>
      <c r="C1556" s="4">
        <v>57244000000</v>
      </c>
    </row>
    <row r="1557" spans="1:3" hidden="1">
      <c r="A1557" s="5" t="s">
        <v>28</v>
      </c>
      <c r="B1557" s="5" t="s">
        <v>63</v>
      </c>
      <c r="C1557" s="6">
        <v>11778000000</v>
      </c>
    </row>
    <row r="1558" spans="1:3" hidden="1">
      <c r="A1558" s="3" t="s">
        <v>28</v>
      </c>
      <c r="B1558" s="3" t="s">
        <v>63</v>
      </c>
      <c r="C1558" s="4">
        <v>12702000000</v>
      </c>
    </row>
    <row r="1559" spans="1:3" hidden="1">
      <c r="A1559" s="5" t="s">
        <v>28</v>
      </c>
      <c r="B1559" s="5" t="s">
        <v>63</v>
      </c>
      <c r="C1559" s="6">
        <v>13880000000</v>
      </c>
    </row>
    <row r="1560" spans="1:3" hidden="1">
      <c r="A1560" s="3" t="s">
        <v>28</v>
      </c>
      <c r="B1560" s="3" t="s">
        <v>63</v>
      </c>
      <c r="C1560" s="4">
        <v>15082000000</v>
      </c>
    </row>
    <row r="1561" spans="1:3" hidden="1">
      <c r="A1561" s="5" t="s">
        <v>31</v>
      </c>
      <c r="B1561" s="5" t="s">
        <v>36</v>
      </c>
      <c r="C1561" s="6">
        <v>2942897000</v>
      </c>
    </row>
    <row r="1562" spans="1:3" hidden="1">
      <c r="A1562" s="3" t="s">
        <v>31</v>
      </c>
      <c r="B1562" s="3" t="s">
        <v>36</v>
      </c>
      <c r="C1562" s="4">
        <v>3049800000</v>
      </c>
    </row>
    <row r="1563" spans="1:3" hidden="1">
      <c r="A1563" s="5" t="s">
        <v>31</v>
      </c>
      <c r="B1563" s="5" t="s">
        <v>36</v>
      </c>
      <c r="C1563" s="6">
        <v>3099100000</v>
      </c>
    </row>
    <row r="1564" spans="1:3" hidden="1">
      <c r="A1564" s="3" t="s">
        <v>31</v>
      </c>
      <c r="B1564" s="3" t="s">
        <v>36</v>
      </c>
      <c r="C1564" s="4">
        <v>3217800000</v>
      </c>
    </row>
    <row r="1565" spans="1:3" hidden="1">
      <c r="A1565" s="5" t="s">
        <v>25</v>
      </c>
      <c r="B1565" s="5" t="s">
        <v>295</v>
      </c>
      <c r="C1565" s="6">
        <v>10879855000</v>
      </c>
    </row>
    <row r="1566" spans="1:3" hidden="1">
      <c r="A1566" s="3" t="s">
        <v>25</v>
      </c>
      <c r="B1566" s="3" t="s">
        <v>295</v>
      </c>
      <c r="C1566" s="4">
        <v>11419648000</v>
      </c>
    </row>
    <row r="1567" spans="1:3" hidden="1">
      <c r="A1567" s="5" t="s">
        <v>25</v>
      </c>
      <c r="B1567" s="5" t="s">
        <v>295</v>
      </c>
      <c r="C1567" s="6">
        <v>12282161000</v>
      </c>
    </row>
    <row r="1568" spans="1:3" hidden="1">
      <c r="A1568" s="3" t="s">
        <v>25</v>
      </c>
      <c r="B1568" s="3" t="s">
        <v>295</v>
      </c>
      <c r="C1568" s="4">
        <v>12376744000</v>
      </c>
    </row>
    <row r="1569" spans="1:3" hidden="1">
      <c r="A1569" s="5" t="s">
        <v>25</v>
      </c>
      <c r="B1569" s="5" t="s">
        <v>210</v>
      </c>
      <c r="C1569" s="6">
        <v>13794000000</v>
      </c>
    </row>
    <row r="1570" spans="1:3" hidden="1">
      <c r="A1570" s="3" t="s">
        <v>25</v>
      </c>
      <c r="B1570" s="3" t="s">
        <v>210</v>
      </c>
      <c r="C1570" s="4">
        <v>13783000000</v>
      </c>
    </row>
    <row r="1571" spans="1:3" hidden="1">
      <c r="A1571" s="5" t="s">
        <v>25</v>
      </c>
      <c r="B1571" s="5" t="s">
        <v>210</v>
      </c>
      <c r="C1571" s="6">
        <v>13268000000</v>
      </c>
    </row>
    <row r="1572" spans="1:3" hidden="1">
      <c r="A1572" s="3" t="s">
        <v>25</v>
      </c>
      <c r="B1572" s="3" t="s">
        <v>210</v>
      </c>
      <c r="C1572" s="4">
        <v>12488000000</v>
      </c>
    </row>
    <row r="1573" spans="1:3">
      <c r="A1573" s="5" t="s">
        <v>89</v>
      </c>
      <c r="B1573" s="5" t="s">
        <v>347</v>
      </c>
      <c r="C1573" s="6">
        <v>138393000000</v>
      </c>
    </row>
    <row r="1574" spans="1:3">
      <c r="A1574" s="3" t="s">
        <v>89</v>
      </c>
      <c r="B1574" s="3" t="s">
        <v>347</v>
      </c>
      <c r="C1574" s="4">
        <v>138074000000</v>
      </c>
    </row>
    <row r="1575" spans="1:3">
      <c r="A1575" s="5" t="s">
        <v>89</v>
      </c>
      <c r="B1575" s="5" t="s">
        <v>347</v>
      </c>
      <c r="C1575" s="6">
        <v>130844000000</v>
      </c>
    </row>
    <row r="1576" spans="1:3">
      <c r="A1576" s="3" t="s">
        <v>89</v>
      </c>
      <c r="B1576" s="3" t="s">
        <v>347</v>
      </c>
      <c r="C1576" s="4">
        <v>87804000000</v>
      </c>
    </row>
    <row r="1577" spans="1:3" hidden="1">
      <c r="A1577" s="5" t="s">
        <v>65</v>
      </c>
      <c r="B1577" s="5" t="s">
        <v>393</v>
      </c>
      <c r="C1577" s="6">
        <v>2567310000</v>
      </c>
    </row>
    <row r="1578" spans="1:3" hidden="1">
      <c r="A1578" s="3" t="s">
        <v>65</v>
      </c>
      <c r="B1578" s="3" t="s">
        <v>393</v>
      </c>
      <c r="C1578" s="4">
        <v>2770709000</v>
      </c>
    </row>
    <row r="1579" spans="1:3" hidden="1">
      <c r="A1579" s="5" t="s">
        <v>65</v>
      </c>
      <c r="B1579" s="5" t="s">
        <v>393</v>
      </c>
      <c r="C1579" s="6">
        <v>2994169000</v>
      </c>
    </row>
    <row r="1580" spans="1:3" hidden="1">
      <c r="A1580" s="3" t="s">
        <v>65</v>
      </c>
      <c r="B1580" s="3" t="s">
        <v>393</v>
      </c>
      <c r="C1580" s="4">
        <v>3422181000</v>
      </c>
    </row>
    <row r="1581" spans="1:3" hidden="1">
      <c r="A1581" s="5" t="s">
        <v>58</v>
      </c>
      <c r="B1581" s="5" t="s">
        <v>59</v>
      </c>
      <c r="C1581" s="6">
        <v>2299176000</v>
      </c>
    </row>
    <row r="1582" spans="1:3" hidden="1">
      <c r="A1582" s="3" t="s">
        <v>58</v>
      </c>
      <c r="B1582" s="3" t="s">
        <v>59</v>
      </c>
      <c r="C1582" s="4">
        <v>2312512000</v>
      </c>
    </row>
    <row r="1583" spans="1:3" hidden="1">
      <c r="A1583" s="5" t="s">
        <v>58</v>
      </c>
      <c r="B1583" s="5" t="s">
        <v>59</v>
      </c>
      <c r="C1583" s="6">
        <v>2502267000</v>
      </c>
    </row>
    <row r="1584" spans="1:3" hidden="1">
      <c r="A1584" s="3" t="s">
        <v>58</v>
      </c>
      <c r="B1584" s="3" t="s">
        <v>59</v>
      </c>
      <c r="C1584" s="4">
        <v>2506202000</v>
      </c>
    </row>
    <row r="1585" spans="1:3" hidden="1">
      <c r="A1585" s="5" t="s">
        <v>19</v>
      </c>
      <c r="B1585" s="5" t="s">
        <v>217</v>
      </c>
      <c r="C1585" s="6">
        <v>1407848000</v>
      </c>
    </row>
    <row r="1586" spans="1:3" hidden="1">
      <c r="A1586" s="3" t="s">
        <v>19</v>
      </c>
      <c r="B1586" s="3" t="s">
        <v>217</v>
      </c>
      <c r="C1586" s="4">
        <v>1595703000</v>
      </c>
    </row>
    <row r="1587" spans="1:3" hidden="1">
      <c r="A1587" s="5" t="s">
        <v>19</v>
      </c>
      <c r="B1587" s="5" t="s">
        <v>217</v>
      </c>
      <c r="C1587" s="6">
        <v>1746726000</v>
      </c>
    </row>
    <row r="1588" spans="1:3" hidden="1">
      <c r="A1588" s="3" t="s">
        <v>19</v>
      </c>
      <c r="B1588" s="3" t="s">
        <v>217</v>
      </c>
      <c r="C1588" s="4">
        <v>2068010000</v>
      </c>
    </row>
    <row r="1589" spans="1:3" hidden="1">
      <c r="A1589" s="5" t="s">
        <v>28</v>
      </c>
      <c r="B1589" s="5" t="s">
        <v>63</v>
      </c>
      <c r="C1589" s="6">
        <v>873592000</v>
      </c>
    </row>
    <row r="1590" spans="1:3" hidden="1">
      <c r="A1590" s="3" t="s">
        <v>28</v>
      </c>
      <c r="B1590" s="3" t="s">
        <v>63</v>
      </c>
      <c r="C1590" s="4">
        <v>965087000</v>
      </c>
    </row>
    <row r="1591" spans="1:3" hidden="1">
      <c r="A1591" s="5" t="s">
        <v>28</v>
      </c>
      <c r="B1591" s="5" t="s">
        <v>63</v>
      </c>
      <c r="C1591" s="6">
        <v>1010117000</v>
      </c>
    </row>
    <row r="1592" spans="1:3" hidden="1">
      <c r="A1592" s="3" t="s">
        <v>28</v>
      </c>
      <c r="B1592" s="3" t="s">
        <v>63</v>
      </c>
      <c r="C1592" s="4">
        <v>1059366000</v>
      </c>
    </row>
    <row r="1593" spans="1:3" hidden="1">
      <c r="A1593" s="5" t="s">
        <v>31</v>
      </c>
      <c r="B1593" s="5" t="s">
        <v>72</v>
      </c>
      <c r="C1593" s="6">
        <v>1527042000</v>
      </c>
    </row>
    <row r="1594" spans="1:3" hidden="1">
      <c r="A1594" s="3" t="s">
        <v>31</v>
      </c>
      <c r="B1594" s="3" t="s">
        <v>72</v>
      </c>
      <c r="C1594" s="4">
        <v>1211975000</v>
      </c>
    </row>
    <row r="1595" spans="1:3" hidden="1">
      <c r="A1595" s="5" t="s">
        <v>31</v>
      </c>
      <c r="B1595" s="5" t="s">
        <v>72</v>
      </c>
      <c r="C1595" s="6">
        <v>580415000</v>
      </c>
    </row>
    <row r="1596" spans="1:3" hidden="1">
      <c r="A1596" s="3" t="s">
        <v>31</v>
      </c>
      <c r="B1596" s="3" t="s">
        <v>72</v>
      </c>
      <c r="C1596" s="4">
        <v>1032336000</v>
      </c>
    </row>
    <row r="1597" spans="1:3" hidden="1">
      <c r="A1597" s="5" t="s">
        <v>58</v>
      </c>
      <c r="B1597" s="5" t="s">
        <v>59</v>
      </c>
      <c r="C1597" s="6">
        <v>2514595000</v>
      </c>
    </row>
    <row r="1598" spans="1:3" hidden="1">
      <c r="A1598" s="3" t="s">
        <v>58</v>
      </c>
      <c r="B1598" s="3" t="s">
        <v>59</v>
      </c>
      <c r="C1598" s="4">
        <v>2772550000</v>
      </c>
    </row>
    <row r="1599" spans="1:3" hidden="1">
      <c r="A1599" s="5" t="s">
        <v>58</v>
      </c>
      <c r="B1599" s="5" t="s">
        <v>59</v>
      </c>
      <c r="C1599" s="6">
        <v>3285346000</v>
      </c>
    </row>
    <row r="1600" spans="1:3" hidden="1">
      <c r="A1600" s="3" t="s">
        <v>58</v>
      </c>
      <c r="B1600" s="3" t="s">
        <v>59</v>
      </c>
      <c r="C1600" s="4">
        <v>3442646000</v>
      </c>
    </row>
    <row r="1601" spans="1:3" hidden="1">
      <c r="A1601" s="5" t="s">
        <v>188</v>
      </c>
      <c r="B1601" s="5" t="s">
        <v>189</v>
      </c>
      <c r="C1601" s="6">
        <v>115846000000</v>
      </c>
    </row>
    <row r="1602" spans="1:3" hidden="1">
      <c r="A1602" s="3" t="s">
        <v>188</v>
      </c>
      <c r="B1602" s="3" t="s">
        <v>189</v>
      </c>
      <c r="C1602" s="4">
        <v>120550000000</v>
      </c>
    </row>
    <row r="1603" spans="1:3" hidden="1">
      <c r="A1603" s="5" t="s">
        <v>188</v>
      </c>
      <c r="B1603" s="5" t="s">
        <v>189</v>
      </c>
      <c r="C1603" s="6">
        <v>127079000000</v>
      </c>
    </row>
    <row r="1604" spans="1:3" hidden="1">
      <c r="A1604" s="3" t="s">
        <v>188</v>
      </c>
      <c r="B1604" s="3" t="s">
        <v>189</v>
      </c>
      <c r="C1604" s="4">
        <v>131620000000</v>
      </c>
    </row>
    <row r="1605" spans="1:3" hidden="1">
      <c r="A1605" s="5" t="s">
        <v>31</v>
      </c>
      <c r="B1605" s="5" t="s">
        <v>34</v>
      </c>
      <c r="C1605" s="6">
        <v>1843641000</v>
      </c>
    </row>
    <row r="1606" spans="1:3" hidden="1">
      <c r="A1606" s="3" t="s">
        <v>31</v>
      </c>
      <c r="B1606" s="3" t="s">
        <v>34</v>
      </c>
      <c r="C1606" s="4">
        <v>1904218000</v>
      </c>
    </row>
    <row r="1607" spans="1:3" hidden="1">
      <c r="A1607" s="5" t="s">
        <v>31</v>
      </c>
      <c r="B1607" s="5" t="s">
        <v>34</v>
      </c>
      <c r="C1607" s="6">
        <v>1989344000</v>
      </c>
    </row>
    <row r="1608" spans="1:3" hidden="1">
      <c r="A1608" s="3" t="s">
        <v>31</v>
      </c>
      <c r="B1608" s="3" t="s">
        <v>34</v>
      </c>
      <c r="C1608" s="4">
        <v>2042332000</v>
      </c>
    </row>
    <row r="1609" spans="1:3" hidden="1">
      <c r="A1609" s="5" t="s">
        <v>28</v>
      </c>
      <c r="B1609" s="5" t="s">
        <v>495</v>
      </c>
      <c r="C1609" s="6">
        <v>15351000000</v>
      </c>
    </row>
    <row r="1610" spans="1:3" hidden="1">
      <c r="A1610" s="3" t="s">
        <v>28</v>
      </c>
      <c r="B1610" s="3" t="s">
        <v>495</v>
      </c>
      <c r="C1610" s="4">
        <v>15130000000</v>
      </c>
    </row>
    <row r="1611" spans="1:3" hidden="1">
      <c r="A1611" s="5" t="s">
        <v>28</v>
      </c>
      <c r="B1611" s="5" t="s">
        <v>495</v>
      </c>
      <c r="C1611" s="6">
        <v>14572000000</v>
      </c>
    </row>
    <row r="1612" spans="1:3" hidden="1">
      <c r="A1612" s="3" t="s">
        <v>28</v>
      </c>
      <c r="B1612" s="3" t="s">
        <v>495</v>
      </c>
      <c r="C1612" s="4">
        <v>12994000000</v>
      </c>
    </row>
    <row r="1613" spans="1:3" hidden="1">
      <c r="A1613" s="5" t="s">
        <v>48</v>
      </c>
      <c r="B1613" s="5" t="s">
        <v>51</v>
      </c>
      <c r="C1613" s="6">
        <v>4246400000</v>
      </c>
    </row>
    <row r="1614" spans="1:3" hidden="1">
      <c r="A1614" s="3" t="s">
        <v>48</v>
      </c>
      <c r="B1614" s="3" t="s">
        <v>51</v>
      </c>
      <c r="C1614" s="4">
        <v>4519000000</v>
      </c>
    </row>
    <row r="1615" spans="1:3" hidden="1">
      <c r="A1615" s="5" t="s">
        <v>48</v>
      </c>
      <c r="B1615" s="5" t="s">
        <v>51</v>
      </c>
      <c r="C1615" s="6">
        <v>4997100000</v>
      </c>
    </row>
    <row r="1616" spans="1:3" hidden="1">
      <c r="A1616" s="3" t="s">
        <v>48</v>
      </c>
      <c r="B1616" s="3" t="s">
        <v>51</v>
      </c>
      <c r="C1616" s="4">
        <v>5926100000</v>
      </c>
    </row>
    <row r="1617" spans="1:3" hidden="1">
      <c r="A1617" s="5" t="s">
        <v>53</v>
      </c>
      <c r="B1617" s="5" t="s">
        <v>111</v>
      </c>
      <c r="C1617" s="6">
        <v>91247000000</v>
      </c>
    </row>
    <row r="1618" spans="1:3" hidden="1">
      <c r="A1618" s="3" t="s">
        <v>53</v>
      </c>
      <c r="B1618" s="3" t="s">
        <v>111</v>
      </c>
      <c r="C1618" s="4">
        <v>88069000000</v>
      </c>
    </row>
    <row r="1619" spans="1:3" hidden="1">
      <c r="A1619" s="5" t="s">
        <v>53</v>
      </c>
      <c r="B1619" s="5" t="s">
        <v>111</v>
      </c>
      <c r="C1619" s="6">
        <v>88372000000</v>
      </c>
    </row>
    <row r="1620" spans="1:3" hidden="1">
      <c r="A1620" s="3" t="s">
        <v>53</v>
      </c>
      <c r="B1620" s="3" t="s">
        <v>111</v>
      </c>
      <c r="C1620" s="4">
        <v>90033000000</v>
      </c>
    </row>
    <row r="1621" spans="1:3" hidden="1">
      <c r="A1621" s="5" t="s">
        <v>42</v>
      </c>
      <c r="B1621" s="5" t="s">
        <v>352</v>
      </c>
      <c r="C1621" s="6">
        <v>12917000000</v>
      </c>
    </row>
    <row r="1622" spans="1:3" hidden="1">
      <c r="A1622" s="3" t="s">
        <v>42</v>
      </c>
      <c r="B1622" s="3" t="s">
        <v>352</v>
      </c>
      <c r="C1622" s="4">
        <v>14194000000</v>
      </c>
    </row>
    <row r="1623" spans="1:3" hidden="1">
      <c r="A1623" s="5" t="s">
        <v>42</v>
      </c>
      <c r="B1623" s="5" t="s">
        <v>352</v>
      </c>
      <c r="C1623" s="6">
        <v>15389000000</v>
      </c>
    </row>
    <row r="1624" spans="1:3" hidden="1">
      <c r="A1624" s="3" t="s">
        <v>42</v>
      </c>
      <c r="B1624" s="3" t="s">
        <v>352</v>
      </c>
      <c r="C1624" s="4">
        <v>15724000000</v>
      </c>
    </row>
    <row r="1625" spans="1:3" hidden="1">
      <c r="A1625" s="5" t="s">
        <v>25</v>
      </c>
      <c r="B1625" s="5" t="s">
        <v>486</v>
      </c>
      <c r="C1625" s="6">
        <v>18769000000</v>
      </c>
    </row>
    <row r="1626" spans="1:3" hidden="1">
      <c r="A1626" s="3" t="s">
        <v>25</v>
      </c>
      <c r="B1626" s="3" t="s">
        <v>486</v>
      </c>
      <c r="C1626" s="4">
        <v>19872000000</v>
      </c>
    </row>
    <row r="1627" spans="1:3" hidden="1">
      <c r="A1627" s="5" t="s">
        <v>25</v>
      </c>
      <c r="B1627" s="5" t="s">
        <v>486</v>
      </c>
      <c r="C1627" s="6">
        <v>20891000000</v>
      </c>
    </row>
    <row r="1628" spans="1:3" hidden="1">
      <c r="A1628" s="3" t="s">
        <v>25</v>
      </c>
      <c r="B1628" s="3" t="s">
        <v>486</v>
      </c>
      <c r="C1628" s="4">
        <v>20718000000</v>
      </c>
    </row>
    <row r="1629" spans="1:3" hidden="1">
      <c r="A1629" s="5" t="s">
        <v>19</v>
      </c>
      <c r="B1629" s="5" t="s">
        <v>560</v>
      </c>
      <c r="C1629" s="6">
        <v>13983000000</v>
      </c>
    </row>
    <row r="1630" spans="1:3" hidden="1">
      <c r="A1630" s="3" t="s">
        <v>19</v>
      </c>
      <c r="B1630" s="3" t="s">
        <v>560</v>
      </c>
      <c r="C1630" s="4">
        <v>13996000000</v>
      </c>
    </row>
    <row r="1631" spans="1:3" hidden="1">
      <c r="A1631" s="5" t="s">
        <v>19</v>
      </c>
      <c r="B1631" s="5" t="s">
        <v>560</v>
      </c>
      <c r="C1631" s="6">
        <v>12961000000</v>
      </c>
    </row>
    <row r="1632" spans="1:3" hidden="1">
      <c r="A1632" s="3" t="s">
        <v>19</v>
      </c>
      <c r="B1632" s="3" t="s">
        <v>560</v>
      </c>
      <c r="C1632" s="4">
        <v>13609000000</v>
      </c>
    </row>
    <row r="1633" spans="1:3">
      <c r="A1633" s="5" t="s">
        <v>89</v>
      </c>
      <c r="B1633" s="5" t="s">
        <v>90</v>
      </c>
      <c r="C1633" s="6">
        <v>7486000000</v>
      </c>
    </row>
    <row r="1634" spans="1:3">
      <c r="A1634" s="3" t="s">
        <v>89</v>
      </c>
      <c r="B1634" s="3" t="s">
        <v>90</v>
      </c>
      <c r="C1634" s="4">
        <v>6860000000</v>
      </c>
    </row>
    <row r="1635" spans="1:3">
      <c r="A1635" s="5" t="s">
        <v>89</v>
      </c>
      <c r="B1635" s="5" t="s">
        <v>90</v>
      </c>
      <c r="C1635" s="6">
        <v>7637000000</v>
      </c>
    </row>
    <row r="1636" spans="1:3">
      <c r="A1636" s="3" t="s">
        <v>89</v>
      </c>
      <c r="B1636" s="3" t="s">
        <v>90</v>
      </c>
      <c r="C1636" s="4">
        <v>7360000000</v>
      </c>
    </row>
    <row r="1637" spans="1:3" hidden="1">
      <c r="A1637" s="5" t="s">
        <v>42</v>
      </c>
      <c r="B1637" s="5" t="s">
        <v>174</v>
      </c>
      <c r="C1637" s="6">
        <v>468651000000</v>
      </c>
    </row>
    <row r="1638" spans="1:3" hidden="1">
      <c r="A1638" s="3" t="s">
        <v>42</v>
      </c>
      <c r="B1638" s="3" t="s">
        <v>174</v>
      </c>
      <c r="C1638" s="4">
        <v>476294000000</v>
      </c>
    </row>
    <row r="1639" spans="1:3" hidden="1">
      <c r="A1639" s="5" t="s">
        <v>42</v>
      </c>
      <c r="B1639" s="5" t="s">
        <v>174</v>
      </c>
      <c r="C1639" s="6">
        <v>485651000000</v>
      </c>
    </row>
    <row r="1640" spans="1:3" hidden="1">
      <c r="A1640" s="3" t="s">
        <v>42</v>
      </c>
      <c r="B1640" s="3" t="s">
        <v>174</v>
      </c>
      <c r="C1640" s="4">
        <v>482130000000</v>
      </c>
    </row>
    <row r="1641" spans="1:3" hidden="1">
      <c r="A1641" s="5" t="s">
        <v>65</v>
      </c>
      <c r="B1641" s="5" t="s">
        <v>102</v>
      </c>
      <c r="C1641" s="6">
        <v>9895100000</v>
      </c>
    </row>
    <row r="1642" spans="1:3" hidden="1">
      <c r="A1642" s="3" t="s">
        <v>65</v>
      </c>
      <c r="B1642" s="3" t="s">
        <v>102</v>
      </c>
      <c r="C1642" s="4">
        <v>11124800000</v>
      </c>
    </row>
    <row r="1643" spans="1:3" hidden="1">
      <c r="A1643" s="5" t="s">
        <v>65</v>
      </c>
      <c r="B1643" s="5" t="s">
        <v>102</v>
      </c>
      <c r="C1643" s="6">
        <v>14171800000</v>
      </c>
    </row>
    <row r="1644" spans="1:3" hidden="1">
      <c r="A1644" s="3" t="s">
        <v>28</v>
      </c>
      <c r="B1644" s="3" t="s">
        <v>63</v>
      </c>
      <c r="C1644" s="4">
        <v>5664800000</v>
      </c>
    </row>
    <row r="1645" spans="1:3" hidden="1">
      <c r="A1645" s="5" t="s">
        <v>28</v>
      </c>
      <c r="B1645" s="5" t="s">
        <v>63</v>
      </c>
      <c r="C1645" s="6">
        <v>5542000000</v>
      </c>
    </row>
    <row r="1646" spans="1:3" hidden="1">
      <c r="A1646" s="3" t="s">
        <v>28</v>
      </c>
      <c r="B1646" s="3" t="s">
        <v>63</v>
      </c>
      <c r="C1646" s="4">
        <v>5607200000</v>
      </c>
    </row>
    <row r="1647" spans="1:3" hidden="1">
      <c r="A1647" s="5" t="s">
        <v>28</v>
      </c>
      <c r="B1647" s="5" t="s">
        <v>63</v>
      </c>
      <c r="C1647" s="6">
        <v>5483700000</v>
      </c>
    </row>
    <row r="1648" spans="1:3" hidden="1">
      <c r="A1648" s="3" t="s">
        <v>58</v>
      </c>
      <c r="B1648" s="3" t="s">
        <v>59</v>
      </c>
      <c r="C1648" s="4">
        <v>5989000000</v>
      </c>
    </row>
    <row r="1649" spans="1:3" hidden="1">
      <c r="A1649" s="5" t="s">
        <v>58</v>
      </c>
      <c r="B1649" s="5" t="s">
        <v>59</v>
      </c>
      <c r="C1649" s="6">
        <v>7254000000</v>
      </c>
    </row>
    <row r="1650" spans="1:3" hidden="1">
      <c r="A1650" s="3" t="s">
        <v>58</v>
      </c>
      <c r="B1650" s="3" t="s">
        <v>59</v>
      </c>
      <c r="C1650" s="4">
        <v>7403000000</v>
      </c>
    </row>
    <row r="1651" spans="1:3" hidden="1">
      <c r="A1651" s="5" t="s">
        <v>58</v>
      </c>
      <c r="B1651" s="5" t="s">
        <v>59</v>
      </c>
      <c r="C1651" s="6">
        <v>7082000000</v>
      </c>
    </row>
    <row r="1652" spans="1:3" hidden="1">
      <c r="A1652" s="3" t="s">
        <v>25</v>
      </c>
      <c r="B1652" s="3" t="s">
        <v>139</v>
      </c>
      <c r="C1652" s="4">
        <v>4534000000</v>
      </c>
    </row>
    <row r="1653" spans="1:3" hidden="1">
      <c r="A1653" s="5" t="s">
        <v>25</v>
      </c>
      <c r="B1653" s="5" t="s">
        <v>139</v>
      </c>
      <c r="C1653" s="6">
        <v>5009000000</v>
      </c>
    </row>
    <row r="1654" spans="1:3" hidden="1">
      <c r="A1654" s="3" t="s">
        <v>25</v>
      </c>
      <c r="B1654" s="3" t="s">
        <v>139</v>
      </c>
      <c r="C1654" s="4">
        <v>5281000000</v>
      </c>
    </row>
    <row r="1655" spans="1:3" hidden="1">
      <c r="A1655" s="5" t="s">
        <v>25</v>
      </c>
      <c r="B1655" s="5" t="s">
        <v>139</v>
      </c>
      <c r="C1655" s="6">
        <v>5536000000</v>
      </c>
    </row>
    <row r="1656" spans="1:3" hidden="1">
      <c r="A1656" s="3" t="s">
        <v>25</v>
      </c>
      <c r="B1656" s="3" t="s">
        <v>568</v>
      </c>
      <c r="C1656" s="4">
        <v>5154284000</v>
      </c>
    </row>
    <row r="1657" spans="1:3" hidden="1">
      <c r="A1657" s="5" t="s">
        <v>25</v>
      </c>
      <c r="B1657" s="5" t="s">
        <v>568</v>
      </c>
      <c r="C1657" s="6">
        <v>5620936000</v>
      </c>
    </row>
    <row r="1658" spans="1:3" hidden="1">
      <c r="A1658" s="3" t="s">
        <v>25</v>
      </c>
      <c r="B1658" s="3" t="s">
        <v>568</v>
      </c>
      <c r="C1658" s="4">
        <v>5433661000</v>
      </c>
    </row>
    <row r="1659" spans="1:3" hidden="1">
      <c r="A1659" s="5" t="s">
        <v>25</v>
      </c>
      <c r="B1659" s="5" t="s">
        <v>568</v>
      </c>
      <c r="C1659" s="6">
        <v>4075883000</v>
      </c>
    </row>
    <row r="1660" spans="1:3">
      <c r="A1660" s="3" t="s">
        <v>89</v>
      </c>
      <c r="B1660" s="3" t="s">
        <v>90</v>
      </c>
      <c r="C1660" s="4">
        <v>1623938000</v>
      </c>
    </row>
    <row r="1661" spans="1:3">
      <c r="A1661" s="5" t="s">
        <v>89</v>
      </c>
      <c r="B1661" s="5" t="s">
        <v>90</v>
      </c>
      <c r="C1661" s="6">
        <v>1998051000</v>
      </c>
    </row>
    <row r="1662" spans="1:3">
      <c r="A1662" s="3" t="s">
        <v>89</v>
      </c>
      <c r="B1662" s="3" t="s">
        <v>90</v>
      </c>
      <c r="C1662" s="4">
        <v>2424176000</v>
      </c>
    </row>
    <row r="1663" spans="1:3">
      <c r="A1663" s="5" t="s">
        <v>89</v>
      </c>
      <c r="B1663" s="5" t="s">
        <v>90</v>
      </c>
      <c r="C1663" s="6">
        <v>1452619000</v>
      </c>
    </row>
    <row r="1664" spans="1:3" hidden="1">
      <c r="A1664" s="3" t="s">
        <v>48</v>
      </c>
      <c r="B1664" s="3" t="s">
        <v>49</v>
      </c>
      <c r="C1664" s="4">
        <v>10128223000</v>
      </c>
    </row>
    <row r="1665" spans="1:3" hidden="1">
      <c r="A1665" s="5" t="s">
        <v>48</v>
      </c>
      <c r="B1665" s="5" t="s">
        <v>49</v>
      </c>
      <c r="C1665" s="6">
        <v>10914922000</v>
      </c>
    </row>
    <row r="1666" spans="1:3" hidden="1">
      <c r="A1666" s="3" t="s">
        <v>48</v>
      </c>
      <c r="B1666" s="3" t="s">
        <v>49</v>
      </c>
      <c r="C1666" s="4">
        <v>11686135000</v>
      </c>
    </row>
    <row r="1667" spans="1:3" hidden="1">
      <c r="A1667" s="5" t="s">
        <v>48</v>
      </c>
      <c r="B1667" s="5" t="s">
        <v>49</v>
      </c>
      <c r="C1667" s="6">
        <v>11024486000</v>
      </c>
    </row>
    <row r="1668" spans="1:3" hidden="1">
      <c r="A1668" s="3" t="s">
        <v>53</v>
      </c>
      <c r="B1668" s="3" t="s">
        <v>56</v>
      </c>
      <c r="C1668" s="4">
        <v>7232397000</v>
      </c>
    </row>
    <row r="1669" spans="1:3" hidden="1">
      <c r="A1669" s="5" t="s">
        <v>53</v>
      </c>
      <c r="B1669" s="5" t="s">
        <v>56</v>
      </c>
      <c r="C1669" s="6">
        <v>7541234000</v>
      </c>
    </row>
    <row r="1670" spans="1:3" hidden="1">
      <c r="A1670" s="3" t="s">
        <v>53</v>
      </c>
      <c r="B1670" s="3" t="s">
        <v>56</v>
      </c>
      <c r="C1670" s="4">
        <v>6602267000</v>
      </c>
    </row>
    <row r="1671" spans="1:3" hidden="1">
      <c r="A1671" s="5" t="s">
        <v>53</v>
      </c>
      <c r="B1671" s="5" t="s">
        <v>56</v>
      </c>
      <c r="C1671" s="6">
        <v>9308926000</v>
      </c>
    </row>
    <row r="1672" spans="1:3" hidden="1">
      <c r="A1672" s="3" t="s">
        <v>28</v>
      </c>
      <c r="B1672" s="3" t="s">
        <v>40</v>
      </c>
      <c r="C1672" s="4">
        <v>2168652000</v>
      </c>
    </row>
    <row r="1673" spans="1:3" hidden="1">
      <c r="A1673" s="5" t="s">
        <v>28</v>
      </c>
      <c r="B1673" s="5" t="s">
        <v>40</v>
      </c>
      <c r="C1673" s="6">
        <v>2382531000</v>
      </c>
    </row>
    <row r="1674" spans="1:3" hidden="1">
      <c r="A1674" s="3" t="s">
        <v>28</v>
      </c>
      <c r="B1674" s="3" t="s">
        <v>40</v>
      </c>
      <c r="C1674" s="4">
        <v>2377344000</v>
      </c>
    </row>
    <row r="1675" spans="1:3" hidden="1">
      <c r="A1675" s="5" t="s">
        <v>28</v>
      </c>
      <c r="B1675" s="5" t="s">
        <v>40</v>
      </c>
      <c r="C1675" s="6">
        <v>2213881000</v>
      </c>
    </row>
    <row r="1676" spans="1:3">
      <c r="A1676" s="3" t="s">
        <v>89</v>
      </c>
      <c r="B1676" s="3" t="s">
        <v>150</v>
      </c>
      <c r="C1676" s="4">
        <v>451509000000</v>
      </c>
    </row>
    <row r="1677" spans="1:3">
      <c r="A1677" s="5" t="s">
        <v>89</v>
      </c>
      <c r="B1677" s="5" t="s">
        <v>150</v>
      </c>
      <c r="C1677" s="6">
        <v>420836000000</v>
      </c>
    </row>
    <row r="1678" spans="1:3">
      <c r="A1678" s="3" t="s">
        <v>89</v>
      </c>
      <c r="B1678" s="3" t="s">
        <v>150</v>
      </c>
      <c r="C1678" s="4">
        <v>394105000000</v>
      </c>
    </row>
    <row r="1679" spans="1:3">
      <c r="A1679" s="5" t="s">
        <v>89</v>
      </c>
      <c r="B1679" s="5" t="s">
        <v>150</v>
      </c>
      <c r="C1679" s="6">
        <v>259488000000</v>
      </c>
    </row>
    <row r="1680" spans="1:3" hidden="1">
      <c r="A1680" s="3" t="s">
        <v>31</v>
      </c>
      <c r="B1680" s="3" t="s">
        <v>172</v>
      </c>
      <c r="C1680" s="4">
        <v>2928429000</v>
      </c>
    </row>
    <row r="1681" spans="1:3" hidden="1">
      <c r="A1681" s="5" t="s">
        <v>31</v>
      </c>
      <c r="B1681" s="5" t="s">
        <v>172</v>
      </c>
      <c r="C1681" s="6">
        <v>2950800000</v>
      </c>
    </row>
    <row r="1682" spans="1:3" hidden="1">
      <c r="A1682" s="3" t="s">
        <v>31</v>
      </c>
      <c r="B1682" s="3" t="s">
        <v>172</v>
      </c>
      <c r="C1682" s="4">
        <v>2922600000</v>
      </c>
    </row>
    <row r="1683" spans="1:3" hidden="1">
      <c r="A1683" s="5" t="s">
        <v>31</v>
      </c>
      <c r="B1683" s="5" t="s">
        <v>172</v>
      </c>
      <c r="C1683" s="6">
        <v>2674300000</v>
      </c>
    </row>
    <row r="1684" spans="1:3" hidden="1">
      <c r="A1684" s="3" t="s">
        <v>28</v>
      </c>
      <c r="B1684" s="3" t="s">
        <v>182</v>
      </c>
      <c r="C1684" s="4">
        <v>20421000000</v>
      </c>
    </row>
    <row r="1685" spans="1:3" hidden="1">
      <c r="A1685" s="5" t="s">
        <v>28</v>
      </c>
      <c r="B1685" s="5" t="s">
        <v>182</v>
      </c>
      <c r="C1685" s="6">
        <v>20006000000</v>
      </c>
    </row>
    <row r="1686" spans="1:3" hidden="1">
      <c r="A1686" s="3" t="s">
        <v>28</v>
      </c>
      <c r="B1686" s="3" t="s">
        <v>182</v>
      </c>
      <c r="C1686" s="4">
        <v>19540000000</v>
      </c>
    </row>
    <row r="1687" spans="1:3" hidden="1">
      <c r="A1687" s="5" t="s">
        <v>28</v>
      </c>
      <c r="B1687" s="5" t="s">
        <v>182</v>
      </c>
      <c r="C1687" s="6">
        <v>18045000000</v>
      </c>
    </row>
    <row r="1688" spans="1:3" hidden="1">
      <c r="A1688" s="3" t="s">
        <v>19</v>
      </c>
      <c r="B1688" s="3" t="s">
        <v>170</v>
      </c>
      <c r="C1688" s="4">
        <v>3791000000</v>
      </c>
    </row>
    <row r="1689" spans="1:3" hidden="1">
      <c r="A1689" s="5" t="s">
        <v>19</v>
      </c>
      <c r="B1689" s="5" t="s">
        <v>170</v>
      </c>
      <c r="C1689" s="6">
        <v>3837000000</v>
      </c>
    </row>
    <row r="1690" spans="1:3" hidden="1">
      <c r="A1690" s="3" t="s">
        <v>19</v>
      </c>
      <c r="B1690" s="3" t="s">
        <v>170</v>
      </c>
      <c r="C1690" s="4">
        <v>3916000000</v>
      </c>
    </row>
    <row r="1691" spans="1:3" hidden="1">
      <c r="A1691" s="5" t="s">
        <v>19</v>
      </c>
      <c r="B1691" s="5" t="s">
        <v>170</v>
      </c>
      <c r="C1691" s="6">
        <v>3653000000</v>
      </c>
    </row>
    <row r="1692" spans="1:3" hidden="1">
      <c r="A1692" s="3" t="s">
        <v>28</v>
      </c>
      <c r="B1692" s="3" t="s">
        <v>63</v>
      </c>
      <c r="C1692" s="4">
        <v>4986566000</v>
      </c>
    </row>
    <row r="1693" spans="1:3" hidden="1">
      <c r="A1693" s="5" t="s">
        <v>28</v>
      </c>
      <c r="B1693" s="5" t="s">
        <v>63</v>
      </c>
      <c r="C1693" s="6">
        <v>4680380000</v>
      </c>
    </row>
    <row r="1694" spans="1:3" hidden="1">
      <c r="A1694" s="3" t="s">
        <v>28</v>
      </c>
      <c r="B1694" s="3" t="s">
        <v>63</v>
      </c>
      <c r="C1694" s="4">
        <v>4618133000</v>
      </c>
    </row>
    <row r="1695" spans="1:3" hidden="1">
      <c r="A1695" s="5" t="s">
        <v>28</v>
      </c>
      <c r="B1695" s="5" t="s">
        <v>63</v>
      </c>
      <c r="C1695" s="6">
        <v>4968301000</v>
      </c>
    </row>
    <row r="1696" spans="1:3" hidden="1">
      <c r="A1696" s="3" t="s">
        <v>25</v>
      </c>
      <c r="B1696" s="3" t="s">
        <v>161</v>
      </c>
      <c r="C1696" s="4">
        <v>13633000000</v>
      </c>
    </row>
    <row r="1697" spans="1:3" hidden="1">
      <c r="A1697" s="5" t="s">
        <v>25</v>
      </c>
      <c r="B1697" s="5" t="s">
        <v>161</v>
      </c>
      <c r="C1697" s="6">
        <v>13084000000</v>
      </c>
    </row>
    <row r="1698" spans="1:3" hidden="1">
      <c r="A1698" s="3" t="s">
        <v>25</v>
      </c>
      <c r="B1698" s="3" t="s">
        <v>161</v>
      </c>
      <c r="C1698" s="4">
        <v>13279000000</v>
      </c>
    </row>
    <row r="1699" spans="1:3" hidden="1">
      <c r="A1699" s="5" t="s">
        <v>25</v>
      </c>
      <c r="B1699" s="5" t="s">
        <v>161</v>
      </c>
      <c r="C1699" s="6">
        <v>13105000000</v>
      </c>
    </row>
    <row r="1700" spans="1:3" hidden="1">
      <c r="A1700" s="3" t="s">
        <v>31</v>
      </c>
      <c r="B1700" s="3" t="s">
        <v>36</v>
      </c>
      <c r="C1700" s="4">
        <v>4471700000</v>
      </c>
    </row>
    <row r="1701" spans="1:3" hidden="1">
      <c r="A1701" s="5" t="s">
        <v>31</v>
      </c>
      <c r="B1701" s="5" t="s">
        <v>36</v>
      </c>
      <c r="C1701" s="6">
        <v>4623400000</v>
      </c>
    </row>
    <row r="1702" spans="1:3" hidden="1">
      <c r="A1702" s="3" t="s">
        <v>31</v>
      </c>
      <c r="B1702" s="3" t="s">
        <v>36</v>
      </c>
      <c r="C1702" s="4">
        <v>4673300000</v>
      </c>
    </row>
    <row r="1703" spans="1:3" hidden="1">
      <c r="A1703" s="5" t="s">
        <v>31</v>
      </c>
      <c r="B1703" s="5" t="s">
        <v>36</v>
      </c>
      <c r="C1703" s="6">
        <v>5997800000</v>
      </c>
    </row>
    <row r="1704" spans="1:3" hidden="1">
      <c r="A1704" s="3" t="s">
        <v>53</v>
      </c>
      <c r="B1704" s="3" t="s">
        <v>146</v>
      </c>
      <c r="C1704" s="4">
        <v>2458592000</v>
      </c>
    </row>
    <row r="1705" spans="1:3" hidden="1">
      <c r="A1705" s="5" t="s">
        <v>53</v>
      </c>
      <c r="B1705" s="5" t="s">
        <v>146</v>
      </c>
      <c r="C1705" s="6">
        <v>2278812000</v>
      </c>
    </row>
    <row r="1706" spans="1:3" hidden="1">
      <c r="A1706" s="3" t="s">
        <v>53</v>
      </c>
      <c r="B1706" s="3" t="s">
        <v>146</v>
      </c>
      <c r="C1706" s="4">
        <v>2361631000</v>
      </c>
    </row>
    <row r="1707" spans="1:3" hidden="1">
      <c r="A1707" s="5" t="s">
        <v>53</v>
      </c>
      <c r="B1707" s="5" t="s">
        <v>146</v>
      </c>
      <c r="C1707" s="6">
        <v>2210591000</v>
      </c>
    </row>
    <row r="1708" spans="1:3" hidden="1">
      <c r="A1708" s="3" t="s">
        <v>31</v>
      </c>
      <c r="B1708" s="3" t="s">
        <v>32</v>
      </c>
      <c r="C1708" s="4">
        <v>4561000000</v>
      </c>
    </row>
    <row r="1709" spans="1:3" hidden="1">
      <c r="A1709" s="5" t="s">
        <v>31</v>
      </c>
      <c r="B1709" s="5" t="s">
        <v>32</v>
      </c>
      <c r="C1709" s="6">
        <v>4785000000</v>
      </c>
    </row>
    <row r="1710" spans="1:3" hidden="1">
      <c r="A1710" s="3" t="s">
        <v>31</v>
      </c>
      <c r="B1710" s="3" t="s">
        <v>32</v>
      </c>
      <c r="C1710" s="4">
        <v>4765000000</v>
      </c>
    </row>
    <row r="1711" spans="1:3" hidden="1">
      <c r="A1711" s="5" t="s">
        <v>31</v>
      </c>
      <c r="B1711" s="5" t="s">
        <v>32</v>
      </c>
      <c r="C1711" s="6">
        <v>4888000000</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8A42C-D65A-4E5E-ADC7-B463FDB78D9E}">
  <dimension ref="A1:E1734"/>
  <sheetViews>
    <sheetView workbookViewId="0">
      <selection activeCell="E6" sqref="E6"/>
    </sheetView>
  </sheetViews>
  <sheetFormatPr defaultRowHeight="14.25"/>
  <cols>
    <col min="1" max="1" width="26.125" bestFit="1" customWidth="1"/>
    <col min="2" max="2" width="41" bestFit="1" customWidth="1"/>
    <col min="3" max="3" width="17.25" style="17" bestFit="1" customWidth="1"/>
    <col min="5" max="5" width="19.125" bestFit="1" customWidth="1"/>
  </cols>
  <sheetData>
    <row r="1" spans="1:5" ht="15">
      <c r="A1" s="8" t="s">
        <v>10</v>
      </c>
      <c r="B1" s="9" t="s">
        <v>11</v>
      </c>
      <c r="C1" s="10" t="s">
        <v>5</v>
      </c>
    </row>
    <row r="2" spans="1:5">
      <c r="A2" s="11" t="s">
        <v>89</v>
      </c>
      <c r="B2" s="12" t="s">
        <v>150</v>
      </c>
      <c r="C2" s="13">
        <v>12316000000</v>
      </c>
    </row>
    <row r="3" spans="1:5">
      <c r="A3" s="14" t="s">
        <v>89</v>
      </c>
      <c r="B3" s="15" t="s">
        <v>150</v>
      </c>
      <c r="C3" s="16">
        <v>19080000000</v>
      </c>
      <c r="D3" t="s">
        <v>582</v>
      </c>
      <c r="E3" s="17">
        <f>MIN(C:C)</f>
        <v>2787116000</v>
      </c>
    </row>
    <row r="4" spans="1:5">
      <c r="A4" s="11" t="s">
        <v>89</v>
      </c>
      <c r="B4" s="12" t="s">
        <v>150</v>
      </c>
      <c r="C4" s="13">
        <v>23125000000</v>
      </c>
      <c r="D4" t="s">
        <v>583</v>
      </c>
      <c r="E4" s="17">
        <f>MAX(C:C)</f>
        <v>451509000000</v>
      </c>
    </row>
    <row r="5" spans="1:5">
      <c r="A5" s="14" t="s">
        <v>89</v>
      </c>
      <c r="B5" s="15" t="s">
        <v>150</v>
      </c>
      <c r="C5" s="16">
        <v>12764000000</v>
      </c>
      <c r="D5" t="s">
        <v>584</v>
      </c>
      <c r="E5" s="17">
        <f>AVERAGE(C:C)</f>
        <v>121695414900</v>
      </c>
    </row>
    <row r="6" spans="1:5">
      <c r="A6" s="11" t="s">
        <v>89</v>
      </c>
      <c r="B6" s="12" t="s">
        <v>150</v>
      </c>
      <c r="C6" s="13">
        <v>230590000000</v>
      </c>
      <c r="D6" t="s">
        <v>585</v>
      </c>
      <c r="E6" s="81">
        <f>STDEV(C:C)</f>
        <v>156925892616.24045</v>
      </c>
    </row>
    <row r="7" spans="1:5">
      <c r="A7" s="14" t="s">
        <v>89</v>
      </c>
      <c r="B7" s="15" t="s">
        <v>150</v>
      </c>
      <c r="C7" s="16">
        <v>220156000000</v>
      </c>
      <c r="D7" t="s">
        <v>586</v>
      </c>
      <c r="E7" s="17">
        <f>MEDIAN(C2:C21)</f>
        <v>15922000000</v>
      </c>
    </row>
    <row r="8" spans="1:5">
      <c r="A8" s="11" t="s">
        <v>89</v>
      </c>
      <c r="B8" s="12" t="s">
        <v>150</v>
      </c>
      <c r="C8" s="13">
        <v>200494000000</v>
      </c>
    </row>
    <row r="9" spans="1:5">
      <c r="A9" s="14" t="s">
        <v>89</v>
      </c>
      <c r="B9" s="15" t="s">
        <v>150</v>
      </c>
      <c r="C9" s="16">
        <v>129925000000</v>
      </c>
    </row>
    <row r="10" spans="1:5" ht="23.25">
      <c r="A10" s="11" t="s">
        <v>89</v>
      </c>
      <c r="B10" s="12" t="s">
        <v>150</v>
      </c>
      <c r="C10" s="13">
        <v>12245000000</v>
      </c>
      <c r="E10" s="29" t="s">
        <v>587</v>
      </c>
    </row>
    <row r="11" spans="1:5">
      <c r="A11" s="14" t="s">
        <v>89</v>
      </c>
      <c r="B11" s="15" t="s">
        <v>150</v>
      </c>
      <c r="C11" s="16">
        <v>11905000000</v>
      </c>
    </row>
    <row r="12" spans="1:5">
      <c r="A12" s="11" t="s">
        <v>89</v>
      </c>
      <c r="B12" s="12" t="s">
        <v>150</v>
      </c>
      <c r="C12" s="13">
        <v>10737000000</v>
      </c>
      <c r="E12" s="28" t="s">
        <v>588</v>
      </c>
    </row>
    <row r="13" spans="1:5">
      <c r="A13" s="14" t="s">
        <v>89</v>
      </c>
      <c r="B13" s="15" t="s">
        <v>150</v>
      </c>
      <c r="C13" s="16">
        <v>6636000000</v>
      </c>
    </row>
    <row r="14" spans="1:5">
      <c r="A14" s="11" t="s">
        <v>89</v>
      </c>
      <c r="B14" s="12" t="s">
        <v>150</v>
      </c>
      <c r="C14" s="13">
        <v>4608563000</v>
      </c>
    </row>
    <row r="15" spans="1:5">
      <c r="A15" s="11" t="s">
        <v>89</v>
      </c>
      <c r="B15" s="12" t="s">
        <v>150</v>
      </c>
      <c r="C15" s="13">
        <v>5312686000</v>
      </c>
    </row>
    <row r="16" spans="1:5">
      <c r="A16" s="11" t="s">
        <v>89</v>
      </c>
      <c r="B16" s="12" t="s">
        <v>150</v>
      </c>
      <c r="C16" s="13">
        <v>5288933000</v>
      </c>
    </row>
    <row r="17" spans="1:5">
      <c r="A17" s="11" t="s">
        <v>89</v>
      </c>
      <c r="B17" s="12" t="s">
        <v>150</v>
      </c>
      <c r="C17" s="13">
        <v>2787116000</v>
      </c>
    </row>
    <row r="18" spans="1:5">
      <c r="A18" s="11" t="s">
        <v>89</v>
      </c>
      <c r="B18" s="12" t="s">
        <v>150</v>
      </c>
      <c r="C18" s="13">
        <v>451509000000</v>
      </c>
    </row>
    <row r="19" spans="1:5">
      <c r="A19" s="14" t="s">
        <v>89</v>
      </c>
      <c r="B19" s="15" t="s">
        <v>150</v>
      </c>
      <c r="C19" s="16">
        <v>420836000000</v>
      </c>
    </row>
    <row r="20" spans="1:5">
      <c r="A20" s="11" t="s">
        <v>89</v>
      </c>
      <c r="B20" s="12" t="s">
        <v>150</v>
      </c>
      <c r="C20" s="13">
        <v>394105000000</v>
      </c>
    </row>
    <row r="21" spans="1:5">
      <c r="A21" s="14" t="s">
        <v>89</v>
      </c>
      <c r="B21" s="15" t="s">
        <v>150</v>
      </c>
      <c r="C21" s="16">
        <v>259488000000</v>
      </c>
    </row>
    <row r="22" spans="1:5">
      <c r="A22" s="15"/>
      <c r="B22" s="15"/>
      <c r="C22" s="19"/>
    </row>
    <row r="23" spans="1:5">
      <c r="A23" s="12"/>
      <c r="B23" s="12"/>
      <c r="E23" s="27"/>
    </row>
    <row r="24" spans="1:5">
      <c r="A24" s="15"/>
      <c r="B24" s="15"/>
      <c r="C24" s="19"/>
    </row>
    <row r="25" spans="1:5">
      <c r="A25" s="12"/>
      <c r="B25" s="12"/>
      <c r="C25" s="27"/>
    </row>
    <row r="26" spans="1:5">
      <c r="A26" s="15"/>
      <c r="B26" s="15"/>
      <c r="C26" s="19"/>
    </row>
    <row r="27" spans="1:5">
      <c r="A27" s="12"/>
      <c r="B27" s="12"/>
      <c r="C27" s="27"/>
    </row>
    <row r="28" spans="1:5">
      <c r="A28" s="15"/>
      <c r="B28" s="15"/>
      <c r="C28" s="19"/>
    </row>
    <row r="29" spans="1:5">
      <c r="A29" s="12"/>
      <c r="B29" s="12"/>
      <c r="C29" s="27"/>
    </row>
    <row r="30" spans="1:5">
      <c r="A30" s="15"/>
      <c r="B30" s="15"/>
      <c r="C30" s="19"/>
    </row>
    <row r="31" spans="1:5">
      <c r="A31" s="12"/>
      <c r="B31" s="12"/>
      <c r="C31" s="27"/>
    </row>
    <row r="32" spans="1:5">
      <c r="A32" s="15"/>
      <c r="B32" s="15"/>
      <c r="C32" s="19"/>
    </row>
    <row r="33" spans="1:3">
      <c r="A33" s="12"/>
      <c r="B33" s="12"/>
      <c r="C33" s="27"/>
    </row>
    <row r="34" spans="1:3">
      <c r="A34" s="15"/>
      <c r="B34" s="15"/>
      <c r="C34" s="19"/>
    </row>
    <row r="35" spans="1:3">
      <c r="A35" s="12"/>
      <c r="B35" s="12"/>
      <c r="C35" s="27"/>
    </row>
    <row r="36" spans="1:3">
      <c r="A36" s="15"/>
      <c r="B36" s="15"/>
      <c r="C36" s="19"/>
    </row>
    <row r="37" spans="1:3">
      <c r="A37" s="12"/>
      <c r="B37" s="12"/>
      <c r="C37" s="27"/>
    </row>
    <row r="38" spans="1:3">
      <c r="A38" s="15"/>
      <c r="B38" s="15"/>
      <c r="C38" s="19"/>
    </row>
    <row r="39" spans="1:3">
      <c r="A39" s="12"/>
      <c r="B39" s="12"/>
      <c r="C39" s="27"/>
    </row>
    <row r="40" spans="1:3">
      <c r="A40" s="15"/>
      <c r="B40" s="15"/>
      <c r="C40" s="19"/>
    </row>
    <row r="41" spans="1:3">
      <c r="A41" s="12"/>
      <c r="B41" s="12"/>
      <c r="C41" s="27"/>
    </row>
    <row r="42" spans="1:3">
      <c r="A42" s="15"/>
      <c r="B42" s="15"/>
      <c r="C42" s="19"/>
    </row>
    <row r="43" spans="1:3">
      <c r="A43" s="12"/>
      <c r="B43" s="12"/>
      <c r="C43" s="27"/>
    </row>
    <row r="44" spans="1:3">
      <c r="A44" s="15"/>
      <c r="B44" s="15"/>
      <c r="C44" s="19"/>
    </row>
    <row r="45" spans="1:3">
      <c r="A45" s="12"/>
      <c r="B45" s="12"/>
      <c r="C45" s="27"/>
    </row>
    <row r="46" spans="1:3">
      <c r="A46" s="15"/>
      <c r="B46" s="15"/>
      <c r="C46" s="19"/>
    </row>
    <row r="47" spans="1:3">
      <c r="A47" s="12"/>
      <c r="B47" s="12"/>
      <c r="C47" s="27"/>
    </row>
    <row r="48" spans="1:3">
      <c r="A48" s="15"/>
      <c r="B48" s="15"/>
      <c r="C48" s="19"/>
    </row>
    <row r="49" spans="1:3">
      <c r="A49" s="12"/>
      <c r="B49" s="12"/>
      <c r="C49" s="27"/>
    </row>
    <row r="50" spans="1:3">
      <c r="A50" s="15"/>
      <c r="B50" s="15"/>
      <c r="C50" s="19"/>
    </row>
    <row r="51" spans="1:3">
      <c r="A51" s="12"/>
      <c r="B51" s="12"/>
      <c r="C51" s="27"/>
    </row>
    <row r="52" spans="1:3">
      <c r="A52" s="15"/>
      <c r="B52" s="15"/>
      <c r="C52" s="19"/>
    </row>
    <row r="53" spans="1:3">
      <c r="A53" s="12"/>
      <c r="B53" s="12"/>
      <c r="C53" s="27"/>
    </row>
    <row r="54" spans="1:3">
      <c r="A54" s="15"/>
      <c r="B54" s="15"/>
      <c r="C54" s="19"/>
    </row>
    <row r="55" spans="1:3">
      <c r="A55" s="12"/>
      <c r="B55" s="12"/>
      <c r="C55" s="27"/>
    </row>
    <row r="56" spans="1:3">
      <c r="A56" s="15"/>
      <c r="B56" s="15"/>
      <c r="C56" s="19"/>
    </row>
    <row r="57" spans="1:3">
      <c r="A57" s="12"/>
      <c r="B57" s="12"/>
      <c r="C57" s="27"/>
    </row>
    <row r="58" spans="1:3">
      <c r="A58" s="15"/>
      <c r="B58" s="15"/>
      <c r="C58" s="19"/>
    </row>
    <row r="59" spans="1:3">
      <c r="A59" s="12"/>
      <c r="B59" s="12"/>
      <c r="C59" s="27"/>
    </row>
    <row r="60" spans="1:3">
      <c r="A60" s="15"/>
      <c r="B60" s="15"/>
      <c r="C60" s="19"/>
    </row>
    <row r="61" spans="1:3">
      <c r="A61" s="12"/>
      <c r="B61" s="12"/>
      <c r="C61" s="27"/>
    </row>
    <row r="62" spans="1:3">
      <c r="A62" s="15"/>
      <c r="B62" s="15"/>
      <c r="C62" s="19"/>
    </row>
    <row r="63" spans="1:3">
      <c r="A63" s="12"/>
      <c r="B63" s="12"/>
      <c r="C63" s="27"/>
    </row>
    <row r="64" spans="1:3">
      <c r="A64" s="15"/>
      <c r="B64" s="15"/>
      <c r="C64" s="19"/>
    </row>
    <row r="65" spans="1:3">
      <c r="A65" s="12"/>
      <c r="B65" s="12"/>
      <c r="C65" s="27"/>
    </row>
    <row r="66" spans="1:3">
      <c r="A66" s="15"/>
      <c r="B66" s="15"/>
      <c r="C66" s="19"/>
    </row>
    <row r="67" spans="1:3">
      <c r="A67" s="12"/>
      <c r="B67" s="12"/>
      <c r="C67" s="27"/>
    </row>
    <row r="68" spans="1:3">
      <c r="A68" s="15"/>
      <c r="B68" s="15"/>
      <c r="C68" s="19"/>
    </row>
    <row r="69" spans="1:3">
      <c r="A69" s="12"/>
      <c r="B69" s="12"/>
      <c r="C69" s="27"/>
    </row>
    <row r="70" spans="1:3">
      <c r="A70" s="15"/>
      <c r="B70" s="15"/>
      <c r="C70" s="19"/>
    </row>
    <row r="71" spans="1:3">
      <c r="A71" s="12"/>
      <c r="B71" s="12"/>
      <c r="C71" s="27"/>
    </row>
    <row r="72" spans="1:3">
      <c r="A72" s="15"/>
      <c r="B72" s="15"/>
      <c r="C72" s="19"/>
    </row>
    <row r="73" spans="1:3">
      <c r="A73" s="12"/>
      <c r="B73" s="12"/>
      <c r="C73" s="27"/>
    </row>
    <row r="74" spans="1:3">
      <c r="A74" s="15"/>
      <c r="B74" s="15"/>
      <c r="C74" s="19"/>
    </row>
    <row r="75" spans="1:3">
      <c r="A75" s="12"/>
      <c r="B75" s="12"/>
      <c r="C75" s="27"/>
    </row>
    <row r="76" spans="1:3">
      <c r="A76" s="15"/>
      <c r="B76" s="15"/>
      <c r="C76" s="19"/>
    </row>
    <row r="77" spans="1:3">
      <c r="A77" s="12"/>
      <c r="B77" s="12"/>
      <c r="C77" s="27"/>
    </row>
    <row r="78" spans="1:3">
      <c r="A78" s="15"/>
      <c r="B78" s="15"/>
      <c r="C78" s="19"/>
    </row>
    <row r="79" spans="1:3">
      <c r="A79" s="12"/>
      <c r="B79" s="12"/>
      <c r="C79" s="27"/>
    </row>
    <row r="80" spans="1:3">
      <c r="A80" s="15"/>
      <c r="B80" s="15"/>
      <c r="C80" s="19"/>
    </row>
    <row r="81" spans="1:3">
      <c r="A81" s="12"/>
      <c r="B81" s="12"/>
      <c r="C81" s="27"/>
    </row>
    <row r="82" spans="1:3">
      <c r="A82" s="15"/>
      <c r="B82" s="15"/>
      <c r="C82" s="19"/>
    </row>
    <row r="83" spans="1:3">
      <c r="A83" s="12"/>
      <c r="B83" s="12"/>
      <c r="C83" s="27"/>
    </row>
    <row r="84" spans="1:3">
      <c r="A84" s="15"/>
      <c r="B84" s="15"/>
      <c r="C84" s="19"/>
    </row>
    <row r="85" spans="1:3">
      <c r="A85" s="12"/>
      <c r="B85" s="12"/>
      <c r="C85" s="27"/>
    </row>
    <row r="86" spans="1:3">
      <c r="A86" s="15"/>
      <c r="B86" s="15"/>
      <c r="C86" s="19"/>
    </row>
    <row r="87" spans="1:3">
      <c r="A87" s="12"/>
      <c r="B87" s="12"/>
      <c r="C87" s="27"/>
    </row>
    <row r="88" spans="1:3">
      <c r="A88" s="15"/>
      <c r="B88" s="15"/>
      <c r="C88" s="19"/>
    </row>
    <row r="89" spans="1:3">
      <c r="A89" s="12"/>
      <c r="B89" s="12"/>
      <c r="C89" s="27"/>
    </row>
    <row r="90" spans="1:3">
      <c r="A90" s="15"/>
      <c r="B90" s="15"/>
      <c r="C90" s="19"/>
    </row>
    <row r="91" spans="1:3">
      <c r="A91" s="12"/>
      <c r="B91" s="12"/>
      <c r="C91" s="27"/>
    </row>
    <row r="92" spans="1:3">
      <c r="A92" s="15"/>
      <c r="B92" s="15"/>
      <c r="C92" s="19"/>
    </row>
    <row r="93" spans="1:3">
      <c r="A93" s="12"/>
      <c r="B93" s="12"/>
      <c r="C93" s="27"/>
    </row>
    <row r="94" spans="1:3">
      <c r="A94" s="15"/>
      <c r="B94" s="15"/>
      <c r="C94" s="19"/>
    </row>
    <row r="95" spans="1:3">
      <c r="A95" s="12"/>
      <c r="B95" s="12"/>
      <c r="C95" s="27"/>
    </row>
    <row r="96" spans="1:3">
      <c r="A96" s="15"/>
      <c r="B96" s="15"/>
      <c r="C96" s="19"/>
    </row>
    <row r="97" spans="1:3">
      <c r="A97" s="12"/>
      <c r="B97" s="12"/>
      <c r="C97" s="27"/>
    </row>
    <row r="98" spans="1:3">
      <c r="A98" s="15"/>
      <c r="B98" s="15"/>
      <c r="C98" s="19"/>
    </row>
    <row r="99" spans="1:3">
      <c r="A99" s="12"/>
      <c r="B99" s="12"/>
      <c r="C99" s="27"/>
    </row>
    <row r="100" spans="1:3">
      <c r="A100" s="15"/>
      <c r="B100" s="15"/>
      <c r="C100" s="19"/>
    </row>
    <row r="101" spans="1:3">
      <c r="A101" s="12"/>
      <c r="B101" s="12"/>
      <c r="C101" s="27"/>
    </row>
    <row r="102" spans="1:3">
      <c r="A102" s="15"/>
      <c r="B102" s="15"/>
      <c r="C102" s="19"/>
    </row>
    <row r="103" spans="1:3">
      <c r="A103" s="12"/>
      <c r="B103" s="12"/>
      <c r="C103" s="27"/>
    </row>
    <row r="104" spans="1:3">
      <c r="A104" s="15"/>
      <c r="B104" s="15"/>
      <c r="C104" s="19"/>
    </row>
    <row r="105" spans="1:3">
      <c r="A105" s="12"/>
      <c r="B105" s="12"/>
      <c r="C105" s="27"/>
    </row>
    <row r="106" spans="1:3">
      <c r="A106" s="15"/>
      <c r="B106" s="15"/>
      <c r="C106" s="19"/>
    </row>
    <row r="107" spans="1:3">
      <c r="A107" s="12"/>
      <c r="B107" s="12"/>
      <c r="C107" s="27"/>
    </row>
    <row r="108" spans="1:3">
      <c r="A108" s="15"/>
      <c r="B108" s="15"/>
      <c r="C108" s="19"/>
    </row>
    <row r="109" spans="1:3">
      <c r="A109" s="12"/>
      <c r="B109" s="12"/>
      <c r="C109" s="27"/>
    </row>
    <row r="110" spans="1:3">
      <c r="A110" s="15"/>
      <c r="B110" s="15"/>
      <c r="C110" s="19"/>
    </row>
    <row r="111" spans="1:3">
      <c r="A111" s="12"/>
      <c r="B111" s="12"/>
      <c r="C111" s="27"/>
    </row>
    <row r="112" spans="1:3">
      <c r="A112" s="15"/>
      <c r="B112" s="15"/>
      <c r="C112" s="19"/>
    </row>
    <row r="113" spans="1:3">
      <c r="A113" s="12"/>
      <c r="B113" s="12"/>
      <c r="C113" s="27"/>
    </row>
    <row r="114" spans="1:3">
      <c r="A114" s="15"/>
      <c r="B114" s="15"/>
      <c r="C114" s="19"/>
    </row>
    <row r="115" spans="1:3">
      <c r="A115" s="12"/>
      <c r="B115" s="12"/>
      <c r="C115" s="27"/>
    </row>
    <row r="116" spans="1:3">
      <c r="A116" s="15"/>
      <c r="B116" s="15"/>
      <c r="C116" s="19"/>
    </row>
    <row r="117" spans="1:3">
      <c r="A117" s="12"/>
      <c r="B117" s="12"/>
      <c r="C117" s="27"/>
    </row>
    <row r="118" spans="1:3">
      <c r="A118" s="15"/>
      <c r="B118" s="15"/>
      <c r="C118" s="19"/>
    </row>
    <row r="119" spans="1:3">
      <c r="A119" s="12"/>
      <c r="B119" s="12"/>
      <c r="C119" s="27"/>
    </row>
    <row r="120" spans="1:3">
      <c r="A120" s="15"/>
      <c r="B120" s="15"/>
      <c r="C120" s="19"/>
    </row>
    <row r="121" spans="1:3">
      <c r="A121" s="12"/>
      <c r="B121" s="12"/>
      <c r="C121" s="27"/>
    </row>
    <row r="122" spans="1:3">
      <c r="A122" s="15"/>
      <c r="B122" s="15"/>
      <c r="C122" s="19"/>
    </row>
    <row r="123" spans="1:3">
      <c r="A123" s="12"/>
      <c r="B123" s="12"/>
      <c r="C123" s="27"/>
    </row>
    <row r="124" spans="1:3">
      <c r="A124" s="15"/>
      <c r="B124" s="15"/>
      <c r="C124" s="19"/>
    </row>
    <row r="125" spans="1:3">
      <c r="A125" s="12"/>
      <c r="B125" s="12"/>
      <c r="C125" s="27"/>
    </row>
    <row r="126" spans="1:3">
      <c r="A126" s="15"/>
      <c r="B126" s="15"/>
      <c r="C126" s="19"/>
    </row>
    <row r="127" spans="1:3">
      <c r="A127" s="12"/>
      <c r="B127" s="12"/>
      <c r="C127" s="27"/>
    </row>
    <row r="128" spans="1:3">
      <c r="A128" s="15"/>
      <c r="B128" s="15"/>
      <c r="C128" s="19"/>
    </row>
    <row r="129" spans="1:3">
      <c r="A129" s="12"/>
      <c r="B129" s="12"/>
      <c r="C129" s="27"/>
    </row>
    <row r="130" spans="1:3">
      <c r="A130" s="15"/>
      <c r="B130" s="15"/>
      <c r="C130" s="19"/>
    </row>
    <row r="131" spans="1:3">
      <c r="A131" s="12"/>
      <c r="B131" s="12"/>
      <c r="C131" s="27"/>
    </row>
    <row r="132" spans="1:3">
      <c r="A132" s="15"/>
      <c r="B132" s="15"/>
      <c r="C132" s="19"/>
    </row>
    <row r="133" spans="1:3">
      <c r="A133" s="12"/>
      <c r="B133" s="12"/>
      <c r="C133" s="27"/>
    </row>
    <row r="134" spans="1:3">
      <c r="A134" s="15"/>
      <c r="B134" s="15"/>
      <c r="C134" s="19"/>
    </row>
    <row r="135" spans="1:3">
      <c r="A135" s="12"/>
      <c r="B135" s="12"/>
      <c r="C135" s="27"/>
    </row>
    <row r="136" spans="1:3">
      <c r="A136" s="15"/>
      <c r="B136" s="15"/>
      <c r="C136" s="19"/>
    </row>
    <row r="137" spans="1:3">
      <c r="A137" s="12"/>
      <c r="B137" s="12"/>
      <c r="C137" s="27"/>
    </row>
    <row r="138" spans="1:3">
      <c r="A138" s="15"/>
      <c r="B138" s="15"/>
      <c r="C138" s="19"/>
    </row>
    <row r="139" spans="1:3">
      <c r="A139" s="12"/>
      <c r="B139" s="12"/>
      <c r="C139" s="27"/>
    </row>
    <row r="140" spans="1:3">
      <c r="A140" s="15"/>
      <c r="B140" s="15"/>
      <c r="C140" s="19"/>
    </row>
    <row r="141" spans="1:3">
      <c r="A141" s="12"/>
      <c r="B141" s="12"/>
      <c r="C141" s="27"/>
    </row>
    <row r="142" spans="1:3">
      <c r="A142" s="15"/>
      <c r="B142" s="15"/>
      <c r="C142" s="19"/>
    </row>
    <row r="143" spans="1:3">
      <c r="A143" s="12"/>
      <c r="B143" s="12"/>
      <c r="C143" s="27"/>
    </row>
    <row r="144" spans="1:3">
      <c r="A144" s="15"/>
      <c r="B144" s="15"/>
      <c r="C144" s="19"/>
    </row>
    <row r="145" spans="1:3">
      <c r="A145" s="12"/>
      <c r="B145" s="12"/>
      <c r="C145" s="27"/>
    </row>
    <row r="146" spans="1:3">
      <c r="A146" s="15"/>
      <c r="B146" s="15"/>
      <c r="C146" s="19"/>
    </row>
    <row r="147" spans="1:3">
      <c r="A147" s="12"/>
      <c r="B147" s="12"/>
      <c r="C147" s="27"/>
    </row>
    <row r="148" spans="1:3">
      <c r="A148" s="15"/>
      <c r="B148" s="15"/>
      <c r="C148" s="19"/>
    </row>
    <row r="149" spans="1:3">
      <c r="A149" s="12"/>
      <c r="B149" s="12"/>
      <c r="C149" s="27"/>
    </row>
    <row r="150" spans="1:3">
      <c r="A150" s="15"/>
      <c r="B150" s="15"/>
      <c r="C150" s="19"/>
    </row>
    <row r="151" spans="1:3">
      <c r="A151" s="12"/>
      <c r="B151" s="12"/>
      <c r="C151" s="27"/>
    </row>
    <row r="152" spans="1:3">
      <c r="A152" s="15"/>
      <c r="B152" s="15"/>
      <c r="C152" s="19"/>
    </row>
    <row r="153" spans="1:3">
      <c r="A153" s="12"/>
      <c r="B153" s="12"/>
      <c r="C153" s="27"/>
    </row>
    <row r="154" spans="1:3">
      <c r="A154" s="15"/>
      <c r="B154" s="15"/>
      <c r="C154" s="19"/>
    </row>
    <row r="155" spans="1:3">
      <c r="A155" s="12"/>
      <c r="B155" s="12"/>
      <c r="C155" s="27"/>
    </row>
    <row r="156" spans="1:3">
      <c r="A156" s="15"/>
      <c r="B156" s="15"/>
      <c r="C156" s="19"/>
    </row>
    <row r="157" spans="1:3">
      <c r="A157" s="12"/>
      <c r="B157" s="12"/>
      <c r="C157" s="27"/>
    </row>
    <row r="158" spans="1:3">
      <c r="A158" s="15"/>
      <c r="B158" s="15"/>
      <c r="C158" s="19"/>
    </row>
    <row r="159" spans="1:3">
      <c r="A159" s="12"/>
      <c r="B159" s="12"/>
      <c r="C159" s="27"/>
    </row>
    <row r="160" spans="1:3">
      <c r="A160" s="15"/>
      <c r="B160" s="15"/>
      <c r="C160" s="19"/>
    </row>
    <row r="161" spans="1:3">
      <c r="A161" s="12"/>
      <c r="B161" s="12"/>
      <c r="C161" s="27"/>
    </row>
    <row r="162" spans="1:3">
      <c r="A162" s="15"/>
      <c r="B162" s="15"/>
      <c r="C162" s="19"/>
    </row>
    <row r="163" spans="1:3">
      <c r="A163" s="12"/>
      <c r="B163" s="12"/>
      <c r="C163" s="27"/>
    </row>
    <row r="164" spans="1:3">
      <c r="A164" s="15"/>
      <c r="B164" s="15"/>
      <c r="C164" s="19"/>
    </row>
    <row r="165" spans="1:3">
      <c r="A165" s="12"/>
      <c r="B165" s="12"/>
      <c r="C165" s="27"/>
    </row>
    <row r="166" spans="1:3">
      <c r="A166" s="15"/>
      <c r="B166" s="15"/>
      <c r="C166" s="19"/>
    </row>
    <row r="167" spans="1:3">
      <c r="A167" s="12"/>
      <c r="B167" s="12"/>
      <c r="C167" s="27"/>
    </row>
    <row r="168" spans="1:3">
      <c r="A168" s="15"/>
      <c r="B168" s="15"/>
      <c r="C168" s="19"/>
    </row>
    <row r="169" spans="1:3">
      <c r="A169" s="12"/>
      <c r="B169" s="12"/>
      <c r="C169" s="27"/>
    </row>
    <row r="170" spans="1:3">
      <c r="A170" s="15"/>
      <c r="B170" s="15"/>
      <c r="C170" s="19"/>
    </row>
    <row r="171" spans="1:3">
      <c r="A171" s="12"/>
      <c r="B171" s="12"/>
      <c r="C171" s="27"/>
    </row>
    <row r="172" spans="1:3">
      <c r="A172" s="15"/>
      <c r="B172" s="15"/>
      <c r="C172" s="19"/>
    </row>
    <row r="173" spans="1:3">
      <c r="A173" s="12"/>
      <c r="B173" s="12"/>
      <c r="C173" s="27"/>
    </row>
    <row r="174" spans="1:3">
      <c r="A174" s="15"/>
      <c r="B174" s="15"/>
      <c r="C174" s="19"/>
    </row>
    <row r="175" spans="1:3">
      <c r="A175" s="12"/>
      <c r="B175" s="12"/>
      <c r="C175" s="27"/>
    </row>
    <row r="176" spans="1:3">
      <c r="A176" s="15"/>
      <c r="B176" s="15"/>
      <c r="C176" s="19"/>
    </row>
    <row r="177" spans="1:3">
      <c r="A177" s="12"/>
      <c r="B177" s="12"/>
      <c r="C177" s="27"/>
    </row>
    <row r="178" spans="1:3">
      <c r="A178" s="15"/>
      <c r="B178" s="15"/>
      <c r="C178" s="19"/>
    </row>
    <row r="179" spans="1:3">
      <c r="A179" s="12"/>
      <c r="B179" s="12"/>
      <c r="C179" s="27"/>
    </row>
    <row r="180" spans="1:3">
      <c r="A180" s="15"/>
      <c r="B180" s="15"/>
      <c r="C180" s="19"/>
    </row>
    <row r="181" spans="1:3">
      <c r="A181" s="12"/>
      <c r="B181" s="12"/>
      <c r="C181" s="27"/>
    </row>
    <row r="182" spans="1:3">
      <c r="A182" s="15"/>
      <c r="B182" s="15"/>
      <c r="C182" s="19"/>
    </row>
    <row r="183" spans="1:3">
      <c r="A183" s="12"/>
      <c r="B183" s="12"/>
      <c r="C183" s="27"/>
    </row>
    <row r="184" spans="1:3">
      <c r="A184" s="15"/>
      <c r="B184" s="15"/>
      <c r="C184" s="19"/>
    </row>
    <row r="185" spans="1:3">
      <c r="A185" s="12"/>
      <c r="B185" s="12"/>
      <c r="C185" s="27"/>
    </row>
    <row r="186" spans="1:3">
      <c r="A186" s="15"/>
      <c r="B186" s="15"/>
      <c r="C186" s="19"/>
    </row>
    <row r="187" spans="1:3">
      <c r="A187" s="12"/>
      <c r="B187" s="12"/>
      <c r="C187" s="27"/>
    </row>
    <row r="188" spans="1:3">
      <c r="A188" s="15"/>
      <c r="B188" s="15"/>
      <c r="C188" s="19"/>
    </row>
    <row r="189" spans="1:3">
      <c r="A189" s="12"/>
      <c r="B189" s="12"/>
      <c r="C189" s="27"/>
    </row>
    <row r="190" spans="1:3">
      <c r="A190" s="15"/>
      <c r="B190" s="15"/>
      <c r="C190" s="19"/>
    </row>
    <row r="191" spans="1:3">
      <c r="A191" s="12"/>
      <c r="B191" s="12"/>
      <c r="C191" s="27"/>
    </row>
    <row r="192" spans="1:3">
      <c r="A192" s="15"/>
      <c r="B192" s="15"/>
      <c r="C192" s="19"/>
    </row>
    <row r="193" spans="1:3">
      <c r="A193" s="12"/>
      <c r="B193" s="12"/>
      <c r="C193" s="27"/>
    </row>
    <row r="194" spans="1:3">
      <c r="A194" s="15"/>
      <c r="B194" s="15"/>
      <c r="C194" s="19"/>
    </row>
    <row r="195" spans="1:3">
      <c r="A195" s="12"/>
      <c r="B195" s="12"/>
      <c r="C195" s="27"/>
    </row>
    <row r="196" spans="1:3">
      <c r="A196" s="15"/>
      <c r="B196" s="15"/>
      <c r="C196" s="19"/>
    </row>
    <row r="197" spans="1:3">
      <c r="A197" s="12"/>
      <c r="B197" s="12"/>
      <c r="C197" s="27"/>
    </row>
    <row r="198" spans="1:3">
      <c r="A198" s="15"/>
      <c r="B198" s="15"/>
      <c r="C198" s="19"/>
    </row>
    <row r="199" spans="1:3">
      <c r="A199" s="12"/>
      <c r="B199" s="12"/>
      <c r="C199" s="27"/>
    </row>
    <row r="200" spans="1:3">
      <c r="A200" s="15"/>
      <c r="B200" s="15"/>
      <c r="C200" s="19"/>
    </row>
    <row r="201" spans="1:3">
      <c r="A201" s="12"/>
      <c r="B201" s="12"/>
      <c r="C201" s="27"/>
    </row>
    <row r="202" spans="1:3">
      <c r="A202" s="15"/>
      <c r="B202" s="15"/>
      <c r="C202" s="19"/>
    </row>
    <row r="203" spans="1:3">
      <c r="A203" s="12"/>
      <c r="B203" s="12"/>
      <c r="C203" s="27"/>
    </row>
    <row r="204" spans="1:3">
      <c r="A204" s="15"/>
      <c r="B204" s="15"/>
      <c r="C204" s="19"/>
    </row>
    <row r="205" spans="1:3">
      <c r="A205" s="12"/>
      <c r="B205" s="12"/>
      <c r="C205" s="27"/>
    </row>
    <row r="206" spans="1:3">
      <c r="A206" s="15"/>
      <c r="B206" s="15"/>
      <c r="C206" s="19"/>
    </row>
    <row r="207" spans="1:3">
      <c r="A207" s="12"/>
      <c r="B207" s="12"/>
      <c r="C207" s="27"/>
    </row>
    <row r="208" spans="1:3">
      <c r="A208" s="15"/>
      <c r="B208" s="15"/>
      <c r="C208" s="19"/>
    </row>
    <row r="209" spans="1:3">
      <c r="A209" s="12"/>
      <c r="B209" s="12"/>
      <c r="C209" s="27"/>
    </row>
    <row r="210" spans="1:3">
      <c r="A210" s="15"/>
      <c r="B210" s="15"/>
      <c r="C210" s="19"/>
    </row>
    <row r="211" spans="1:3">
      <c r="A211" s="12"/>
      <c r="B211" s="12"/>
      <c r="C211" s="27"/>
    </row>
    <row r="212" spans="1:3">
      <c r="A212" s="15"/>
      <c r="B212" s="15"/>
      <c r="C212" s="19"/>
    </row>
    <row r="213" spans="1:3">
      <c r="A213" s="12"/>
      <c r="B213" s="12"/>
      <c r="C213" s="27"/>
    </row>
    <row r="214" spans="1:3">
      <c r="A214" s="15"/>
      <c r="B214" s="15"/>
      <c r="C214" s="19"/>
    </row>
    <row r="215" spans="1:3">
      <c r="A215" s="12"/>
      <c r="B215" s="12"/>
      <c r="C215" s="27"/>
    </row>
    <row r="216" spans="1:3">
      <c r="A216" s="15"/>
      <c r="B216" s="15"/>
      <c r="C216" s="19"/>
    </row>
    <row r="217" spans="1:3">
      <c r="A217" s="12"/>
      <c r="B217" s="12"/>
      <c r="C217" s="27"/>
    </row>
    <row r="218" spans="1:3">
      <c r="A218" s="15"/>
      <c r="B218" s="15"/>
      <c r="C218" s="19"/>
    </row>
    <row r="219" spans="1:3">
      <c r="A219" s="12"/>
      <c r="B219" s="12"/>
      <c r="C219" s="27"/>
    </row>
    <row r="220" spans="1:3">
      <c r="A220" s="15"/>
      <c r="B220" s="15"/>
      <c r="C220" s="19"/>
    </row>
    <row r="221" spans="1:3">
      <c r="A221" s="12"/>
      <c r="B221" s="12"/>
      <c r="C221" s="27"/>
    </row>
    <row r="222" spans="1:3">
      <c r="A222" s="15"/>
      <c r="B222" s="15"/>
      <c r="C222" s="19"/>
    </row>
    <row r="223" spans="1:3">
      <c r="A223" s="12"/>
      <c r="B223" s="12"/>
      <c r="C223" s="27"/>
    </row>
    <row r="224" spans="1:3">
      <c r="A224" s="15"/>
      <c r="B224" s="15"/>
      <c r="C224" s="19"/>
    </row>
    <row r="225" spans="1:3">
      <c r="A225" s="12"/>
      <c r="B225" s="12"/>
      <c r="C225" s="27"/>
    </row>
    <row r="226" spans="1:3">
      <c r="A226" s="15"/>
      <c r="B226" s="15"/>
      <c r="C226" s="19"/>
    </row>
    <row r="227" spans="1:3">
      <c r="A227" s="12"/>
      <c r="B227" s="12"/>
      <c r="C227" s="27"/>
    </row>
    <row r="228" spans="1:3">
      <c r="A228" s="15"/>
      <c r="B228" s="15"/>
      <c r="C228" s="19"/>
    </row>
    <row r="229" spans="1:3">
      <c r="A229" s="12"/>
      <c r="B229" s="12"/>
      <c r="C229" s="27"/>
    </row>
    <row r="230" spans="1:3">
      <c r="A230" s="15"/>
      <c r="B230" s="15"/>
      <c r="C230" s="19"/>
    </row>
    <row r="231" spans="1:3">
      <c r="A231" s="12"/>
      <c r="B231" s="12"/>
      <c r="C231" s="27"/>
    </row>
    <row r="232" spans="1:3">
      <c r="A232" s="15"/>
      <c r="B232" s="15"/>
      <c r="C232" s="19"/>
    </row>
    <row r="233" spans="1:3">
      <c r="A233" s="12"/>
      <c r="B233" s="12"/>
      <c r="C233" s="27"/>
    </row>
    <row r="234" spans="1:3">
      <c r="A234" s="15"/>
      <c r="B234" s="15"/>
      <c r="C234" s="19"/>
    </row>
    <row r="235" spans="1:3">
      <c r="A235" s="12"/>
      <c r="B235" s="12"/>
      <c r="C235" s="27"/>
    </row>
    <row r="236" spans="1:3">
      <c r="A236" s="15"/>
      <c r="B236" s="15"/>
      <c r="C236" s="19"/>
    </row>
    <row r="237" spans="1:3">
      <c r="A237" s="12"/>
      <c r="B237" s="12"/>
      <c r="C237" s="27"/>
    </row>
    <row r="238" spans="1:3">
      <c r="A238" s="15"/>
      <c r="B238" s="15"/>
      <c r="C238" s="19"/>
    </row>
    <row r="239" spans="1:3">
      <c r="A239" s="12"/>
      <c r="B239" s="12"/>
      <c r="C239" s="27"/>
    </row>
    <row r="240" spans="1:3">
      <c r="A240" s="15"/>
      <c r="B240" s="15"/>
      <c r="C240" s="19"/>
    </row>
    <row r="241" spans="1:3">
      <c r="A241" s="12"/>
      <c r="B241" s="12"/>
      <c r="C241" s="27"/>
    </row>
    <row r="242" spans="1:3">
      <c r="A242" s="15"/>
      <c r="B242" s="15"/>
      <c r="C242" s="19"/>
    </row>
    <row r="243" spans="1:3">
      <c r="A243" s="12"/>
      <c r="B243" s="12"/>
      <c r="C243" s="27"/>
    </row>
    <row r="244" spans="1:3">
      <c r="A244" s="15"/>
      <c r="B244" s="15"/>
      <c r="C244" s="19"/>
    </row>
    <row r="245" spans="1:3">
      <c r="A245" s="12"/>
      <c r="B245" s="12"/>
      <c r="C245" s="27"/>
    </row>
    <row r="246" spans="1:3">
      <c r="A246" s="15"/>
      <c r="B246" s="15"/>
      <c r="C246" s="19"/>
    </row>
    <row r="247" spans="1:3">
      <c r="A247" s="12"/>
      <c r="B247" s="12"/>
      <c r="C247" s="27"/>
    </row>
    <row r="248" spans="1:3">
      <c r="A248" s="15"/>
      <c r="B248" s="15"/>
      <c r="C248" s="19"/>
    </row>
    <row r="249" spans="1:3">
      <c r="A249" s="12"/>
      <c r="B249" s="12"/>
      <c r="C249" s="27"/>
    </row>
    <row r="250" spans="1:3">
      <c r="A250" s="15"/>
      <c r="B250" s="15"/>
      <c r="C250" s="19"/>
    </row>
    <row r="251" spans="1:3">
      <c r="A251" s="12"/>
      <c r="B251" s="12"/>
      <c r="C251" s="27"/>
    </row>
    <row r="252" spans="1:3">
      <c r="A252" s="15"/>
      <c r="B252" s="15"/>
      <c r="C252" s="19"/>
    </row>
    <row r="253" spans="1:3">
      <c r="A253" s="12"/>
      <c r="B253" s="12"/>
      <c r="C253" s="27"/>
    </row>
    <row r="254" spans="1:3">
      <c r="A254" s="15"/>
      <c r="B254" s="15"/>
      <c r="C254" s="19"/>
    </row>
    <row r="255" spans="1:3">
      <c r="A255" s="12"/>
      <c r="B255" s="12"/>
      <c r="C255" s="27"/>
    </row>
    <row r="256" spans="1:3">
      <c r="A256" s="15"/>
      <c r="B256" s="15"/>
      <c r="C256" s="19"/>
    </row>
    <row r="257" spans="1:3">
      <c r="A257" s="12"/>
      <c r="B257" s="12"/>
      <c r="C257" s="27"/>
    </row>
    <row r="258" spans="1:3">
      <c r="A258" s="15"/>
      <c r="B258" s="15"/>
      <c r="C258" s="19"/>
    </row>
    <row r="259" spans="1:3">
      <c r="A259" s="12"/>
      <c r="B259" s="12"/>
      <c r="C259" s="27"/>
    </row>
    <row r="260" spans="1:3">
      <c r="A260" s="15"/>
      <c r="B260" s="15"/>
      <c r="C260" s="19"/>
    </row>
    <row r="261" spans="1:3">
      <c r="A261" s="12"/>
      <c r="B261" s="12"/>
      <c r="C261" s="27"/>
    </row>
    <row r="262" spans="1:3">
      <c r="A262" s="15"/>
      <c r="B262" s="15"/>
      <c r="C262" s="19"/>
    </row>
    <row r="263" spans="1:3">
      <c r="A263" s="12"/>
      <c r="B263" s="12"/>
      <c r="C263" s="27"/>
    </row>
    <row r="264" spans="1:3">
      <c r="A264" s="15"/>
      <c r="B264" s="15"/>
      <c r="C264" s="19"/>
    </row>
    <row r="265" spans="1:3">
      <c r="A265" s="12"/>
      <c r="B265" s="12"/>
      <c r="C265" s="27"/>
    </row>
    <row r="266" spans="1:3">
      <c r="A266" s="15"/>
      <c r="B266" s="15"/>
      <c r="C266" s="19"/>
    </row>
    <row r="267" spans="1:3">
      <c r="A267" s="12"/>
      <c r="B267" s="12"/>
      <c r="C267" s="27"/>
    </row>
    <row r="268" spans="1:3">
      <c r="A268" s="15"/>
      <c r="B268" s="15"/>
      <c r="C268" s="19"/>
    </row>
    <row r="269" spans="1:3">
      <c r="A269" s="12"/>
      <c r="B269" s="12"/>
      <c r="C269" s="27"/>
    </row>
    <row r="270" spans="1:3">
      <c r="A270" s="15"/>
      <c r="B270" s="15"/>
      <c r="C270" s="19"/>
    </row>
    <row r="271" spans="1:3">
      <c r="A271" s="12"/>
      <c r="B271" s="12"/>
      <c r="C271" s="27"/>
    </row>
    <row r="272" spans="1:3">
      <c r="A272" s="15"/>
      <c r="B272" s="15"/>
      <c r="C272" s="19"/>
    </row>
    <row r="273" spans="1:5">
      <c r="A273" s="12"/>
      <c r="B273" s="12"/>
      <c r="C273" s="27"/>
    </row>
    <row r="274" spans="1:5">
      <c r="A274" s="15"/>
      <c r="B274" s="15"/>
      <c r="C274" s="19"/>
    </row>
    <row r="275" spans="1:5">
      <c r="A275" s="12"/>
      <c r="B275" s="12"/>
      <c r="C275" s="27"/>
    </row>
    <row r="276" spans="1:5">
      <c r="A276" s="15"/>
      <c r="B276" s="15"/>
      <c r="C276" s="19"/>
    </row>
    <row r="277" spans="1:5">
      <c r="A277" s="12"/>
      <c r="B277" s="12"/>
      <c r="C277" s="27"/>
    </row>
    <row r="278" spans="1:5">
      <c r="A278" s="15"/>
      <c r="B278" s="15"/>
      <c r="C278" s="19"/>
    </row>
    <row r="279" spans="1:5">
      <c r="A279" s="12"/>
      <c r="B279" s="12"/>
      <c r="C279" s="27"/>
    </row>
    <row r="280" spans="1:5">
      <c r="A280" s="15"/>
      <c r="B280" s="15"/>
      <c r="C280" s="19"/>
    </row>
    <row r="281" spans="1:5">
      <c r="A281" s="11"/>
      <c r="B281" s="12"/>
      <c r="C281" s="13"/>
    </row>
    <row r="282" spans="1:5">
      <c r="A282" s="14"/>
      <c r="B282" s="15"/>
      <c r="C282" s="16"/>
      <c r="E282" t="s">
        <v>589</v>
      </c>
    </row>
    <row r="283" spans="1:5">
      <c r="A283" s="11"/>
      <c r="B283" s="12"/>
      <c r="C283" s="13"/>
    </row>
    <row r="284" spans="1:5">
      <c r="A284" s="14"/>
      <c r="B284" s="15"/>
      <c r="C284" s="16"/>
    </row>
    <row r="285" spans="1:5">
      <c r="A285" s="12"/>
      <c r="B285" s="12"/>
      <c r="C285" s="27"/>
    </row>
    <row r="286" spans="1:5">
      <c r="A286" s="15"/>
      <c r="B286" s="15"/>
      <c r="C286" s="19"/>
    </row>
    <row r="287" spans="1:5">
      <c r="A287" s="12"/>
      <c r="B287" s="12"/>
      <c r="C287" s="27"/>
    </row>
    <row r="288" spans="1:5">
      <c r="A288" s="15"/>
      <c r="B288" s="15"/>
      <c r="C288" s="19"/>
    </row>
    <row r="289" spans="1:3">
      <c r="A289" s="12"/>
      <c r="B289" s="12"/>
      <c r="C289" s="27"/>
    </row>
    <row r="290" spans="1:3">
      <c r="A290" s="15"/>
      <c r="B290" s="15"/>
      <c r="C290" s="19"/>
    </row>
    <row r="291" spans="1:3">
      <c r="A291" s="12"/>
      <c r="B291" s="12"/>
      <c r="C291" s="27"/>
    </row>
    <row r="292" spans="1:3">
      <c r="A292" s="15"/>
      <c r="B292" s="15"/>
      <c r="C292" s="19"/>
    </row>
    <row r="293" spans="1:3">
      <c r="A293" s="12"/>
      <c r="B293" s="12"/>
      <c r="C293" s="27"/>
    </row>
    <row r="294" spans="1:3">
      <c r="A294" s="15"/>
      <c r="B294" s="15"/>
      <c r="C294" s="19"/>
    </row>
    <row r="295" spans="1:3">
      <c r="A295" s="12"/>
      <c r="B295" s="12"/>
      <c r="C295" s="27"/>
    </row>
    <row r="296" spans="1:3">
      <c r="A296" s="15"/>
      <c r="B296" s="15"/>
      <c r="C296" s="19"/>
    </row>
    <row r="297" spans="1:3">
      <c r="A297" s="12"/>
      <c r="B297" s="12"/>
      <c r="C297" s="27"/>
    </row>
    <row r="298" spans="1:3">
      <c r="A298" s="15"/>
      <c r="B298" s="15"/>
      <c r="C298" s="19"/>
    </row>
    <row r="299" spans="1:3">
      <c r="A299" s="12"/>
      <c r="B299" s="12"/>
      <c r="C299" s="27"/>
    </row>
    <row r="300" spans="1:3">
      <c r="A300" s="15"/>
      <c r="B300" s="15"/>
      <c r="C300" s="19"/>
    </row>
    <row r="301" spans="1:3">
      <c r="A301" s="12"/>
      <c r="B301" s="12"/>
      <c r="C301" s="27"/>
    </row>
    <row r="302" spans="1:3">
      <c r="A302" s="15"/>
      <c r="B302" s="15"/>
      <c r="C302" s="19"/>
    </row>
    <row r="303" spans="1:3">
      <c r="A303" s="12"/>
      <c r="B303" s="12"/>
      <c r="C303" s="27"/>
    </row>
    <row r="304" spans="1:3">
      <c r="A304" s="15"/>
      <c r="B304" s="15"/>
      <c r="C304" s="19"/>
    </row>
    <row r="305" spans="1:3">
      <c r="A305" s="12"/>
      <c r="B305" s="12"/>
      <c r="C305" s="27"/>
    </row>
    <row r="306" spans="1:3">
      <c r="A306" s="15"/>
      <c r="B306" s="15"/>
      <c r="C306" s="19"/>
    </row>
    <row r="307" spans="1:3">
      <c r="A307" s="12"/>
      <c r="B307" s="12"/>
      <c r="C307" s="27"/>
    </row>
    <row r="308" spans="1:3">
      <c r="A308" s="15"/>
      <c r="B308" s="15"/>
      <c r="C308" s="19"/>
    </row>
    <row r="309" spans="1:3">
      <c r="A309" s="12"/>
      <c r="B309" s="12"/>
      <c r="C309" s="27"/>
    </row>
    <row r="310" spans="1:3">
      <c r="A310" s="15"/>
      <c r="B310" s="15"/>
      <c r="C310" s="19"/>
    </row>
    <row r="311" spans="1:3">
      <c r="A311" s="12"/>
      <c r="B311" s="12"/>
      <c r="C311" s="27"/>
    </row>
    <row r="312" spans="1:3">
      <c r="A312" s="15"/>
      <c r="B312" s="15"/>
      <c r="C312" s="19"/>
    </row>
    <row r="313" spans="1:3">
      <c r="A313" s="12"/>
      <c r="B313" s="12"/>
      <c r="C313" s="27"/>
    </row>
    <row r="314" spans="1:3">
      <c r="A314" s="15"/>
      <c r="B314" s="15"/>
      <c r="C314" s="19"/>
    </row>
    <row r="315" spans="1:3">
      <c r="A315" s="12"/>
      <c r="B315" s="12"/>
      <c r="C315" s="27"/>
    </row>
    <row r="316" spans="1:3">
      <c r="A316" s="15"/>
      <c r="B316" s="15"/>
      <c r="C316" s="19"/>
    </row>
    <row r="317" spans="1:3">
      <c r="A317" s="12"/>
      <c r="B317" s="12"/>
      <c r="C317" s="27"/>
    </row>
    <row r="318" spans="1:3">
      <c r="A318" s="15"/>
      <c r="B318" s="15"/>
      <c r="C318" s="19"/>
    </row>
    <row r="319" spans="1:3">
      <c r="A319" s="12"/>
      <c r="B319" s="12"/>
      <c r="C319" s="27"/>
    </row>
    <row r="320" spans="1:3">
      <c r="A320" s="15"/>
      <c r="B320" s="15"/>
      <c r="C320" s="19"/>
    </row>
    <row r="321" spans="1:3">
      <c r="A321" s="12"/>
      <c r="B321" s="12"/>
      <c r="C321" s="27"/>
    </row>
    <row r="322" spans="1:3">
      <c r="A322" s="15"/>
      <c r="B322" s="15"/>
      <c r="C322" s="19"/>
    </row>
    <row r="323" spans="1:3">
      <c r="A323" s="12"/>
      <c r="B323" s="12"/>
      <c r="C323" s="27"/>
    </row>
    <row r="324" spans="1:3">
      <c r="A324" s="15"/>
      <c r="B324" s="15"/>
      <c r="C324" s="19"/>
    </row>
    <row r="325" spans="1:3">
      <c r="A325" s="12"/>
      <c r="B325" s="12"/>
      <c r="C325" s="27"/>
    </row>
    <row r="326" spans="1:3">
      <c r="A326" s="15"/>
      <c r="B326" s="15"/>
      <c r="C326" s="19"/>
    </row>
    <row r="327" spans="1:3">
      <c r="A327" s="12"/>
      <c r="B327" s="12"/>
      <c r="C327" s="27"/>
    </row>
    <row r="328" spans="1:3">
      <c r="A328" s="15"/>
      <c r="B328" s="15"/>
      <c r="C328" s="19"/>
    </row>
    <row r="329" spans="1:3">
      <c r="A329" s="12"/>
      <c r="B329" s="12"/>
      <c r="C329" s="27"/>
    </row>
    <row r="330" spans="1:3">
      <c r="A330" s="15"/>
      <c r="B330" s="15"/>
      <c r="C330" s="19"/>
    </row>
    <row r="331" spans="1:3">
      <c r="A331" s="12"/>
      <c r="B331" s="12"/>
      <c r="C331" s="27"/>
    </row>
    <row r="332" spans="1:3">
      <c r="A332" s="15"/>
      <c r="B332" s="15"/>
      <c r="C332" s="19"/>
    </row>
    <row r="333" spans="1:3">
      <c r="A333" s="12"/>
      <c r="B333" s="12"/>
      <c r="C333" s="27"/>
    </row>
    <row r="334" spans="1:3">
      <c r="A334" s="15"/>
      <c r="B334" s="15"/>
      <c r="C334" s="19"/>
    </row>
    <row r="335" spans="1:3">
      <c r="A335" s="12"/>
      <c r="B335" s="12"/>
      <c r="C335" s="27"/>
    </row>
    <row r="336" spans="1:3">
      <c r="A336" s="15"/>
      <c r="B336" s="15"/>
      <c r="C336" s="19"/>
    </row>
    <row r="337" spans="1:3">
      <c r="A337" s="12"/>
      <c r="B337" s="12"/>
      <c r="C337" s="27"/>
    </row>
    <row r="338" spans="1:3">
      <c r="A338" s="15"/>
      <c r="B338" s="15"/>
      <c r="C338" s="19"/>
    </row>
    <row r="339" spans="1:3">
      <c r="A339" s="12"/>
      <c r="B339" s="12"/>
      <c r="C339" s="27"/>
    </row>
    <row r="340" spans="1:3">
      <c r="A340" s="15"/>
      <c r="B340" s="15"/>
      <c r="C340" s="19"/>
    </row>
    <row r="341" spans="1:3">
      <c r="A341" s="12"/>
      <c r="B341" s="12"/>
      <c r="C341" s="27"/>
    </row>
    <row r="342" spans="1:3">
      <c r="A342" s="15"/>
      <c r="B342" s="15"/>
      <c r="C342" s="19"/>
    </row>
    <row r="343" spans="1:3">
      <c r="A343" s="12"/>
      <c r="B343" s="12"/>
      <c r="C343" s="27"/>
    </row>
    <row r="344" spans="1:3">
      <c r="A344" s="15"/>
      <c r="B344" s="15"/>
      <c r="C344" s="19"/>
    </row>
    <row r="345" spans="1:3">
      <c r="A345" s="12"/>
      <c r="B345" s="12"/>
      <c r="C345" s="27"/>
    </row>
    <row r="346" spans="1:3">
      <c r="A346" s="15"/>
      <c r="B346" s="15"/>
      <c r="C346" s="19"/>
    </row>
    <row r="347" spans="1:3">
      <c r="A347" s="12"/>
      <c r="B347" s="12"/>
      <c r="C347" s="27"/>
    </row>
    <row r="348" spans="1:3">
      <c r="A348" s="15"/>
      <c r="B348" s="15"/>
      <c r="C348" s="19"/>
    </row>
    <row r="349" spans="1:3">
      <c r="A349" s="12"/>
      <c r="B349" s="12"/>
      <c r="C349" s="27"/>
    </row>
    <row r="350" spans="1:3">
      <c r="A350" s="15"/>
      <c r="B350" s="15"/>
      <c r="C350" s="19"/>
    </row>
    <row r="351" spans="1:3">
      <c r="A351" s="12"/>
      <c r="B351" s="12"/>
      <c r="C351" s="27"/>
    </row>
    <row r="352" spans="1:3">
      <c r="A352" s="15"/>
      <c r="B352" s="15"/>
      <c r="C352" s="19"/>
    </row>
    <row r="353" spans="1:3">
      <c r="A353" s="12"/>
      <c r="B353" s="12"/>
      <c r="C353" s="27"/>
    </row>
    <row r="354" spans="1:3">
      <c r="A354" s="15"/>
      <c r="B354" s="15"/>
      <c r="C354" s="19"/>
    </row>
    <row r="355" spans="1:3">
      <c r="A355" s="12"/>
      <c r="B355" s="12"/>
      <c r="C355" s="27"/>
    </row>
    <row r="356" spans="1:3">
      <c r="A356" s="15"/>
      <c r="B356" s="15"/>
      <c r="C356" s="19"/>
    </row>
    <row r="357" spans="1:3">
      <c r="A357" s="12"/>
      <c r="B357" s="12"/>
      <c r="C357" s="27"/>
    </row>
    <row r="358" spans="1:3">
      <c r="A358" s="15"/>
      <c r="B358" s="15"/>
      <c r="C358" s="19"/>
    </row>
    <row r="359" spans="1:3">
      <c r="A359" s="12"/>
      <c r="B359" s="12"/>
      <c r="C359" s="27"/>
    </row>
    <row r="360" spans="1:3">
      <c r="A360" s="15"/>
      <c r="B360" s="15"/>
      <c r="C360" s="19"/>
    </row>
    <row r="361" spans="1:3">
      <c r="A361" s="12"/>
      <c r="B361" s="12"/>
      <c r="C361" s="27"/>
    </row>
    <row r="362" spans="1:3">
      <c r="A362" s="15"/>
      <c r="B362" s="15"/>
      <c r="C362" s="19"/>
    </row>
    <row r="363" spans="1:3">
      <c r="A363" s="12"/>
      <c r="B363" s="12"/>
      <c r="C363" s="27"/>
    </row>
    <row r="364" spans="1:3">
      <c r="A364" s="15"/>
      <c r="B364" s="15"/>
      <c r="C364" s="19"/>
    </row>
    <row r="365" spans="1:3">
      <c r="A365" s="12"/>
      <c r="B365" s="12"/>
      <c r="C365" s="27"/>
    </row>
    <row r="366" spans="1:3">
      <c r="A366" s="15"/>
      <c r="B366" s="15"/>
      <c r="C366" s="19"/>
    </row>
    <row r="367" spans="1:3">
      <c r="A367" s="12"/>
      <c r="B367" s="12"/>
      <c r="C367" s="27"/>
    </row>
    <row r="368" spans="1:3">
      <c r="A368" s="15"/>
      <c r="B368" s="15"/>
      <c r="C368" s="19"/>
    </row>
    <row r="369" spans="1:3">
      <c r="A369" s="12"/>
      <c r="B369" s="12"/>
      <c r="C369" s="27"/>
    </row>
    <row r="370" spans="1:3">
      <c r="A370" s="15"/>
      <c r="B370" s="15"/>
      <c r="C370" s="19"/>
    </row>
    <row r="371" spans="1:3">
      <c r="A371" s="12"/>
      <c r="B371" s="12"/>
      <c r="C371" s="27"/>
    </row>
    <row r="372" spans="1:3">
      <c r="A372" s="15"/>
      <c r="B372" s="15"/>
      <c r="C372" s="19"/>
    </row>
    <row r="373" spans="1:3">
      <c r="A373" s="12"/>
      <c r="B373" s="12"/>
      <c r="C373" s="27"/>
    </row>
    <row r="374" spans="1:3">
      <c r="A374" s="15"/>
      <c r="B374" s="15"/>
      <c r="C374" s="19"/>
    </row>
    <row r="375" spans="1:3">
      <c r="A375" s="12"/>
      <c r="B375" s="12"/>
      <c r="C375" s="27"/>
    </row>
    <row r="376" spans="1:3">
      <c r="A376" s="15"/>
      <c r="B376" s="15"/>
      <c r="C376" s="19"/>
    </row>
    <row r="377" spans="1:3">
      <c r="A377" s="12"/>
      <c r="B377" s="12"/>
      <c r="C377" s="27"/>
    </row>
    <row r="378" spans="1:3">
      <c r="A378" s="15"/>
      <c r="B378" s="15"/>
      <c r="C378" s="19"/>
    </row>
    <row r="379" spans="1:3">
      <c r="A379" s="12"/>
      <c r="B379" s="12"/>
      <c r="C379" s="27"/>
    </row>
    <row r="380" spans="1:3">
      <c r="A380" s="15"/>
      <c r="B380" s="15"/>
      <c r="C380" s="19"/>
    </row>
    <row r="381" spans="1:3">
      <c r="A381" s="12"/>
      <c r="B381" s="12"/>
      <c r="C381" s="27"/>
    </row>
    <row r="382" spans="1:3">
      <c r="A382" s="15"/>
      <c r="B382" s="15"/>
      <c r="C382" s="19"/>
    </row>
    <row r="383" spans="1:3">
      <c r="A383" s="12"/>
      <c r="B383" s="12"/>
      <c r="C383" s="27"/>
    </row>
    <row r="384" spans="1:3">
      <c r="A384" s="15"/>
      <c r="B384" s="15"/>
      <c r="C384" s="19"/>
    </row>
    <row r="385" spans="1:3">
      <c r="A385" s="12"/>
      <c r="B385" s="12"/>
      <c r="C385" s="27"/>
    </row>
    <row r="386" spans="1:3">
      <c r="A386" s="15"/>
      <c r="B386" s="15"/>
      <c r="C386" s="19"/>
    </row>
    <row r="387" spans="1:3">
      <c r="A387" s="12"/>
      <c r="B387" s="12"/>
      <c r="C387" s="27"/>
    </row>
    <row r="388" spans="1:3">
      <c r="A388" s="15"/>
      <c r="B388" s="15"/>
      <c r="C388" s="19"/>
    </row>
    <row r="389" spans="1:3">
      <c r="A389" s="12"/>
      <c r="B389" s="12"/>
      <c r="C389" s="27"/>
    </row>
    <row r="390" spans="1:3">
      <c r="A390" s="15"/>
      <c r="B390" s="15"/>
      <c r="C390" s="19"/>
    </row>
    <row r="391" spans="1:3">
      <c r="A391" s="12"/>
      <c r="B391" s="12"/>
      <c r="C391" s="27"/>
    </row>
    <row r="392" spans="1:3">
      <c r="A392" s="15"/>
      <c r="B392" s="15"/>
      <c r="C392" s="19"/>
    </row>
    <row r="393" spans="1:3">
      <c r="A393" s="12"/>
      <c r="B393" s="12"/>
      <c r="C393" s="27"/>
    </row>
    <row r="394" spans="1:3">
      <c r="A394" s="15"/>
      <c r="B394" s="15"/>
      <c r="C394" s="19"/>
    </row>
    <row r="395" spans="1:3">
      <c r="A395" s="11"/>
      <c r="B395" s="12"/>
      <c r="C395" s="13"/>
    </row>
    <row r="396" spans="1:3">
      <c r="A396" s="14"/>
      <c r="B396" s="15"/>
      <c r="C396" s="16"/>
    </row>
    <row r="397" spans="1:3">
      <c r="A397" s="11"/>
      <c r="B397" s="12"/>
      <c r="C397" s="13"/>
    </row>
    <row r="398" spans="1:3">
      <c r="A398" s="14"/>
      <c r="B398" s="15"/>
      <c r="C398" s="16"/>
    </row>
    <row r="399" spans="1:3">
      <c r="A399" s="12"/>
      <c r="B399" s="12"/>
      <c r="C399" s="27"/>
    </row>
    <row r="400" spans="1:3">
      <c r="A400" s="15"/>
      <c r="B400" s="15"/>
      <c r="C400" s="19"/>
    </row>
    <row r="401" spans="1:3">
      <c r="A401" s="12"/>
      <c r="B401" s="12"/>
      <c r="C401" s="27"/>
    </row>
    <row r="402" spans="1:3">
      <c r="A402" s="15"/>
      <c r="B402" s="15"/>
      <c r="C402" s="19"/>
    </row>
    <row r="403" spans="1:3">
      <c r="A403" s="12"/>
      <c r="B403" s="12"/>
      <c r="C403" s="27"/>
    </row>
    <row r="404" spans="1:3">
      <c r="A404" s="15"/>
      <c r="B404" s="15"/>
      <c r="C404" s="19"/>
    </row>
    <row r="405" spans="1:3">
      <c r="A405" s="12"/>
      <c r="B405" s="12"/>
      <c r="C405" s="27"/>
    </row>
    <row r="406" spans="1:3">
      <c r="A406" s="15"/>
      <c r="B406" s="15"/>
      <c r="C406" s="19"/>
    </row>
    <row r="407" spans="1:3">
      <c r="A407" s="12"/>
      <c r="B407" s="12"/>
      <c r="C407" s="27"/>
    </row>
    <row r="408" spans="1:3">
      <c r="A408" s="15"/>
      <c r="B408" s="15"/>
      <c r="C408" s="19"/>
    </row>
    <row r="409" spans="1:3">
      <c r="A409" s="12"/>
      <c r="B409" s="12"/>
      <c r="C409" s="27"/>
    </row>
    <row r="410" spans="1:3">
      <c r="A410" s="15"/>
      <c r="B410" s="15"/>
      <c r="C410" s="19"/>
    </row>
    <row r="411" spans="1:3">
      <c r="A411" s="12"/>
      <c r="B411" s="12"/>
      <c r="C411" s="27"/>
    </row>
    <row r="412" spans="1:3">
      <c r="A412" s="15"/>
      <c r="B412" s="15"/>
      <c r="C412" s="19"/>
    </row>
    <row r="413" spans="1:3">
      <c r="A413" s="12"/>
      <c r="B413" s="12"/>
      <c r="C413" s="27"/>
    </row>
    <row r="414" spans="1:3">
      <c r="A414" s="15"/>
      <c r="B414" s="15"/>
      <c r="C414" s="19"/>
    </row>
    <row r="415" spans="1:3">
      <c r="A415" s="12"/>
      <c r="B415" s="12"/>
      <c r="C415" s="27"/>
    </row>
    <row r="416" spans="1:3">
      <c r="A416" s="15"/>
      <c r="B416" s="15"/>
      <c r="C416" s="19"/>
    </row>
    <row r="417" spans="1:3">
      <c r="A417" s="12"/>
      <c r="B417" s="12"/>
      <c r="C417" s="27"/>
    </row>
    <row r="418" spans="1:3">
      <c r="A418" s="15"/>
      <c r="B418" s="15"/>
      <c r="C418" s="19"/>
    </row>
    <row r="419" spans="1:3">
      <c r="A419" s="12"/>
      <c r="B419" s="12"/>
      <c r="C419" s="27"/>
    </row>
    <row r="420" spans="1:3">
      <c r="A420" s="15"/>
      <c r="B420" s="15"/>
      <c r="C420" s="19"/>
    </row>
    <row r="421" spans="1:3">
      <c r="A421" s="12"/>
      <c r="B421" s="12"/>
      <c r="C421" s="27"/>
    </row>
    <row r="422" spans="1:3">
      <c r="A422" s="15"/>
      <c r="B422" s="15"/>
      <c r="C422" s="19"/>
    </row>
    <row r="423" spans="1:3">
      <c r="A423" s="12"/>
      <c r="B423" s="12"/>
      <c r="C423" s="27"/>
    </row>
    <row r="424" spans="1:3">
      <c r="A424" s="15"/>
      <c r="B424" s="15"/>
      <c r="C424" s="19"/>
    </row>
    <row r="425" spans="1:3">
      <c r="A425" s="12"/>
      <c r="B425" s="12"/>
      <c r="C425" s="27"/>
    </row>
    <row r="426" spans="1:3">
      <c r="A426" s="15"/>
      <c r="B426" s="15"/>
      <c r="C426" s="19"/>
    </row>
    <row r="427" spans="1:3">
      <c r="A427" s="12"/>
      <c r="B427" s="12"/>
      <c r="C427" s="27"/>
    </row>
    <row r="428" spans="1:3">
      <c r="A428" s="15"/>
      <c r="B428" s="15"/>
      <c r="C428" s="19"/>
    </row>
    <row r="429" spans="1:3">
      <c r="A429" s="12"/>
      <c r="B429" s="12"/>
      <c r="C429" s="27"/>
    </row>
    <row r="430" spans="1:3">
      <c r="A430" s="15"/>
      <c r="B430" s="15"/>
      <c r="C430" s="19"/>
    </row>
    <row r="431" spans="1:3">
      <c r="A431" s="12"/>
      <c r="B431" s="12"/>
      <c r="C431" s="27"/>
    </row>
    <row r="432" spans="1:3">
      <c r="A432" s="15"/>
      <c r="B432" s="15"/>
      <c r="C432" s="19"/>
    </row>
    <row r="433" spans="1:3">
      <c r="A433" s="12"/>
      <c r="B433" s="12"/>
      <c r="C433" s="27"/>
    </row>
    <row r="434" spans="1:3">
      <c r="A434" s="15"/>
      <c r="B434" s="15"/>
      <c r="C434" s="19"/>
    </row>
    <row r="435" spans="1:3">
      <c r="A435" s="12"/>
      <c r="B435" s="12"/>
      <c r="C435" s="27"/>
    </row>
    <row r="436" spans="1:3">
      <c r="A436" s="15"/>
      <c r="B436" s="15"/>
      <c r="C436" s="19"/>
    </row>
    <row r="437" spans="1:3">
      <c r="A437" s="12"/>
      <c r="B437" s="12"/>
      <c r="C437" s="27"/>
    </row>
    <row r="438" spans="1:3">
      <c r="A438" s="15"/>
      <c r="B438" s="15"/>
      <c r="C438" s="19"/>
    </row>
    <row r="439" spans="1:3">
      <c r="A439" s="12"/>
      <c r="B439" s="12"/>
      <c r="C439" s="27"/>
    </row>
    <row r="440" spans="1:3">
      <c r="A440" s="15"/>
      <c r="B440" s="15"/>
      <c r="C440" s="19"/>
    </row>
    <row r="441" spans="1:3">
      <c r="A441" s="12"/>
      <c r="B441" s="12"/>
      <c r="C441" s="27"/>
    </row>
    <row r="442" spans="1:3">
      <c r="A442" s="15"/>
      <c r="B442" s="15"/>
      <c r="C442" s="19"/>
    </row>
    <row r="443" spans="1:3">
      <c r="A443" s="12"/>
      <c r="B443" s="12"/>
      <c r="C443" s="27"/>
    </row>
    <row r="444" spans="1:3">
      <c r="A444" s="15"/>
      <c r="B444" s="15"/>
      <c r="C444" s="19"/>
    </row>
    <row r="445" spans="1:3">
      <c r="A445" s="12"/>
      <c r="B445" s="12"/>
      <c r="C445" s="27"/>
    </row>
    <row r="446" spans="1:3">
      <c r="A446" s="15"/>
      <c r="B446" s="15"/>
      <c r="C446" s="19"/>
    </row>
    <row r="447" spans="1:3">
      <c r="A447" s="12"/>
      <c r="B447" s="12"/>
      <c r="C447" s="27"/>
    </row>
    <row r="448" spans="1:3">
      <c r="A448" s="15"/>
      <c r="B448" s="15"/>
      <c r="C448" s="19"/>
    </row>
    <row r="449" spans="1:3">
      <c r="A449" s="12"/>
      <c r="B449" s="12"/>
      <c r="C449" s="27"/>
    </row>
    <row r="450" spans="1:3">
      <c r="A450" s="15"/>
      <c r="B450" s="15"/>
      <c r="C450" s="19"/>
    </row>
    <row r="451" spans="1:3">
      <c r="A451" s="12"/>
      <c r="B451" s="12"/>
      <c r="C451" s="27"/>
    </row>
    <row r="452" spans="1:3">
      <c r="A452" s="15"/>
      <c r="B452" s="15"/>
      <c r="C452" s="19"/>
    </row>
    <row r="453" spans="1:3">
      <c r="A453" s="12"/>
      <c r="B453" s="12"/>
      <c r="C453" s="27"/>
    </row>
    <row r="454" spans="1:3">
      <c r="A454" s="15"/>
      <c r="B454" s="15"/>
      <c r="C454" s="19"/>
    </row>
    <row r="455" spans="1:3">
      <c r="A455" s="12"/>
      <c r="B455" s="12"/>
      <c r="C455" s="27"/>
    </row>
    <row r="456" spans="1:3">
      <c r="A456" s="15"/>
      <c r="B456" s="15"/>
      <c r="C456" s="19"/>
    </row>
    <row r="457" spans="1:3">
      <c r="A457" s="12"/>
      <c r="B457" s="12"/>
      <c r="C457" s="27"/>
    </row>
    <row r="458" spans="1:3">
      <c r="A458" s="15"/>
      <c r="B458" s="15"/>
      <c r="C458" s="19"/>
    </row>
    <row r="459" spans="1:3">
      <c r="A459" s="12"/>
      <c r="B459" s="12"/>
      <c r="C459" s="27"/>
    </row>
    <row r="460" spans="1:3">
      <c r="A460" s="15"/>
      <c r="B460" s="15"/>
      <c r="C460" s="19"/>
    </row>
    <row r="461" spans="1:3">
      <c r="A461" s="12"/>
      <c r="B461" s="12"/>
      <c r="C461" s="27"/>
    </row>
    <row r="462" spans="1:3">
      <c r="A462" s="15"/>
      <c r="B462" s="15"/>
      <c r="C462" s="19"/>
    </row>
    <row r="463" spans="1:3">
      <c r="A463" s="12"/>
      <c r="B463" s="12"/>
      <c r="C463" s="27"/>
    </row>
    <row r="464" spans="1:3">
      <c r="A464" s="15"/>
      <c r="B464" s="15"/>
      <c r="C464" s="19"/>
    </row>
    <row r="465" spans="1:3">
      <c r="A465" s="12"/>
      <c r="B465" s="12"/>
      <c r="C465" s="27"/>
    </row>
    <row r="466" spans="1:3">
      <c r="A466" s="15"/>
      <c r="B466" s="15"/>
      <c r="C466" s="19"/>
    </row>
    <row r="467" spans="1:3">
      <c r="A467" s="12"/>
      <c r="B467" s="12"/>
      <c r="C467" s="27"/>
    </row>
    <row r="468" spans="1:3">
      <c r="A468" s="15"/>
      <c r="B468" s="15"/>
      <c r="C468" s="19"/>
    </row>
    <row r="469" spans="1:3">
      <c r="A469" s="12"/>
      <c r="B469" s="12"/>
      <c r="C469" s="27"/>
    </row>
    <row r="470" spans="1:3">
      <c r="A470" s="15"/>
      <c r="B470" s="15"/>
      <c r="C470" s="19"/>
    </row>
    <row r="471" spans="1:3">
      <c r="A471" s="12"/>
      <c r="B471" s="12"/>
      <c r="C471" s="27"/>
    </row>
    <row r="472" spans="1:3">
      <c r="A472" s="15"/>
      <c r="B472" s="15"/>
      <c r="C472" s="19"/>
    </row>
    <row r="473" spans="1:3">
      <c r="A473" s="12"/>
      <c r="B473" s="12"/>
      <c r="C473" s="27"/>
    </row>
    <row r="474" spans="1:3">
      <c r="A474" s="15"/>
      <c r="B474" s="15"/>
      <c r="C474" s="19"/>
    </row>
    <row r="475" spans="1:3">
      <c r="A475" s="12"/>
      <c r="B475" s="12"/>
      <c r="C475" s="27"/>
    </row>
    <row r="476" spans="1:3">
      <c r="A476" s="15"/>
      <c r="B476" s="15"/>
      <c r="C476" s="19"/>
    </row>
    <row r="477" spans="1:3">
      <c r="A477" s="12"/>
      <c r="B477" s="12"/>
      <c r="C477" s="27"/>
    </row>
    <row r="478" spans="1:3">
      <c r="A478" s="15"/>
      <c r="B478" s="15"/>
      <c r="C478" s="19"/>
    </row>
    <row r="479" spans="1:3">
      <c r="A479" s="12"/>
      <c r="B479" s="12"/>
      <c r="C479" s="27"/>
    </row>
    <row r="480" spans="1:3">
      <c r="A480" s="15"/>
      <c r="B480" s="15"/>
      <c r="C480" s="19"/>
    </row>
    <row r="481" spans="1:3">
      <c r="A481" s="12"/>
      <c r="B481" s="12"/>
      <c r="C481" s="27"/>
    </row>
    <row r="482" spans="1:3">
      <c r="A482" s="15"/>
      <c r="B482" s="15"/>
      <c r="C482" s="19"/>
    </row>
    <row r="483" spans="1:3">
      <c r="A483" s="12"/>
      <c r="B483" s="12"/>
      <c r="C483" s="27"/>
    </row>
    <row r="484" spans="1:3">
      <c r="A484" s="15"/>
      <c r="B484" s="15"/>
      <c r="C484" s="19"/>
    </row>
    <row r="485" spans="1:3">
      <c r="A485" s="12"/>
      <c r="B485" s="12"/>
      <c r="C485" s="27"/>
    </row>
    <row r="486" spans="1:3">
      <c r="A486" s="15"/>
      <c r="B486" s="15"/>
      <c r="C486" s="19"/>
    </row>
    <row r="487" spans="1:3">
      <c r="A487" s="12"/>
      <c r="B487" s="12"/>
      <c r="C487" s="27"/>
    </row>
    <row r="488" spans="1:3">
      <c r="A488" s="15"/>
      <c r="B488" s="15"/>
      <c r="C488" s="19"/>
    </row>
    <row r="489" spans="1:3">
      <c r="A489" s="12"/>
      <c r="B489" s="12"/>
      <c r="C489" s="27"/>
    </row>
    <row r="490" spans="1:3">
      <c r="A490" s="15"/>
      <c r="B490" s="15"/>
      <c r="C490" s="19"/>
    </row>
    <row r="491" spans="1:3">
      <c r="A491" s="12"/>
      <c r="B491" s="12"/>
      <c r="C491" s="27"/>
    </row>
    <row r="492" spans="1:3">
      <c r="A492" s="15"/>
      <c r="B492" s="15"/>
      <c r="C492" s="19"/>
    </row>
    <row r="493" spans="1:3">
      <c r="A493" s="12"/>
      <c r="B493" s="12"/>
      <c r="C493" s="27"/>
    </row>
    <row r="494" spans="1:3">
      <c r="A494" s="15"/>
      <c r="B494" s="15"/>
      <c r="C494" s="19"/>
    </row>
    <row r="495" spans="1:3">
      <c r="A495" s="12"/>
      <c r="B495" s="12"/>
      <c r="C495" s="27"/>
    </row>
    <row r="496" spans="1:3">
      <c r="A496" s="15"/>
      <c r="B496" s="15"/>
      <c r="C496" s="19"/>
    </row>
    <row r="497" spans="1:3">
      <c r="A497" s="12"/>
      <c r="B497" s="12"/>
      <c r="C497" s="27"/>
    </row>
    <row r="498" spans="1:3">
      <c r="A498" s="15"/>
      <c r="B498" s="15"/>
      <c r="C498" s="19"/>
    </row>
    <row r="499" spans="1:3">
      <c r="A499" s="12"/>
      <c r="B499" s="12"/>
      <c r="C499" s="27"/>
    </row>
    <row r="500" spans="1:3">
      <c r="A500" s="15"/>
      <c r="B500" s="15"/>
      <c r="C500" s="19"/>
    </row>
    <row r="501" spans="1:3">
      <c r="A501" s="12"/>
      <c r="B501" s="12"/>
      <c r="C501" s="27"/>
    </row>
    <row r="502" spans="1:3">
      <c r="A502" s="15"/>
      <c r="B502" s="15"/>
      <c r="C502" s="19"/>
    </row>
    <row r="503" spans="1:3">
      <c r="A503" s="12"/>
      <c r="B503" s="12"/>
      <c r="C503" s="27"/>
    </row>
    <row r="504" spans="1:3">
      <c r="A504" s="15"/>
      <c r="B504" s="15"/>
      <c r="C504" s="19"/>
    </row>
    <row r="505" spans="1:3">
      <c r="A505" s="12"/>
      <c r="B505" s="12"/>
      <c r="C505" s="27"/>
    </row>
    <row r="506" spans="1:3">
      <c r="A506" s="15"/>
      <c r="B506" s="15"/>
      <c r="C506" s="19"/>
    </row>
    <row r="507" spans="1:3">
      <c r="A507" s="12"/>
      <c r="B507" s="12"/>
      <c r="C507" s="27"/>
    </row>
    <row r="508" spans="1:3">
      <c r="A508" s="15"/>
      <c r="B508" s="15"/>
      <c r="C508" s="19"/>
    </row>
    <row r="509" spans="1:3">
      <c r="A509" s="12"/>
      <c r="B509" s="12"/>
      <c r="C509" s="27"/>
    </row>
    <row r="510" spans="1:3">
      <c r="A510" s="15"/>
      <c r="B510" s="15"/>
      <c r="C510" s="19"/>
    </row>
    <row r="511" spans="1:3">
      <c r="A511" s="12"/>
      <c r="B511" s="12"/>
      <c r="C511" s="27"/>
    </row>
    <row r="512" spans="1:3">
      <c r="A512" s="15"/>
      <c r="B512" s="15"/>
      <c r="C512" s="19"/>
    </row>
    <row r="513" spans="1:3">
      <c r="A513" s="12"/>
      <c r="B513" s="12"/>
      <c r="C513" s="27"/>
    </row>
    <row r="514" spans="1:3">
      <c r="A514" s="15"/>
      <c r="B514" s="15"/>
      <c r="C514" s="19"/>
    </row>
    <row r="515" spans="1:3">
      <c r="A515" s="12"/>
      <c r="B515" s="12"/>
      <c r="C515" s="27"/>
    </row>
    <row r="516" spans="1:3">
      <c r="A516" s="15"/>
      <c r="B516" s="15"/>
      <c r="C516" s="19"/>
    </row>
    <row r="517" spans="1:3">
      <c r="A517" s="12"/>
      <c r="B517" s="12"/>
      <c r="C517" s="27"/>
    </row>
    <row r="518" spans="1:3">
      <c r="A518" s="15"/>
      <c r="B518" s="15"/>
      <c r="C518" s="19"/>
    </row>
    <row r="519" spans="1:3">
      <c r="A519" s="12"/>
      <c r="B519" s="12"/>
      <c r="C519" s="27"/>
    </row>
    <row r="520" spans="1:3">
      <c r="A520" s="15"/>
      <c r="B520" s="15"/>
      <c r="C520" s="19"/>
    </row>
    <row r="521" spans="1:3">
      <c r="A521" s="12"/>
      <c r="B521" s="12"/>
      <c r="C521" s="27"/>
    </row>
    <row r="522" spans="1:3">
      <c r="A522" s="15"/>
      <c r="B522" s="15"/>
      <c r="C522" s="19"/>
    </row>
    <row r="523" spans="1:3">
      <c r="A523" s="12"/>
      <c r="B523" s="12"/>
      <c r="C523" s="27"/>
    </row>
    <row r="524" spans="1:3">
      <c r="A524" s="15"/>
      <c r="B524" s="15"/>
      <c r="C524" s="19"/>
    </row>
    <row r="525" spans="1:3">
      <c r="A525" s="12"/>
      <c r="B525" s="12"/>
      <c r="C525" s="27"/>
    </row>
    <row r="526" spans="1:3">
      <c r="A526" s="15"/>
      <c r="B526" s="15"/>
      <c r="C526" s="19"/>
    </row>
    <row r="527" spans="1:3">
      <c r="A527" s="12"/>
      <c r="B527" s="12"/>
      <c r="C527" s="27"/>
    </row>
    <row r="528" spans="1:3">
      <c r="A528" s="15"/>
      <c r="B528" s="15"/>
      <c r="C528" s="19"/>
    </row>
    <row r="529" spans="1:3">
      <c r="A529" s="12"/>
      <c r="B529" s="12"/>
      <c r="C529" s="27"/>
    </row>
    <row r="530" spans="1:3">
      <c r="A530" s="15"/>
      <c r="B530" s="15"/>
      <c r="C530" s="19"/>
    </row>
    <row r="531" spans="1:3">
      <c r="A531" s="12"/>
      <c r="B531" s="12"/>
      <c r="C531" s="27"/>
    </row>
    <row r="532" spans="1:3">
      <c r="A532" s="15"/>
      <c r="B532" s="15"/>
      <c r="C532" s="19"/>
    </row>
    <row r="533" spans="1:3">
      <c r="A533" s="12"/>
      <c r="B533" s="12"/>
      <c r="C533" s="27"/>
    </row>
    <row r="534" spans="1:3">
      <c r="A534" s="15"/>
      <c r="B534" s="15"/>
      <c r="C534" s="19"/>
    </row>
    <row r="535" spans="1:3">
      <c r="A535" s="12"/>
      <c r="B535" s="12"/>
      <c r="C535" s="27"/>
    </row>
    <row r="536" spans="1:3">
      <c r="A536" s="15"/>
      <c r="B536" s="15"/>
      <c r="C536" s="19"/>
    </row>
    <row r="537" spans="1:3">
      <c r="A537" s="12"/>
      <c r="B537" s="12"/>
      <c r="C537" s="27"/>
    </row>
    <row r="538" spans="1:3">
      <c r="A538" s="15"/>
      <c r="B538" s="15"/>
      <c r="C538" s="19"/>
    </row>
    <row r="539" spans="1:3">
      <c r="A539" s="12"/>
      <c r="B539" s="12"/>
      <c r="C539" s="27"/>
    </row>
    <row r="540" spans="1:3">
      <c r="A540" s="15"/>
      <c r="B540" s="15"/>
      <c r="C540" s="19"/>
    </row>
    <row r="541" spans="1:3">
      <c r="A541" s="12"/>
      <c r="B541" s="12"/>
      <c r="C541" s="27"/>
    </row>
    <row r="542" spans="1:3">
      <c r="A542" s="15"/>
      <c r="B542" s="15"/>
      <c r="C542" s="19"/>
    </row>
    <row r="543" spans="1:3">
      <c r="A543" s="12"/>
      <c r="B543" s="12"/>
      <c r="C543" s="27"/>
    </row>
    <row r="544" spans="1:3">
      <c r="A544" s="15"/>
      <c r="B544" s="15"/>
      <c r="C544" s="19"/>
    </row>
    <row r="545" spans="1:3">
      <c r="A545" s="12"/>
      <c r="B545" s="12"/>
      <c r="C545" s="27"/>
    </row>
    <row r="546" spans="1:3">
      <c r="A546" s="15"/>
      <c r="B546" s="15"/>
      <c r="C546" s="19"/>
    </row>
    <row r="547" spans="1:3">
      <c r="A547" s="12"/>
      <c r="B547" s="12"/>
      <c r="C547" s="27"/>
    </row>
    <row r="548" spans="1:3">
      <c r="A548" s="15"/>
      <c r="B548" s="15"/>
      <c r="C548" s="19"/>
    </row>
    <row r="549" spans="1:3">
      <c r="A549" s="12"/>
      <c r="B549" s="12"/>
      <c r="C549" s="27"/>
    </row>
    <row r="550" spans="1:3">
      <c r="A550" s="15"/>
      <c r="B550" s="15"/>
      <c r="C550" s="19"/>
    </row>
    <row r="551" spans="1:3">
      <c r="A551" s="12"/>
      <c r="B551" s="12"/>
      <c r="C551" s="27"/>
    </row>
    <row r="552" spans="1:3">
      <c r="A552" s="15"/>
      <c r="B552" s="15"/>
      <c r="C552" s="19"/>
    </row>
    <row r="553" spans="1:3">
      <c r="A553" s="12"/>
      <c r="B553" s="12"/>
      <c r="C553" s="27"/>
    </row>
    <row r="554" spans="1:3">
      <c r="A554" s="15"/>
      <c r="B554" s="15"/>
      <c r="C554" s="19"/>
    </row>
    <row r="555" spans="1:3">
      <c r="A555" s="12"/>
      <c r="B555" s="12"/>
      <c r="C555" s="27"/>
    </row>
    <row r="556" spans="1:3">
      <c r="A556" s="15"/>
      <c r="B556" s="15"/>
      <c r="C556" s="19"/>
    </row>
    <row r="557" spans="1:3">
      <c r="A557" s="12"/>
      <c r="B557" s="12"/>
      <c r="C557" s="27"/>
    </row>
    <row r="558" spans="1:3">
      <c r="A558" s="15"/>
      <c r="B558" s="15"/>
      <c r="C558" s="19"/>
    </row>
    <row r="559" spans="1:3">
      <c r="A559" s="12"/>
      <c r="B559" s="12"/>
      <c r="C559" s="27"/>
    </row>
    <row r="560" spans="1:3">
      <c r="A560" s="15"/>
      <c r="B560" s="15"/>
      <c r="C560" s="19"/>
    </row>
    <row r="561" spans="1:3">
      <c r="A561" s="12"/>
      <c r="B561" s="12"/>
      <c r="C561" s="27"/>
    </row>
    <row r="562" spans="1:3">
      <c r="A562" s="15"/>
      <c r="B562" s="15"/>
      <c r="C562" s="19"/>
    </row>
    <row r="563" spans="1:3">
      <c r="A563" s="12"/>
      <c r="B563" s="12"/>
      <c r="C563" s="27"/>
    </row>
    <row r="564" spans="1:3">
      <c r="A564" s="15"/>
      <c r="B564" s="15"/>
      <c r="C564" s="19"/>
    </row>
    <row r="565" spans="1:3">
      <c r="A565" s="12"/>
      <c r="B565" s="12"/>
      <c r="C565" s="27"/>
    </row>
    <row r="566" spans="1:3">
      <c r="A566" s="15"/>
      <c r="B566" s="15"/>
      <c r="C566" s="19"/>
    </row>
    <row r="567" spans="1:3">
      <c r="A567" s="12"/>
      <c r="B567" s="12"/>
      <c r="C567" s="27"/>
    </row>
    <row r="568" spans="1:3">
      <c r="A568" s="15"/>
      <c r="B568" s="15"/>
      <c r="C568" s="19"/>
    </row>
    <row r="569" spans="1:3">
      <c r="A569" s="12"/>
      <c r="B569" s="12"/>
      <c r="C569" s="27"/>
    </row>
    <row r="570" spans="1:3">
      <c r="A570" s="15"/>
      <c r="B570" s="15"/>
      <c r="C570" s="19"/>
    </row>
    <row r="571" spans="1:3">
      <c r="A571" s="12"/>
      <c r="B571" s="12"/>
      <c r="C571" s="27"/>
    </row>
    <row r="572" spans="1:3">
      <c r="A572" s="15"/>
      <c r="B572" s="15"/>
      <c r="C572" s="19"/>
    </row>
    <row r="573" spans="1:3">
      <c r="A573" s="12"/>
      <c r="B573" s="12"/>
      <c r="C573" s="27"/>
    </row>
    <row r="574" spans="1:3">
      <c r="A574" s="15"/>
      <c r="B574" s="15"/>
      <c r="C574" s="19"/>
    </row>
    <row r="575" spans="1:3">
      <c r="A575" s="12"/>
      <c r="B575" s="12"/>
      <c r="C575" s="27"/>
    </row>
    <row r="576" spans="1:3">
      <c r="A576" s="15"/>
      <c r="B576" s="15"/>
      <c r="C576" s="19"/>
    </row>
    <row r="577" spans="1:3">
      <c r="A577" s="12"/>
      <c r="B577" s="12"/>
      <c r="C577" s="27"/>
    </row>
    <row r="578" spans="1:3">
      <c r="A578" s="15"/>
      <c r="B578" s="15"/>
      <c r="C578" s="19"/>
    </row>
    <row r="579" spans="1:3">
      <c r="A579" s="12"/>
      <c r="B579" s="12"/>
      <c r="C579" s="27"/>
    </row>
    <row r="580" spans="1:3">
      <c r="A580" s="15"/>
      <c r="B580" s="15"/>
      <c r="C580" s="19"/>
    </row>
    <row r="581" spans="1:3">
      <c r="A581" s="12"/>
      <c r="B581" s="12"/>
      <c r="C581" s="27"/>
    </row>
    <row r="582" spans="1:3">
      <c r="A582" s="15"/>
      <c r="B582" s="15"/>
      <c r="C582" s="19"/>
    </row>
    <row r="583" spans="1:3">
      <c r="A583" s="12"/>
      <c r="B583" s="12"/>
      <c r="C583" s="27"/>
    </row>
    <row r="584" spans="1:3">
      <c r="A584" s="15"/>
      <c r="B584" s="15"/>
      <c r="C584" s="19"/>
    </row>
    <row r="585" spans="1:3">
      <c r="A585" s="12"/>
      <c r="B585" s="12"/>
      <c r="C585" s="27"/>
    </row>
    <row r="586" spans="1:3">
      <c r="A586" s="15"/>
      <c r="B586" s="15"/>
      <c r="C586" s="19"/>
    </row>
    <row r="587" spans="1:3">
      <c r="A587" s="12"/>
      <c r="B587" s="12"/>
      <c r="C587" s="27"/>
    </row>
    <row r="588" spans="1:3">
      <c r="A588" s="15"/>
      <c r="B588" s="15"/>
      <c r="C588" s="19"/>
    </row>
    <row r="589" spans="1:3">
      <c r="A589" s="12"/>
      <c r="B589" s="12"/>
      <c r="C589" s="27"/>
    </row>
    <row r="590" spans="1:3">
      <c r="A590" s="15"/>
      <c r="B590" s="15"/>
      <c r="C590" s="19"/>
    </row>
    <row r="591" spans="1:3">
      <c r="A591" s="12"/>
      <c r="B591" s="12"/>
      <c r="C591" s="27"/>
    </row>
    <row r="592" spans="1:3">
      <c r="A592" s="15"/>
      <c r="B592" s="15"/>
      <c r="C592" s="19"/>
    </row>
    <row r="593" spans="1:3">
      <c r="A593" s="12"/>
      <c r="B593" s="12"/>
      <c r="C593" s="27"/>
    </row>
    <row r="594" spans="1:3">
      <c r="A594" s="15"/>
      <c r="B594" s="15"/>
      <c r="C594" s="19"/>
    </row>
    <row r="595" spans="1:3">
      <c r="A595" s="12"/>
      <c r="B595" s="12"/>
      <c r="C595" s="27"/>
    </row>
    <row r="596" spans="1:3">
      <c r="A596" s="15"/>
      <c r="B596" s="15"/>
      <c r="C596" s="19"/>
    </row>
    <row r="597" spans="1:3">
      <c r="A597" s="12"/>
      <c r="B597" s="12"/>
      <c r="C597" s="27"/>
    </row>
    <row r="598" spans="1:3">
      <c r="A598" s="15"/>
      <c r="B598" s="15"/>
      <c r="C598" s="19"/>
    </row>
    <row r="599" spans="1:3">
      <c r="A599" s="12"/>
      <c r="B599" s="12"/>
      <c r="C599" s="27"/>
    </row>
    <row r="600" spans="1:3">
      <c r="A600" s="15"/>
      <c r="B600" s="15"/>
      <c r="C600" s="19"/>
    </row>
    <row r="601" spans="1:3">
      <c r="A601" s="12"/>
      <c r="B601" s="12"/>
      <c r="C601" s="27"/>
    </row>
    <row r="602" spans="1:3">
      <c r="A602" s="15"/>
      <c r="B602" s="15"/>
      <c r="C602" s="19"/>
    </row>
    <row r="603" spans="1:3">
      <c r="A603" s="12"/>
      <c r="B603" s="12"/>
      <c r="C603" s="27"/>
    </row>
    <row r="604" spans="1:3">
      <c r="A604" s="15"/>
      <c r="B604" s="15"/>
      <c r="C604" s="19"/>
    </row>
    <row r="605" spans="1:3">
      <c r="A605" s="12"/>
      <c r="B605" s="12"/>
      <c r="C605" s="27"/>
    </row>
    <row r="606" spans="1:3">
      <c r="A606" s="15"/>
      <c r="B606" s="15"/>
      <c r="C606" s="19"/>
    </row>
    <row r="607" spans="1:3">
      <c r="A607" s="12"/>
      <c r="B607" s="12"/>
      <c r="C607" s="27"/>
    </row>
    <row r="608" spans="1:3">
      <c r="A608" s="15"/>
      <c r="B608" s="15"/>
      <c r="C608" s="19"/>
    </row>
    <row r="609" spans="1:3">
      <c r="A609" s="12"/>
      <c r="B609" s="12"/>
      <c r="C609" s="27"/>
    </row>
    <row r="610" spans="1:3">
      <c r="A610" s="15"/>
      <c r="B610" s="15"/>
      <c r="C610" s="19"/>
    </row>
    <row r="611" spans="1:3">
      <c r="A611" s="12"/>
      <c r="B611" s="12"/>
      <c r="C611" s="27"/>
    </row>
    <row r="612" spans="1:3">
      <c r="A612" s="15"/>
      <c r="B612" s="15"/>
      <c r="C612" s="19"/>
    </row>
    <row r="613" spans="1:3">
      <c r="A613" s="12"/>
      <c r="B613" s="12"/>
      <c r="C613" s="27"/>
    </row>
    <row r="614" spans="1:3">
      <c r="A614" s="15"/>
      <c r="B614" s="15"/>
      <c r="C614" s="19"/>
    </row>
    <row r="615" spans="1:3">
      <c r="A615" s="12"/>
      <c r="B615" s="12"/>
      <c r="C615" s="27"/>
    </row>
    <row r="616" spans="1:3">
      <c r="A616" s="15"/>
      <c r="B616" s="15"/>
      <c r="C616" s="19"/>
    </row>
    <row r="617" spans="1:3">
      <c r="A617" s="12"/>
      <c r="B617" s="12"/>
      <c r="C617" s="27"/>
    </row>
    <row r="618" spans="1:3">
      <c r="A618" s="15"/>
      <c r="B618" s="15"/>
      <c r="C618" s="19"/>
    </row>
    <row r="619" spans="1:3">
      <c r="A619" s="12"/>
      <c r="B619" s="12"/>
      <c r="C619" s="27"/>
    </row>
    <row r="620" spans="1:3">
      <c r="A620" s="15"/>
      <c r="B620" s="15"/>
      <c r="C620" s="19"/>
    </row>
    <row r="621" spans="1:3">
      <c r="A621" s="12"/>
      <c r="B621" s="12"/>
      <c r="C621" s="27"/>
    </row>
    <row r="622" spans="1:3">
      <c r="A622" s="15"/>
      <c r="B622" s="15"/>
      <c r="C622" s="19"/>
    </row>
    <row r="623" spans="1:3">
      <c r="A623" s="12"/>
      <c r="B623" s="12"/>
      <c r="C623" s="27"/>
    </row>
    <row r="624" spans="1:3">
      <c r="A624" s="15"/>
      <c r="B624" s="15"/>
      <c r="C624" s="19"/>
    </row>
    <row r="625" spans="1:3">
      <c r="A625" s="12"/>
      <c r="B625" s="12"/>
      <c r="C625" s="27"/>
    </row>
    <row r="626" spans="1:3">
      <c r="A626" s="15"/>
      <c r="B626" s="15"/>
      <c r="C626" s="19"/>
    </row>
    <row r="627" spans="1:3">
      <c r="A627" s="12"/>
      <c r="B627" s="12"/>
      <c r="C627" s="27"/>
    </row>
    <row r="628" spans="1:3">
      <c r="A628" s="15"/>
      <c r="B628" s="15"/>
      <c r="C628" s="19"/>
    </row>
    <row r="629" spans="1:3">
      <c r="A629" s="12"/>
      <c r="B629" s="12"/>
      <c r="C629" s="27"/>
    </row>
    <row r="630" spans="1:3">
      <c r="A630" s="15"/>
      <c r="B630" s="15"/>
      <c r="C630" s="19"/>
    </row>
    <row r="631" spans="1:3">
      <c r="A631" s="12"/>
      <c r="B631" s="12"/>
      <c r="C631" s="27"/>
    </row>
    <row r="632" spans="1:3">
      <c r="A632" s="15"/>
      <c r="B632" s="15"/>
      <c r="C632" s="19"/>
    </row>
    <row r="633" spans="1:3">
      <c r="A633" s="12"/>
      <c r="B633" s="12"/>
      <c r="C633" s="27"/>
    </row>
    <row r="634" spans="1:3">
      <c r="A634" s="15"/>
      <c r="B634" s="15"/>
      <c r="C634" s="19"/>
    </row>
    <row r="635" spans="1:3">
      <c r="A635" s="12"/>
      <c r="B635" s="12"/>
      <c r="C635" s="27"/>
    </row>
    <row r="636" spans="1:3">
      <c r="A636" s="15"/>
      <c r="B636" s="15"/>
      <c r="C636" s="19"/>
    </row>
    <row r="637" spans="1:3">
      <c r="A637" s="12"/>
      <c r="B637" s="12"/>
      <c r="C637" s="27"/>
    </row>
    <row r="638" spans="1:3">
      <c r="A638" s="15"/>
      <c r="B638" s="15"/>
      <c r="C638" s="19"/>
    </row>
    <row r="639" spans="1:3">
      <c r="A639" s="12"/>
      <c r="B639" s="12"/>
      <c r="C639" s="27"/>
    </row>
    <row r="640" spans="1:3">
      <c r="A640" s="15"/>
      <c r="B640" s="15"/>
      <c r="C640" s="19"/>
    </row>
    <row r="641" spans="1:3">
      <c r="A641" s="12"/>
      <c r="B641" s="12"/>
      <c r="C641" s="27"/>
    </row>
    <row r="642" spans="1:3">
      <c r="A642" s="15"/>
      <c r="B642" s="15"/>
      <c r="C642" s="19"/>
    </row>
    <row r="643" spans="1:3">
      <c r="A643" s="12"/>
      <c r="B643" s="12"/>
      <c r="C643" s="27"/>
    </row>
    <row r="644" spans="1:3">
      <c r="A644" s="15"/>
      <c r="B644" s="15"/>
      <c r="C644" s="19"/>
    </row>
    <row r="645" spans="1:3">
      <c r="A645" s="12"/>
      <c r="B645" s="12"/>
      <c r="C645" s="27"/>
    </row>
    <row r="646" spans="1:3">
      <c r="A646" s="15"/>
      <c r="B646" s="15"/>
      <c r="C646" s="19"/>
    </row>
    <row r="647" spans="1:3">
      <c r="A647" s="12"/>
      <c r="B647" s="12"/>
      <c r="C647" s="27"/>
    </row>
    <row r="648" spans="1:3">
      <c r="A648" s="15"/>
      <c r="B648" s="15"/>
      <c r="C648" s="19"/>
    </row>
    <row r="649" spans="1:3">
      <c r="A649" s="12"/>
      <c r="B649" s="12"/>
      <c r="C649" s="27"/>
    </row>
    <row r="650" spans="1:3">
      <c r="A650" s="15"/>
      <c r="B650" s="15"/>
      <c r="C650" s="19"/>
    </row>
    <row r="651" spans="1:3">
      <c r="A651" s="12"/>
      <c r="B651" s="12"/>
      <c r="C651" s="27"/>
    </row>
    <row r="652" spans="1:3">
      <c r="A652" s="15"/>
      <c r="B652" s="15"/>
      <c r="C652" s="19"/>
    </row>
    <row r="653" spans="1:3">
      <c r="A653" s="12"/>
      <c r="B653" s="12"/>
      <c r="C653" s="27"/>
    </row>
    <row r="654" spans="1:3">
      <c r="A654" s="15"/>
      <c r="B654" s="15"/>
      <c r="C654" s="19"/>
    </row>
    <row r="655" spans="1:3">
      <c r="A655" s="12"/>
      <c r="B655" s="12"/>
      <c r="C655" s="27"/>
    </row>
    <row r="656" spans="1:3">
      <c r="A656" s="15"/>
      <c r="B656" s="15"/>
      <c r="C656" s="19"/>
    </row>
    <row r="657" spans="1:3">
      <c r="A657" s="12"/>
      <c r="B657" s="12"/>
      <c r="C657" s="27"/>
    </row>
    <row r="658" spans="1:3">
      <c r="A658" s="15"/>
      <c r="B658" s="15"/>
      <c r="C658" s="19"/>
    </row>
    <row r="659" spans="1:3">
      <c r="A659" s="12"/>
      <c r="B659" s="12"/>
      <c r="C659" s="27"/>
    </row>
    <row r="660" spans="1:3">
      <c r="A660" s="15"/>
      <c r="B660" s="15"/>
      <c r="C660" s="19"/>
    </row>
    <row r="661" spans="1:3">
      <c r="A661" s="12"/>
      <c r="B661" s="12"/>
      <c r="C661" s="27"/>
    </row>
    <row r="662" spans="1:3">
      <c r="A662" s="15"/>
      <c r="B662" s="15"/>
      <c r="C662" s="19"/>
    </row>
    <row r="663" spans="1:3">
      <c r="A663" s="12"/>
      <c r="B663" s="12"/>
      <c r="C663" s="27"/>
    </row>
    <row r="664" spans="1:3">
      <c r="A664" s="15"/>
      <c r="B664" s="15"/>
      <c r="C664" s="19"/>
    </row>
    <row r="665" spans="1:3">
      <c r="A665" s="12"/>
      <c r="B665" s="12"/>
      <c r="C665" s="27"/>
    </row>
    <row r="666" spans="1:3">
      <c r="A666" s="15"/>
      <c r="B666" s="15"/>
      <c r="C666" s="19"/>
    </row>
    <row r="667" spans="1:3">
      <c r="A667" s="12"/>
      <c r="B667" s="12"/>
      <c r="C667" s="27"/>
    </row>
    <row r="668" spans="1:3">
      <c r="A668" s="15"/>
      <c r="B668" s="15"/>
      <c r="C668" s="19"/>
    </row>
    <row r="669" spans="1:3">
      <c r="A669" s="12"/>
      <c r="B669" s="12"/>
      <c r="C669" s="27"/>
    </row>
    <row r="670" spans="1:3">
      <c r="A670" s="15"/>
      <c r="B670" s="15"/>
      <c r="C670" s="19"/>
    </row>
    <row r="671" spans="1:3">
      <c r="A671" s="12"/>
      <c r="B671" s="12"/>
      <c r="C671" s="27"/>
    </row>
    <row r="672" spans="1:3">
      <c r="A672" s="15"/>
      <c r="B672" s="15"/>
      <c r="C672" s="19"/>
    </row>
    <row r="673" spans="1:3">
      <c r="A673" s="12"/>
      <c r="B673" s="12"/>
      <c r="C673" s="27"/>
    </row>
    <row r="674" spans="1:3">
      <c r="A674" s="15"/>
      <c r="B674" s="15"/>
      <c r="C674" s="19"/>
    </row>
    <row r="675" spans="1:3">
      <c r="A675" s="12"/>
      <c r="B675" s="12"/>
      <c r="C675" s="27"/>
    </row>
    <row r="676" spans="1:3">
      <c r="A676" s="15"/>
      <c r="B676" s="15"/>
      <c r="C676" s="19"/>
    </row>
    <row r="677" spans="1:3">
      <c r="A677" s="12"/>
      <c r="B677" s="12"/>
      <c r="C677" s="27"/>
    </row>
    <row r="678" spans="1:3">
      <c r="A678" s="15"/>
      <c r="B678" s="15"/>
      <c r="C678" s="19"/>
    </row>
    <row r="679" spans="1:3">
      <c r="A679" s="12"/>
      <c r="B679" s="12"/>
      <c r="C679" s="27"/>
    </row>
    <row r="680" spans="1:3">
      <c r="A680" s="15"/>
      <c r="B680" s="15"/>
      <c r="C680" s="19"/>
    </row>
    <row r="681" spans="1:3">
      <c r="A681" s="12"/>
      <c r="B681" s="12"/>
      <c r="C681" s="27"/>
    </row>
    <row r="682" spans="1:3">
      <c r="A682" s="15"/>
      <c r="B682" s="15"/>
      <c r="C682" s="19"/>
    </row>
    <row r="683" spans="1:3">
      <c r="A683" s="12"/>
      <c r="B683" s="12"/>
      <c r="C683" s="27"/>
    </row>
    <row r="684" spans="1:3">
      <c r="A684" s="15"/>
      <c r="B684" s="15"/>
      <c r="C684" s="19"/>
    </row>
    <row r="685" spans="1:3">
      <c r="A685" s="12"/>
      <c r="B685" s="12"/>
      <c r="C685" s="27"/>
    </row>
    <row r="686" spans="1:3">
      <c r="A686" s="15"/>
      <c r="B686" s="15"/>
      <c r="C686" s="19"/>
    </row>
    <row r="687" spans="1:3">
      <c r="A687" s="12"/>
      <c r="B687" s="12"/>
      <c r="C687" s="27"/>
    </row>
    <row r="688" spans="1:3">
      <c r="A688" s="15"/>
      <c r="B688" s="15"/>
      <c r="C688" s="19"/>
    </row>
    <row r="689" spans="1:3">
      <c r="A689" s="12"/>
      <c r="B689" s="12"/>
      <c r="C689" s="27"/>
    </row>
    <row r="690" spans="1:3">
      <c r="A690" s="15"/>
      <c r="B690" s="15"/>
      <c r="C690" s="19"/>
    </row>
    <row r="691" spans="1:3">
      <c r="A691" s="12"/>
      <c r="B691" s="12"/>
      <c r="C691" s="27"/>
    </row>
    <row r="692" spans="1:3">
      <c r="A692" s="15"/>
      <c r="B692" s="15"/>
      <c r="C692" s="19"/>
    </row>
    <row r="693" spans="1:3">
      <c r="A693" s="12"/>
      <c r="B693" s="12"/>
      <c r="C693" s="27"/>
    </row>
    <row r="694" spans="1:3">
      <c r="A694" s="15"/>
      <c r="B694" s="15"/>
      <c r="C694" s="19"/>
    </row>
    <row r="695" spans="1:3">
      <c r="A695" s="12"/>
      <c r="B695" s="12"/>
      <c r="C695" s="27"/>
    </row>
    <row r="696" spans="1:3">
      <c r="A696" s="15"/>
      <c r="B696" s="15"/>
      <c r="C696" s="19"/>
    </row>
    <row r="697" spans="1:3">
      <c r="A697" s="12"/>
      <c r="B697" s="12"/>
      <c r="C697" s="27"/>
    </row>
    <row r="698" spans="1:3">
      <c r="A698" s="15"/>
      <c r="B698" s="15"/>
      <c r="C698" s="19"/>
    </row>
    <row r="699" spans="1:3">
      <c r="A699" s="12"/>
      <c r="B699" s="12"/>
      <c r="C699" s="27"/>
    </row>
    <row r="700" spans="1:3">
      <c r="A700" s="15"/>
      <c r="B700" s="15"/>
      <c r="C700" s="19"/>
    </row>
    <row r="701" spans="1:3">
      <c r="A701" s="12"/>
      <c r="B701" s="12"/>
      <c r="C701" s="27"/>
    </row>
    <row r="702" spans="1:3">
      <c r="A702" s="15"/>
      <c r="B702" s="15"/>
      <c r="C702" s="19"/>
    </row>
    <row r="703" spans="1:3">
      <c r="A703" s="12"/>
      <c r="B703" s="12"/>
      <c r="C703" s="27"/>
    </row>
    <row r="704" spans="1:3">
      <c r="A704" s="15"/>
      <c r="B704" s="15"/>
      <c r="C704" s="19"/>
    </row>
    <row r="705" spans="1:3">
      <c r="A705" s="12"/>
      <c r="B705" s="12"/>
      <c r="C705" s="27"/>
    </row>
    <row r="706" spans="1:3">
      <c r="A706" s="15"/>
      <c r="B706" s="15"/>
      <c r="C706" s="19"/>
    </row>
    <row r="707" spans="1:3">
      <c r="A707" s="12"/>
      <c r="B707" s="12"/>
      <c r="C707" s="27"/>
    </row>
    <row r="708" spans="1:3">
      <c r="A708" s="15"/>
      <c r="B708" s="15"/>
      <c r="C708" s="19"/>
    </row>
    <row r="709" spans="1:3">
      <c r="A709" s="12"/>
      <c r="B709" s="12"/>
      <c r="C709" s="27"/>
    </row>
    <row r="710" spans="1:3">
      <c r="A710" s="15"/>
      <c r="B710" s="15"/>
      <c r="C710" s="19"/>
    </row>
    <row r="711" spans="1:3">
      <c r="A711" s="12"/>
      <c r="B711" s="12"/>
      <c r="C711" s="27"/>
    </row>
    <row r="712" spans="1:3">
      <c r="A712" s="15"/>
      <c r="B712" s="15"/>
      <c r="C712" s="19"/>
    </row>
    <row r="713" spans="1:3">
      <c r="A713" s="12"/>
      <c r="B713" s="12"/>
      <c r="C713" s="27"/>
    </row>
    <row r="714" spans="1:3">
      <c r="A714" s="15"/>
      <c r="B714" s="15"/>
      <c r="C714" s="19"/>
    </row>
    <row r="715" spans="1:3">
      <c r="A715" s="12"/>
      <c r="B715" s="12"/>
      <c r="C715" s="27"/>
    </row>
    <row r="716" spans="1:3">
      <c r="A716" s="15"/>
      <c r="B716" s="15"/>
      <c r="C716" s="19"/>
    </row>
    <row r="717" spans="1:3">
      <c r="A717" s="12"/>
      <c r="B717" s="12"/>
      <c r="C717" s="27"/>
    </row>
    <row r="718" spans="1:3">
      <c r="A718" s="15"/>
      <c r="B718" s="15"/>
      <c r="C718" s="19"/>
    </row>
    <row r="719" spans="1:3">
      <c r="A719" s="12"/>
      <c r="B719" s="12"/>
      <c r="C719" s="27"/>
    </row>
    <row r="720" spans="1:3">
      <c r="A720" s="15"/>
      <c r="B720" s="15"/>
      <c r="C720" s="19"/>
    </row>
    <row r="721" spans="1:3">
      <c r="A721" s="12"/>
      <c r="B721" s="12"/>
      <c r="C721" s="27"/>
    </row>
    <row r="722" spans="1:3">
      <c r="A722" s="15"/>
      <c r="B722" s="15"/>
      <c r="C722" s="19"/>
    </row>
    <row r="723" spans="1:3">
      <c r="A723" s="12"/>
      <c r="B723" s="12"/>
      <c r="C723" s="27"/>
    </row>
    <row r="724" spans="1:3">
      <c r="A724" s="15"/>
      <c r="B724" s="15"/>
      <c r="C724" s="19"/>
    </row>
    <row r="725" spans="1:3">
      <c r="A725" s="12"/>
      <c r="B725" s="12"/>
      <c r="C725" s="27"/>
    </row>
    <row r="726" spans="1:3">
      <c r="A726" s="15"/>
      <c r="B726" s="15"/>
      <c r="C726" s="19"/>
    </row>
    <row r="727" spans="1:3">
      <c r="A727" s="12"/>
      <c r="B727" s="12"/>
      <c r="C727" s="27"/>
    </row>
    <row r="728" spans="1:3">
      <c r="A728" s="15"/>
      <c r="B728" s="15"/>
      <c r="C728" s="19"/>
    </row>
    <row r="729" spans="1:3">
      <c r="A729" s="12"/>
      <c r="B729" s="12"/>
      <c r="C729" s="27"/>
    </row>
    <row r="730" spans="1:3">
      <c r="A730" s="15"/>
      <c r="B730" s="15"/>
      <c r="C730" s="19"/>
    </row>
    <row r="731" spans="1:3">
      <c r="A731" s="12"/>
      <c r="B731" s="12"/>
      <c r="C731" s="27"/>
    </row>
    <row r="732" spans="1:3">
      <c r="A732" s="15"/>
      <c r="B732" s="15"/>
      <c r="C732" s="19"/>
    </row>
    <row r="733" spans="1:3">
      <c r="A733" s="12"/>
      <c r="B733" s="12"/>
      <c r="C733" s="27"/>
    </row>
    <row r="734" spans="1:3">
      <c r="A734" s="15"/>
      <c r="B734" s="15"/>
      <c r="C734" s="19"/>
    </row>
    <row r="735" spans="1:3">
      <c r="A735" s="12"/>
      <c r="B735" s="12"/>
      <c r="C735" s="27"/>
    </row>
    <row r="736" spans="1:3">
      <c r="A736" s="15"/>
      <c r="B736" s="15"/>
      <c r="C736" s="19"/>
    </row>
    <row r="737" spans="1:3">
      <c r="A737" s="12"/>
      <c r="B737" s="12"/>
      <c r="C737" s="27"/>
    </row>
    <row r="738" spans="1:3">
      <c r="A738" s="15"/>
      <c r="B738" s="15"/>
      <c r="C738" s="19"/>
    </row>
    <row r="739" spans="1:3">
      <c r="A739" s="11"/>
      <c r="B739" s="12"/>
      <c r="C739" s="13"/>
    </row>
    <row r="740" spans="1:3">
      <c r="A740" s="14"/>
      <c r="B740" s="15"/>
      <c r="C740" s="16"/>
    </row>
    <row r="741" spans="1:3">
      <c r="A741" s="11"/>
      <c r="B741" s="12"/>
      <c r="C741" s="13"/>
    </row>
    <row r="742" spans="1:3">
      <c r="A742" s="14"/>
      <c r="B742" s="15"/>
      <c r="C742" s="16"/>
    </row>
    <row r="743" spans="1:3">
      <c r="A743" s="12"/>
      <c r="B743" s="12"/>
      <c r="C743" s="27"/>
    </row>
    <row r="744" spans="1:3">
      <c r="A744" s="15"/>
      <c r="B744" s="15"/>
      <c r="C744" s="19"/>
    </row>
    <row r="745" spans="1:3">
      <c r="A745" s="12"/>
      <c r="B745" s="12"/>
      <c r="C745" s="27"/>
    </row>
    <row r="746" spans="1:3">
      <c r="A746" s="15"/>
      <c r="B746" s="15"/>
      <c r="C746" s="19"/>
    </row>
    <row r="747" spans="1:3">
      <c r="A747" s="12"/>
      <c r="B747" s="12"/>
      <c r="C747" s="27"/>
    </row>
    <row r="748" spans="1:3">
      <c r="A748" s="15"/>
      <c r="B748" s="15"/>
      <c r="C748" s="19"/>
    </row>
    <row r="749" spans="1:3">
      <c r="A749" s="12"/>
      <c r="B749" s="12"/>
      <c r="C749" s="27"/>
    </row>
    <row r="750" spans="1:3">
      <c r="A750" s="15"/>
      <c r="B750" s="15"/>
      <c r="C750" s="19"/>
    </row>
    <row r="751" spans="1:3">
      <c r="A751" s="12"/>
      <c r="B751" s="12"/>
      <c r="C751" s="27"/>
    </row>
    <row r="752" spans="1:3">
      <c r="A752" s="15"/>
      <c r="B752" s="15"/>
      <c r="C752" s="19"/>
    </row>
    <row r="753" spans="1:3">
      <c r="A753" s="12"/>
      <c r="B753" s="12"/>
      <c r="C753" s="27"/>
    </row>
    <row r="754" spans="1:3">
      <c r="A754" s="15"/>
      <c r="B754" s="15"/>
      <c r="C754" s="19"/>
    </row>
    <row r="755" spans="1:3">
      <c r="A755" s="12"/>
      <c r="B755" s="12"/>
      <c r="C755" s="27"/>
    </row>
    <row r="756" spans="1:3">
      <c r="A756" s="15"/>
      <c r="B756" s="15"/>
      <c r="C756" s="19"/>
    </row>
    <row r="757" spans="1:3">
      <c r="A757" s="12"/>
      <c r="B757" s="12"/>
      <c r="C757" s="27"/>
    </row>
    <row r="758" spans="1:3">
      <c r="A758" s="15"/>
      <c r="B758" s="15"/>
      <c r="C758" s="19"/>
    </row>
    <row r="759" spans="1:3">
      <c r="A759" s="12"/>
      <c r="B759" s="12"/>
      <c r="C759" s="27"/>
    </row>
    <row r="760" spans="1:3">
      <c r="A760" s="15"/>
      <c r="B760" s="15"/>
      <c r="C760" s="19"/>
    </row>
    <row r="761" spans="1:3">
      <c r="A761" s="12"/>
      <c r="B761" s="12"/>
      <c r="C761" s="27"/>
    </row>
    <row r="762" spans="1:3">
      <c r="A762" s="15"/>
      <c r="B762" s="15"/>
      <c r="C762" s="19"/>
    </row>
    <row r="763" spans="1:3">
      <c r="A763" s="12"/>
      <c r="B763" s="12"/>
      <c r="C763" s="27"/>
    </row>
    <row r="764" spans="1:3">
      <c r="A764" s="15"/>
      <c r="B764" s="15"/>
      <c r="C764" s="19"/>
    </row>
    <row r="765" spans="1:3">
      <c r="A765" s="12"/>
      <c r="B765" s="12"/>
      <c r="C765" s="27"/>
    </row>
    <row r="766" spans="1:3">
      <c r="A766" s="15"/>
      <c r="B766" s="15"/>
      <c r="C766" s="19"/>
    </row>
    <row r="767" spans="1:3">
      <c r="A767" s="12"/>
      <c r="B767" s="12"/>
      <c r="C767" s="27"/>
    </row>
    <row r="768" spans="1:3">
      <c r="A768" s="15"/>
      <c r="B768" s="15"/>
      <c r="C768" s="19"/>
    </row>
    <row r="769" spans="1:3">
      <c r="A769" s="12"/>
      <c r="B769" s="12"/>
      <c r="C769" s="27"/>
    </row>
    <row r="770" spans="1:3">
      <c r="A770" s="15"/>
      <c r="B770" s="15"/>
      <c r="C770" s="19"/>
    </row>
    <row r="771" spans="1:3">
      <c r="A771" s="12"/>
      <c r="B771" s="12"/>
      <c r="C771" s="27"/>
    </row>
    <row r="772" spans="1:3">
      <c r="A772" s="15"/>
      <c r="B772" s="15"/>
      <c r="C772" s="19"/>
    </row>
    <row r="773" spans="1:3">
      <c r="A773" s="12"/>
      <c r="B773" s="12"/>
      <c r="C773" s="27"/>
    </row>
    <row r="774" spans="1:3">
      <c r="A774" s="15"/>
      <c r="B774" s="15"/>
      <c r="C774" s="19"/>
    </row>
    <row r="775" spans="1:3">
      <c r="A775" s="12"/>
      <c r="B775" s="12"/>
      <c r="C775" s="27"/>
    </row>
    <row r="776" spans="1:3">
      <c r="A776" s="15"/>
      <c r="B776" s="15"/>
      <c r="C776" s="19"/>
    </row>
    <row r="777" spans="1:3">
      <c r="A777" s="12"/>
      <c r="B777" s="12"/>
      <c r="C777" s="27"/>
    </row>
    <row r="778" spans="1:3">
      <c r="A778" s="15"/>
      <c r="B778" s="15"/>
      <c r="C778" s="19"/>
    </row>
    <row r="779" spans="1:3">
      <c r="A779" s="12"/>
      <c r="B779" s="12"/>
      <c r="C779" s="27"/>
    </row>
    <row r="780" spans="1:3">
      <c r="A780" s="15"/>
      <c r="B780" s="15"/>
      <c r="C780" s="19"/>
    </row>
    <row r="781" spans="1:3">
      <c r="A781" s="12"/>
      <c r="B781" s="12"/>
      <c r="C781" s="27"/>
    </row>
    <row r="782" spans="1:3">
      <c r="A782" s="15"/>
      <c r="B782" s="15"/>
      <c r="C782" s="19"/>
    </row>
    <row r="783" spans="1:3">
      <c r="A783" s="12"/>
      <c r="B783" s="12"/>
      <c r="C783" s="27"/>
    </row>
    <row r="784" spans="1:3">
      <c r="A784" s="15"/>
      <c r="B784" s="15"/>
      <c r="C784" s="19"/>
    </row>
    <row r="785" spans="1:3">
      <c r="A785" s="12"/>
      <c r="B785" s="12"/>
      <c r="C785" s="27"/>
    </row>
    <row r="786" spans="1:3">
      <c r="A786" s="15"/>
      <c r="B786" s="15"/>
      <c r="C786" s="19"/>
    </row>
    <row r="787" spans="1:3">
      <c r="A787" s="12"/>
      <c r="B787" s="12"/>
      <c r="C787" s="27"/>
    </row>
    <row r="788" spans="1:3">
      <c r="A788" s="15"/>
      <c r="B788" s="15"/>
      <c r="C788" s="19"/>
    </row>
    <row r="789" spans="1:3">
      <c r="A789" s="12"/>
      <c r="B789" s="12"/>
      <c r="C789" s="27"/>
    </row>
    <row r="790" spans="1:3">
      <c r="A790" s="15"/>
      <c r="B790" s="15"/>
      <c r="C790" s="19"/>
    </row>
    <row r="791" spans="1:3">
      <c r="A791" s="12"/>
      <c r="B791" s="12"/>
      <c r="C791" s="27"/>
    </row>
    <row r="792" spans="1:3">
      <c r="A792" s="15"/>
      <c r="B792" s="15"/>
      <c r="C792" s="19"/>
    </row>
    <row r="793" spans="1:3">
      <c r="A793" s="12"/>
      <c r="B793" s="12"/>
      <c r="C793" s="27"/>
    </row>
    <row r="794" spans="1:3">
      <c r="A794" s="15"/>
      <c r="B794" s="15"/>
      <c r="C794" s="19"/>
    </row>
    <row r="795" spans="1:3">
      <c r="A795" s="12"/>
      <c r="B795" s="12"/>
      <c r="C795" s="27"/>
    </row>
    <row r="796" spans="1:3">
      <c r="A796" s="15"/>
      <c r="B796" s="15"/>
      <c r="C796" s="19"/>
    </row>
    <row r="797" spans="1:3">
      <c r="A797" s="12"/>
      <c r="B797" s="12"/>
      <c r="C797" s="27"/>
    </row>
    <row r="798" spans="1:3">
      <c r="A798" s="15"/>
      <c r="B798" s="15"/>
      <c r="C798" s="19"/>
    </row>
    <row r="799" spans="1:3">
      <c r="A799" s="12"/>
      <c r="B799" s="12"/>
      <c r="C799" s="27"/>
    </row>
    <row r="800" spans="1:3">
      <c r="A800" s="15"/>
      <c r="B800" s="15"/>
      <c r="C800" s="19"/>
    </row>
    <row r="801" spans="1:3">
      <c r="A801" s="12"/>
      <c r="B801" s="12"/>
      <c r="C801" s="27"/>
    </row>
    <row r="802" spans="1:3">
      <c r="A802" s="15"/>
      <c r="B802" s="15"/>
      <c r="C802" s="19"/>
    </row>
    <row r="803" spans="1:3">
      <c r="A803" s="12"/>
      <c r="B803" s="12"/>
      <c r="C803" s="27"/>
    </row>
    <row r="804" spans="1:3">
      <c r="A804" s="15"/>
      <c r="B804" s="15"/>
      <c r="C804" s="19"/>
    </row>
    <row r="805" spans="1:3">
      <c r="A805" s="12"/>
      <c r="B805" s="12"/>
      <c r="C805" s="27"/>
    </row>
    <row r="806" spans="1:3">
      <c r="A806" s="15"/>
      <c r="B806" s="15"/>
      <c r="C806" s="19"/>
    </row>
    <row r="807" spans="1:3">
      <c r="A807" s="12"/>
      <c r="B807" s="12"/>
      <c r="C807" s="27"/>
    </row>
    <row r="808" spans="1:3">
      <c r="A808" s="15"/>
      <c r="B808" s="15"/>
      <c r="C808" s="19"/>
    </row>
    <row r="809" spans="1:3">
      <c r="A809" s="12"/>
      <c r="B809" s="12"/>
      <c r="C809" s="27"/>
    </row>
    <row r="810" spans="1:3">
      <c r="A810" s="15"/>
      <c r="B810" s="15"/>
      <c r="C810" s="19"/>
    </row>
    <row r="811" spans="1:3">
      <c r="A811" s="12"/>
      <c r="B811" s="12"/>
      <c r="C811" s="27"/>
    </row>
    <row r="812" spans="1:3">
      <c r="A812" s="15"/>
      <c r="B812" s="15"/>
      <c r="C812" s="19"/>
    </row>
    <row r="813" spans="1:3">
      <c r="A813" s="12"/>
      <c r="B813" s="12"/>
      <c r="C813" s="27"/>
    </row>
    <row r="814" spans="1:3">
      <c r="A814" s="15"/>
      <c r="B814" s="15"/>
      <c r="C814" s="19"/>
    </row>
    <row r="815" spans="1:3">
      <c r="A815" s="12"/>
      <c r="B815" s="12"/>
      <c r="C815" s="27"/>
    </row>
    <row r="816" spans="1:3">
      <c r="A816" s="15"/>
      <c r="B816" s="15"/>
      <c r="C816" s="19"/>
    </row>
    <row r="817" spans="1:3">
      <c r="A817" s="12"/>
      <c r="B817" s="12"/>
      <c r="C817" s="27"/>
    </row>
    <row r="818" spans="1:3">
      <c r="A818" s="15"/>
      <c r="B818" s="15"/>
      <c r="C818" s="19"/>
    </row>
    <row r="819" spans="1:3">
      <c r="A819" s="12"/>
      <c r="B819" s="12"/>
      <c r="C819" s="27"/>
    </row>
    <row r="820" spans="1:3">
      <c r="A820" s="15"/>
      <c r="B820" s="15"/>
      <c r="C820" s="19"/>
    </row>
    <row r="821" spans="1:3">
      <c r="A821" s="12"/>
      <c r="B821" s="12"/>
      <c r="C821" s="27"/>
    </row>
    <row r="822" spans="1:3">
      <c r="A822" s="15"/>
      <c r="B822" s="15"/>
      <c r="C822" s="19"/>
    </row>
    <row r="823" spans="1:3">
      <c r="A823" s="12"/>
      <c r="B823" s="12"/>
      <c r="C823" s="27"/>
    </row>
    <row r="824" spans="1:3">
      <c r="A824" s="15"/>
      <c r="B824" s="15"/>
      <c r="C824" s="19"/>
    </row>
    <row r="825" spans="1:3">
      <c r="A825" s="12"/>
      <c r="B825" s="12"/>
      <c r="C825" s="27"/>
    </row>
    <row r="826" spans="1:3">
      <c r="A826" s="15"/>
      <c r="B826" s="15"/>
      <c r="C826" s="19"/>
    </row>
    <row r="827" spans="1:3">
      <c r="A827" s="12"/>
      <c r="B827" s="12"/>
      <c r="C827" s="27"/>
    </row>
    <row r="828" spans="1:3">
      <c r="A828" s="15"/>
      <c r="B828" s="15"/>
      <c r="C828" s="19"/>
    </row>
    <row r="829" spans="1:3">
      <c r="A829" s="12"/>
      <c r="B829" s="12"/>
      <c r="C829" s="27"/>
    </row>
    <row r="830" spans="1:3">
      <c r="A830" s="15"/>
      <c r="B830" s="15"/>
      <c r="C830" s="19"/>
    </row>
    <row r="831" spans="1:3">
      <c r="A831" s="12"/>
      <c r="B831" s="12"/>
      <c r="C831" s="27"/>
    </row>
    <row r="832" spans="1:3">
      <c r="A832" s="15"/>
      <c r="B832" s="15"/>
      <c r="C832" s="19"/>
    </row>
    <row r="833" spans="1:3">
      <c r="A833" s="12"/>
      <c r="B833" s="12"/>
      <c r="C833" s="27"/>
    </row>
    <row r="834" spans="1:3">
      <c r="A834" s="15"/>
      <c r="B834" s="15"/>
      <c r="C834" s="19"/>
    </row>
    <row r="835" spans="1:3">
      <c r="A835" s="12"/>
      <c r="B835" s="12"/>
      <c r="C835" s="27"/>
    </row>
    <row r="836" spans="1:3">
      <c r="A836" s="15"/>
      <c r="B836" s="15"/>
      <c r="C836" s="19"/>
    </row>
    <row r="837" spans="1:3">
      <c r="A837" s="12"/>
      <c r="B837" s="12"/>
      <c r="C837" s="27"/>
    </row>
    <row r="838" spans="1:3">
      <c r="A838" s="15"/>
      <c r="B838" s="15"/>
      <c r="C838" s="19"/>
    </row>
    <row r="839" spans="1:3">
      <c r="A839" s="12"/>
      <c r="B839" s="12"/>
      <c r="C839" s="27"/>
    </row>
    <row r="840" spans="1:3">
      <c r="A840" s="15"/>
      <c r="B840" s="15"/>
      <c r="C840" s="19"/>
    </row>
    <row r="841" spans="1:3">
      <c r="A841" s="12"/>
      <c r="B841" s="12"/>
      <c r="C841" s="27"/>
    </row>
    <row r="842" spans="1:3">
      <c r="A842" s="15"/>
      <c r="B842" s="15"/>
      <c r="C842" s="19"/>
    </row>
    <row r="843" spans="1:3">
      <c r="A843" s="12"/>
      <c r="B843" s="12"/>
      <c r="C843" s="27"/>
    </row>
    <row r="844" spans="1:3">
      <c r="A844" s="15"/>
      <c r="B844" s="15"/>
      <c r="C844" s="19"/>
    </row>
    <row r="845" spans="1:3">
      <c r="A845" s="12"/>
      <c r="B845" s="12"/>
      <c r="C845" s="27"/>
    </row>
    <row r="846" spans="1:3">
      <c r="A846" s="15"/>
      <c r="B846" s="15"/>
      <c r="C846" s="19"/>
    </row>
    <row r="847" spans="1:3">
      <c r="A847" s="12"/>
      <c r="B847" s="12"/>
      <c r="C847" s="27"/>
    </row>
    <row r="848" spans="1:3">
      <c r="A848" s="15"/>
      <c r="B848" s="15"/>
      <c r="C848" s="19"/>
    </row>
    <row r="849" spans="1:3">
      <c r="A849" s="12"/>
      <c r="B849" s="12"/>
      <c r="C849" s="27"/>
    </row>
    <row r="850" spans="1:3">
      <c r="A850" s="15"/>
      <c r="B850" s="15"/>
      <c r="C850" s="19"/>
    </row>
    <row r="851" spans="1:3">
      <c r="A851" s="12"/>
      <c r="B851" s="12"/>
      <c r="C851" s="27"/>
    </row>
    <row r="852" spans="1:3">
      <c r="A852" s="15"/>
      <c r="B852" s="15"/>
      <c r="C852" s="19"/>
    </row>
    <row r="853" spans="1:3">
      <c r="A853" s="12"/>
      <c r="B853" s="12"/>
      <c r="C853" s="27"/>
    </row>
    <row r="854" spans="1:3">
      <c r="A854" s="15"/>
      <c r="B854" s="15"/>
      <c r="C854" s="19"/>
    </row>
    <row r="855" spans="1:3">
      <c r="A855" s="12"/>
      <c r="B855" s="12"/>
      <c r="C855" s="27"/>
    </row>
    <row r="856" spans="1:3">
      <c r="A856" s="15"/>
      <c r="B856" s="15"/>
      <c r="C856" s="19"/>
    </row>
    <row r="857" spans="1:3">
      <c r="A857" s="12"/>
      <c r="B857" s="12"/>
      <c r="C857" s="27"/>
    </row>
    <row r="858" spans="1:3">
      <c r="A858" s="15"/>
      <c r="B858" s="15"/>
      <c r="C858" s="19"/>
    </row>
    <row r="859" spans="1:3">
      <c r="A859" s="12"/>
      <c r="B859" s="12"/>
      <c r="C859" s="27"/>
    </row>
    <row r="860" spans="1:3">
      <c r="A860" s="15"/>
      <c r="B860" s="15"/>
      <c r="C860" s="19"/>
    </row>
    <row r="861" spans="1:3">
      <c r="A861" s="12"/>
      <c r="B861" s="12"/>
      <c r="C861" s="27"/>
    </row>
    <row r="862" spans="1:3">
      <c r="A862" s="15"/>
      <c r="B862" s="15"/>
      <c r="C862" s="19"/>
    </row>
    <row r="863" spans="1:3">
      <c r="A863" s="12"/>
      <c r="B863" s="12"/>
      <c r="C863" s="27"/>
    </row>
    <row r="864" spans="1:3">
      <c r="A864" s="15"/>
      <c r="B864" s="15"/>
      <c r="C864" s="19"/>
    </row>
    <row r="865" spans="1:3">
      <c r="A865" s="12"/>
      <c r="B865" s="12"/>
      <c r="C865" s="27"/>
    </row>
    <row r="866" spans="1:3">
      <c r="A866" s="15"/>
      <c r="B866" s="15"/>
      <c r="C866" s="19"/>
    </row>
    <row r="867" spans="1:3">
      <c r="A867" s="12"/>
      <c r="B867" s="12"/>
      <c r="C867" s="27"/>
    </row>
    <row r="868" spans="1:3">
      <c r="A868" s="15"/>
      <c r="B868" s="15"/>
      <c r="C868" s="19"/>
    </row>
    <row r="869" spans="1:3">
      <c r="A869" s="12"/>
      <c r="B869" s="12"/>
      <c r="C869" s="27"/>
    </row>
    <row r="870" spans="1:3">
      <c r="A870" s="15"/>
      <c r="B870" s="15"/>
      <c r="C870" s="19"/>
    </row>
    <row r="871" spans="1:3">
      <c r="A871" s="12"/>
      <c r="B871" s="12"/>
      <c r="C871" s="27"/>
    </row>
    <row r="872" spans="1:3">
      <c r="A872" s="15"/>
      <c r="B872" s="15"/>
      <c r="C872" s="19"/>
    </row>
    <row r="873" spans="1:3">
      <c r="A873" s="12"/>
      <c r="B873" s="12"/>
      <c r="C873" s="27"/>
    </row>
    <row r="874" spans="1:3">
      <c r="A874" s="15"/>
      <c r="B874" s="15"/>
      <c r="C874" s="19"/>
    </row>
    <row r="875" spans="1:3">
      <c r="A875" s="12"/>
      <c r="B875" s="12"/>
      <c r="C875" s="27"/>
    </row>
    <row r="876" spans="1:3">
      <c r="A876" s="15"/>
      <c r="B876" s="15"/>
      <c r="C876" s="19"/>
    </row>
    <row r="877" spans="1:3">
      <c r="A877" s="12"/>
      <c r="B877" s="12"/>
      <c r="C877" s="27"/>
    </row>
    <row r="878" spans="1:3">
      <c r="A878" s="15"/>
      <c r="B878" s="15"/>
      <c r="C878" s="19"/>
    </row>
    <row r="879" spans="1:3">
      <c r="A879" s="12"/>
      <c r="B879" s="12"/>
      <c r="C879" s="27"/>
    </row>
    <row r="880" spans="1:3">
      <c r="A880" s="15"/>
      <c r="B880" s="15"/>
      <c r="C880" s="19"/>
    </row>
    <row r="881" spans="1:3">
      <c r="A881" s="12"/>
      <c r="B881" s="12"/>
      <c r="C881" s="27"/>
    </row>
    <row r="882" spans="1:3">
      <c r="A882" s="15"/>
      <c r="B882" s="15"/>
      <c r="C882" s="19"/>
    </row>
    <row r="883" spans="1:3">
      <c r="A883" s="12"/>
      <c r="B883" s="12"/>
      <c r="C883" s="27"/>
    </row>
    <row r="884" spans="1:3">
      <c r="A884" s="15"/>
      <c r="B884" s="15"/>
      <c r="C884" s="19"/>
    </row>
    <row r="885" spans="1:3">
      <c r="A885" s="12"/>
      <c r="B885" s="12"/>
      <c r="C885" s="27"/>
    </row>
    <row r="886" spans="1:3">
      <c r="A886" s="15"/>
      <c r="B886" s="15"/>
      <c r="C886" s="19"/>
    </row>
    <row r="887" spans="1:3">
      <c r="A887" s="12"/>
      <c r="B887" s="12"/>
      <c r="C887" s="27"/>
    </row>
    <row r="888" spans="1:3">
      <c r="A888" s="15"/>
      <c r="B888" s="15"/>
      <c r="C888" s="19"/>
    </row>
    <row r="889" spans="1:3">
      <c r="A889" s="12"/>
      <c r="B889" s="12"/>
      <c r="C889" s="27"/>
    </row>
    <row r="890" spans="1:3">
      <c r="A890" s="15"/>
      <c r="B890" s="15"/>
      <c r="C890" s="19"/>
    </row>
    <row r="891" spans="1:3">
      <c r="A891" s="12"/>
      <c r="B891" s="12"/>
      <c r="C891" s="27"/>
    </row>
    <row r="892" spans="1:3">
      <c r="A892" s="15"/>
      <c r="B892" s="15"/>
      <c r="C892" s="19"/>
    </row>
    <row r="893" spans="1:3">
      <c r="A893" s="12"/>
      <c r="B893" s="12"/>
      <c r="C893" s="27"/>
    </row>
    <row r="894" spans="1:3">
      <c r="A894" s="15"/>
      <c r="B894" s="15"/>
      <c r="C894" s="19"/>
    </row>
    <row r="895" spans="1:3">
      <c r="A895" s="12"/>
      <c r="B895" s="12"/>
      <c r="C895" s="27"/>
    </row>
    <row r="896" spans="1:3">
      <c r="A896" s="15"/>
      <c r="B896" s="15"/>
      <c r="C896" s="19"/>
    </row>
    <row r="897" spans="1:3">
      <c r="A897" s="12"/>
      <c r="B897" s="12"/>
      <c r="C897" s="27"/>
    </row>
    <row r="898" spans="1:3">
      <c r="A898" s="15"/>
      <c r="B898" s="15"/>
      <c r="C898" s="19"/>
    </row>
    <row r="899" spans="1:3">
      <c r="A899" s="12"/>
      <c r="B899" s="12"/>
      <c r="C899" s="27"/>
    </row>
    <row r="900" spans="1:3">
      <c r="A900" s="15"/>
      <c r="B900" s="15"/>
      <c r="C900" s="19"/>
    </row>
    <row r="901" spans="1:3">
      <c r="A901" s="12"/>
      <c r="B901" s="12"/>
      <c r="C901" s="27"/>
    </row>
    <row r="902" spans="1:3">
      <c r="A902" s="15"/>
      <c r="B902" s="15"/>
      <c r="C902" s="19"/>
    </row>
    <row r="903" spans="1:3">
      <c r="A903" s="12"/>
      <c r="B903" s="12"/>
      <c r="C903" s="27"/>
    </row>
    <row r="904" spans="1:3">
      <c r="A904" s="15"/>
      <c r="B904" s="15"/>
      <c r="C904" s="19"/>
    </row>
    <row r="905" spans="1:3">
      <c r="A905" s="12"/>
      <c r="B905" s="12"/>
      <c r="C905" s="27"/>
    </row>
    <row r="906" spans="1:3">
      <c r="A906" s="15"/>
      <c r="B906" s="15"/>
      <c r="C906" s="19"/>
    </row>
    <row r="907" spans="1:3">
      <c r="A907" s="12"/>
      <c r="B907" s="12"/>
      <c r="C907" s="27"/>
    </row>
    <row r="908" spans="1:3">
      <c r="A908" s="15"/>
      <c r="B908" s="15"/>
      <c r="C908" s="19"/>
    </row>
    <row r="909" spans="1:3">
      <c r="A909" s="12"/>
      <c r="B909" s="12"/>
      <c r="C909" s="27"/>
    </row>
    <row r="910" spans="1:3">
      <c r="A910" s="15"/>
      <c r="B910" s="15"/>
      <c r="C910" s="19"/>
    </row>
    <row r="911" spans="1:3">
      <c r="A911" s="12"/>
      <c r="B911" s="12"/>
      <c r="C911" s="27"/>
    </row>
    <row r="912" spans="1:3">
      <c r="A912" s="15"/>
      <c r="B912" s="15"/>
      <c r="C912" s="19"/>
    </row>
    <row r="913" spans="1:3">
      <c r="A913" s="12"/>
      <c r="B913" s="12"/>
      <c r="C913" s="27"/>
    </row>
    <row r="914" spans="1:3">
      <c r="A914" s="15"/>
      <c r="B914" s="15"/>
      <c r="C914" s="19"/>
    </row>
    <row r="915" spans="1:3">
      <c r="A915" s="12"/>
      <c r="B915" s="12"/>
      <c r="C915" s="27"/>
    </row>
    <row r="916" spans="1:3">
      <c r="A916" s="15"/>
      <c r="B916" s="15"/>
      <c r="C916" s="19"/>
    </row>
    <row r="917" spans="1:3">
      <c r="A917" s="12"/>
      <c r="B917" s="12"/>
      <c r="C917" s="27"/>
    </row>
    <row r="918" spans="1:3">
      <c r="A918" s="15"/>
      <c r="B918" s="15"/>
      <c r="C918" s="19"/>
    </row>
    <row r="919" spans="1:3">
      <c r="A919" s="12"/>
      <c r="B919" s="12"/>
      <c r="C919" s="27"/>
    </row>
    <row r="920" spans="1:3">
      <c r="A920" s="15"/>
      <c r="B920" s="15"/>
      <c r="C920" s="19"/>
    </row>
    <row r="921" spans="1:3">
      <c r="A921" s="12"/>
      <c r="B921" s="12"/>
      <c r="C921" s="27"/>
    </row>
    <row r="922" spans="1:3">
      <c r="A922" s="15"/>
      <c r="B922" s="15"/>
      <c r="C922" s="19"/>
    </row>
    <row r="923" spans="1:3">
      <c r="A923" s="12"/>
      <c r="B923" s="12"/>
      <c r="C923" s="27"/>
    </row>
    <row r="924" spans="1:3">
      <c r="A924" s="15"/>
      <c r="B924" s="15"/>
      <c r="C924" s="19"/>
    </row>
    <row r="925" spans="1:3">
      <c r="A925" s="12"/>
      <c r="B925" s="12"/>
      <c r="C925" s="27"/>
    </row>
    <row r="926" spans="1:3">
      <c r="A926" s="15"/>
      <c r="B926" s="15"/>
      <c r="C926" s="19"/>
    </row>
    <row r="927" spans="1:3">
      <c r="A927" s="12"/>
      <c r="B927" s="12"/>
      <c r="C927" s="27"/>
    </row>
    <row r="928" spans="1:3">
      <c r="A928" s="15"/>
      <c r="B928" s="15"/>
      <c r="C928" s="19"/>
    </row>
    <row r="929" spans="1:3">
      <c r="A929" s="12"/>
      <c r="B929" s="12"/>
      <c r="C929" s="27"/>
    </row>
    <row r="930" spans="1:3">
      <c r="A930" s="15"/>
      <c r="B930" s="15"/>
      <c r="C930" s="19"/>
    </row>
    <row r="931" spans="1:3">
      <c r="A931" s="12"/>
      <c r="B931" s="12"/>
      <c r="C931" s="27"/>
    </row>
    <row r="932" spans="1:3">
      <c r="A932" s="15"/>
      <c r="B932" s="15"/>
      <c r="C932" s="19"/>
    </row>
    <row r="933" spans="1:3">
      <c r="A933" s="12"/>
      <c r="B933" s="12"/>
      <c r="C933" s="27"/>
    </row>
    <row r="934" spans="1:3">
      <c r="A934" s="15"/>
      <c r="B934" s="15"/>
      <c r="C934" s="19"/>
    </row>
    <row r="935" spans="1:3">
      <c r="A935" s="12"/>
      <c r="B935" s="12"/>
      <c r="C935" s="27"/>
    </row>
    <row r="936" spans="1:3">
      <c r="A936" s="15"/>
      <c r="B936" s="15"/>
      <c r="C936" s="19"/>
    </row>
    <row r="937" spans="1:3">
      <c r="A937" s="12"/>
      <c r="B937" s="12"/>
      <c r="C937" s="27"/>
    </row>
    <row r="938" spans="1:3">
      <c r="A938" s="15"/>
      <c r="B938" s="15"/>
      <c r="C938" s="19"/>
    </row>
    <row r="939" spans="1:3">
      <c r="A939" s="12"/>
      <c r="B939" s="12"/>
      <c r="C939" s="27"/>
    </row>
    <row r="940" spans="1:3">
      <c r="A940" s="15"/>
      <c r="B940" s="15"/>
      <c r="C940" s="19"/>
    </row>
    <row r="941" spans="1:3">
      <c r="A941" s="12"/>
      <c r="B941" s="12"/>
      <c r="C941" s="27"/>
    </row>
    <row r="942" spans="1:3">
      <c r="A942" s="15"/>
      <c r="B942" s="15"/>
      <c r="C942" s="19"/>
    </row>
    <row r="943" spans="1:3">
      <c r="A943" s="12"/>
      <c r="B943" s="12"/>
      <c r="C943" s="27"/>
    </row>
    <row r="944" spans="1:3">
      <c r="A944" s="15"/>
      <c r="B944" s="15"/>
      <c r="C944" s="19"/>
    </row>
    <row r="945" spans="1:3">
      <c r="A945" s="12"/>
      <c r="B945" s="12"/>
      <c r="C945" s="27"/>
    </row>
    <row r="946" spans="1:3">
      <c r="A946" s="15"/>
      <c r="B946" s="15"/>
      <c r="C946" s="19"/>
    </row>
    <row r="947" spans="1:3">
      <c r="A947" s="12"/>
      <c r="B947" s="12"/>
      <c r="C947" s="27"/>
    </row>
    <row r="948" spans="1:3">
      <c r="A948" s="15"/>
      <c r="B948" s="15"/>
      <c r="C948" s="19"/>
    </row>
    <row r="949" spans="1:3">
      <c r="A949" s="12"/>
      <c r="B949" s="12"/>
      <c r="C949" s="27"/>
    </row>
    <row r="950" spans="1:3">
      <c r="A950" s="15"/>
      <c r="B950" s="15"/>
      <c r="C950" s="19"/>
    </row>
    <row r="951" spans="1:3">
      <c r="A951" s="12"/>
      <c r="B951" s="12"/>
      <c r="C951" s="27"/>
    </row>
    <row r="952" spans="1:3">
      <c r="A952" s="15"/>
      <c r="B952" s="15"/>
      <c r="C952" s="19"/>
    </row>
    <row r="953" spans="1:3">
      <c r="A953" s="12"/>
      <c r="B953" s="12"/>
      <c r="C953" s="27"/>
    </row>
    <row r="954" spans="1:3">
      <c r="A954" s="15"/>
      <c r="B954" s="15"/>
      <c r="C954" s="19"/>
    </row>
    <row r="955" spans="1:3">
      <c r="A955" s="12"/>
      <c r="B955" s="12"/>
      <c r="C955" s="27"/>
    </row>
    <row r="956" spans="1:3">
      <c r="A956" s="15"/>
      <c r="B956" s="15"/>
      <c r="C956" s="19"/>
    </row>
    <row r="957" spans="1:3">
      <c r="A957" s="12"/>
      <c r="B957" s="12"/>
      <c r="C957" s="27"/>
    </row>
    <row r="958" spans="1:3">
      <c r="A958" s="15"/>
      <c r="B958" s="15"/>
      <c r="C958" s="19"/>
    </row>
    <row r="959" spans="1:3">
      <c r="A959" s="12"/>
      <c r="B959" s="12"/>
      <c r="C959" s="27"/>
    </row>
    <row r="960" spans="1:3">
      <c r="A960" s="15"/>
      <c r="B960" s="15"/>
      <c r="C960" s="19"/>
    </row>
    <row r="961" spans="1:3">
      <c r="A961" s="12"/>
      <c r="B961" s="12"/>
      <c r="C961" s="27"/>
    </row>
    <row r="962" spans="1:3">
      <c r="A962" s="15"/>
      <c r="B962" s="15"/>
      <c r="C962" s="19"/>
    </row>
    <row r="963" spans="1:3">
      <c r="A963" s="12"/>
      <c r="B963" s="12"/>
      <c r="C963" s="27"/>
    </row>
    <row r="964" spans="1:3">
      <c r="A964" s="15"/>
      <c r="B964" s="15"/>
      <c r="C964" s="19"/>
    </row>
    <row r="965" spans="1:3">
      <c r="A965" s="12"/>
      <c r="B965" s="12"/>
      <c r="C965" s="27"/>
    </row>
    <row r="966" spans="1:3">
      <c r="A966" s="15"/>
      <c r="B966" s="15"/>
      <c r="C966" s="19"/>
    </row>
    <row r="967" spans="1:3">
      <c r="A967" s="12"/>
      <c r="B967" s="12"/>
      <c r="C967" s="27"/>
    </row>
    <row r="968" spans="1:3">
      <c r="A968" s="15"/>
      <c r="B968" s="15"/>
      <c r="C968" s="19"/>
    </row>
    <row r="969" spans="1:3">
      <c r="A969" s="12"/>
      <c r="B969" s="12"/>
      <c r="C969" s="27"/>
    </row>
    <row r="970" spans="1:3">
      <c r="A970" s="15"/>
      <c r="B970" s="15"/>
      <c r="C970" s="19"/>
    </row>
    <row r="971" spans="1:3">
      <c r="A971" s="12"/>
      <c r="B971" s="12"/>
      <c r="C971" s="27"/>
    </row>
    <row r="972" spans="1:3">
      <c r="A972" s="15"/>
      <c r="B972" s="15"/>
      <c r="C972" s="19"/>
    </row>
    <row r="973" spans="1:3">
      <c r="A973" s="12"/>
      <c r="B973" s="12"/>
      <c r="C973" s="27"/>
    </row>
    <row r="974" spans="1:3">
      <c r="A974" s="15"/>
      <c r="B974" s="15"/>
      <c r="C974" s="19"/>
    </row>
    <row r="975" spans="1:3">
      <c r="A975" s="12"/>
      <c r="B975" s="12"/>
      <c r="C975" s="27"/>
    </row>
    <row r="976" spans="1:3">
      <c r="A976" s="15"/>
      <c r="B976" s="15"/>
      <c r="C976" s="19"/>
    </row>
    <row r="977" spans="1:3">
      <c r="A977" s="12"/>
      <c r="B977" s="12"/>
      <c r="C977" s="27"/>
    </row>
    <row r="978" spans="1:3">
      <c r="A978" s="15"/>
      <c r="B978" s="15"/>
      <c r="C978" s="19"/>
    </row>
    <row r="979" spans="1:3">
      <c r="A979" s="12"/>
      <c r="B979" s="12"/>
      <c r="C979" s="27"/>
    </row>
    <row r="980" spans="1:3">
      <c r="A980" s="15"/>
      <c r="B980" s="15"/>
      <c r="C980" s="19"/>
    </row>
    <row r="981" spans="1:3">
      <c r="A981" s="12"/>
      <c r="B981" s="12"/>
      <c r="C981" s="27"/>
    </row>
    <row r="982" spans="1:3">
      <c r="A982" s="15"/>
      <c r="B982" s="15"/>
      <c r="C982" s="19"/>
    </row>
    <row r="983" spans="1:3">
      <c r="A983" s="12"/>
      <c r="B983" s="12"/>
      <c r="C983" s="27"/>
    </row>
    <row r="984" spans="1:3">
      <c r="A984" s="15"/>
      <c r="B984" s="15"/>
      <c r="C984" s="19"/>
    </row>
    <row r="985" spans="1:3">
      <c r="A985" s="12"/>
      <c r="B985" s="12"/>
      <c r="C985" s="27"/>
    </row>
    <row r="986" spans="1:3">
      <c r="A986" s="15"/>
      <c r="B986" s="15"/>
      <c r="C986" s="19"/>
    </row>
    <row r="987" spans="1:3">
      <c r="A987" s="12"/>
      <c r="B987" s="12"/>
      <c r="C987" s="27"/>
    </row>
    <row r="988" spans="1:3">
      <c r="A988" s="15"/>
      <c r="B988" s="15"/>
      <c r="C988" s="19"/>
    </row>
    <row r="989" spans="1:3">
      <c r="A989" s="12"/>
      <c r="B989" s="12"/>
      <c r="C989" s="27"/>
    </row>
    <row r="990" spans="1:3">
      <c r="A990" s="15"/>
      <c r="B990" s="15"/>
      <c r="C990" s="19"/>
    </row>
    <row r="991" spans="1:3">
      <c r="A991" s="12"/>
      <c r="B991" s="12"/>
      <c r="C991" s="27"/>
    </row>
    <row r="992" spans="1:3">
      <c r="A992" s="15"/>
      <c r="B992" s="15"/>
      <c r="C992" s="19"/>
    </row>
    <row r="993" spans="1:3">
      <c r="A993" s="12"/>
      <c r="B993" s="12"/>
      <c r="C993" s="27"/>
    </row>
    <row r="994" spans="1:3">
      <c r="A994" s="15"/>
      <c r="B994" s="15"/>
      <c r="C994" s="19"/>
    </row>
    <row r="995" spans="1:3">
      <c r="A995" s="12"/>
      <c r="B995" s="12"/>
      <c r="C995" s="27"/>
    </row>
    <row r="996" spans="1:3">
      <c r="A996" s="15"/>
      <c r="B996" s="15"/>
      <c r="C996" s="19"/>
    </row>
    <row r="997" spans="1:3">
      <c r="A997" s="12"/>
      <c r="B997" s="12"/>
      <c r="C997" s="27"/>
    </row>
    <row r="998" spans="1:3">
      <c r="A998" s="15"/>
      <c r="B998" s="15"/>
      <c r="C998" s="19"/>
    </row>
    <row r="999" spans="1:3">
      <c r="A999" s="12"/>
      <c r="B999" s="12"/>
      <c r="C999" s="27"/>
    </row>
    <row r="1000" spans="1:3">
      <c r="A1000" s="15"/>
      <c r="B1000" s="15"/>
      <c r="C1000" s="19"/>
    </row>
    <row r="1001" spans="1:3">
      <c r="A1001" s="12"/>
      <c r="B1001" s="12"/>
      <c r="C1001" s="27"/>
    </row>
    <row r="1002" spans="1:3">
      <c r="A1002" s="15"/>
      <c r="B1002" s="15"/>
      <c r="C1002" s="19"/>
    </row>
    <row r="1003" spans="1:3">
      <c r="A1003" s="12"/>
      <c r="B1003" s="12"/>
      <c r="C1003" s="27"/>
    </row>
    <row r="1004" spans="1:3">
      <c r="A1004" s="15"/>
      <c r="B1004" s="15"/>
      <c r="C1004" s="19"/>
    </row>
    <row r="1005" spans="1:3">
      <c r="A1005" s="12"/>
      <c r="B1005" s="12"/>
      <c r="C1005" s="27"/>
    </row>
    <row r="1006" spans="1:3">
      <c r="A1006" s="15"/>
      <c r="B1006" s="15"/>
      <c r="C1006" s="19"/>
    </row>
    <row r="1007" spans="1:3">
      <c r="A1007" s="12"/>
      <c r="B1007" s="12"/>
      <c r="C1007" s="27"/>
    </row>
    <row r="1008" spans="1:3">
      <c r="A1008" s="15"/>
      <c r="B1008" s="15"/>
      <c r="C1008" s="19"/>
    </row>
    <row r="1009" spans="1:3">
      <c r="A1009" s="12"/>
      <c r="B1009" s="12"/>
      <c r="C1009" s="27"/>
    </row>
    <row r="1010" spans="1:3">
      <c r="A1010" s="15"/>
      <c r="B1010" s="15"/>
      <c r="C1010" s="19"/>
    </row>
    <row r="1011" spans="1:3">
      <c r="A1011" s="12"/>
      <c r="B1011" s="12"/>
      <c r="C1011" s="27"/>
    </row>
    <row r="1012" spans="1:3">
      <c r="A1012" s="15"/>
      <c r="B1012" s="15"/>
      <c r="C1012" s="19"/>
    </row>
    <row r="1013" spans="1:3">
      <c r="A1013" s="12"/>
      <c r="B1013" s="12"/>
      <c r="C1013" s="27"/>
    </row>
    <row r="1014" spans="1:3">
      <c r="A1014" s="15"/>
      <c r="B1014" s="15"/>
      <c r="C1014" s="19"/>
    </row>
    <row r="1015" spans="1:3">
      <c r="A1015" s="12"/>
      <c r="B1015" s="12"/>
      <c r="C1015" s="27"/>
    </row>
    <row r="1016" spans="1:3">
      <c r="A1016" s="15"/>
      <c r="B1016" s="15"/>
      <c r="C1016" s="19"/>
    </row>
    <row r="1017" spans="1:3">
      <c r="A1017" s="12"/>
      <c r="B1017" s="12"/>
      <c r="C1017" s="27"/>
    </row>
    <row r="1018" spans="1:3">
      <c r="A1018" s="15"/>
      <c r="B1018" s="15"/>
      <c r="C1018" s="19"/>
    </row>
    <row r="1019" spans="1:3">
      <c r="A1019" s="12"/>
      <c r="B1019" s="12"/>
      <c r="C1019" s="27"/>
    </row>
    <row r="1020" spans="1:3">
      <c r="A1020" s="15"/>
      <c r="B1020" s="15"/>
      <c r="C1020" s="19"/>
    </row>
    <row r="1021" spans="1:3">
      <c r="A1021" s="12"/>
      <c r="B1021" s="12"/>
      <c r="C1021" s="27"/>
    </row>
    <row r="1022" spans="1:3">
      <c r="A1022" s="15"/>
      <c r="B1022" s="15"/>
      <c r="C1022" s="19"/>
    </row>
    <row r="1023" spans="1:3">
      <c r="A1023" s="12"/>
      <c r="B1023" s="12"/>
      <c r="C1023" s="27"/>
    </row>
    <row r="1024" spans="1:3">
      <c r="A1024" s="15"/>
      <c r="B1024" s="15"/>
      <c r="C1024" s="19"/>
    </row>
    <row r="1025" spans="1:3">
      <c r="A1025" s="12"/>
      <c r="B1025" s="12"/>
      <c r="C1025" s="27"/>
    </row>
    <row r="1026" spans="1:3">
      <c r="A1026" s="15"/>
      <c r="B1026" s="15"/>
      <c r="C1026" s="19"/>
    </row>
    <row r="1027" spans="1:3">
      <c r="A1027" s="12"/>
      <c r="B1027" s="12"/>
      <c r="C1027" s="27"/>
    </row>
    <row r="1028" spans="1:3">
      <c r="A1028" s="15"/>
      <c r="B1028" s="15"/>
      <c r="C1028" s="19"/>
    </row>
    <row r="1029" spans="1:3">
      <c r="A1029" s="12"/>
      <c r="B1029" s="12"/>
      <c r="C1029" s="27"/>
    </row>
    <row r="1030" spans="1:3">
      <c r="A1030" s="15"/>
      <c r="B1030" s="15"/>
      <c r="C1030" s="19"/>
    </row>
    <row r="1031" spans="1:3">
      <c r="A1031" s="12"/>
      <c r="B1031" s="12"/>
      <c r="C1031" s="27"/>
    </row>
    <row r="1032" spans="1:3">
      <c r="A1032" s="15"/>
      <c r="B1032" s="15"/>
      <c r="C1032" s="19"/>
    </row>
    <row r="1033" spans="1:3">
      <c r="A1033" s="12"/>
      <c r="B1033" s="12"/>
      <c r="C1033" s="27"/>
    </row>
    <row r="1034" spans="1:3">
      <c r="A1034" s="15"/>
      <c r="B1034" s="15"/>
      <c r="C1034" s="19"/>
    </row>
    <row r="1035" spans="1:3">
      <c r="A1035" s="12"/>
      <c r="B1035" s="12"/>
      <c r="C1035" s="27"/>
    </row>
    <row r="1036" spans="1:3">
      <c r="A1036" s="15"/>
      <c r="B1036" s="15"/>
      <c r="C1036" s="19"/>
    </row>
    <row r="1037" spans="1:3">
      <c r="A1037" s="12"/>
      <c r="B1037" s="12"/>
      <c r="C1037" s="27"/>
    </row>
    <row r="1038" spans="1:3">
      <c r="A1038" s="15"/>
      <c r="B1038" s="15"/>
      <c r="C1038" s="19"/>
    </row>
    <row r="1039" spans="1:3">
      <c r="A1039" s="12"/>
      <c r="B1039" s="12"/>
      <c r="C1039" s="27"/>
    </row>
    <row r="1040" spans="1:3">
      <c r="A1040" s="15"/>
      <c r="B1040" s="15"/>
      <c r="C1040" s="19"/>
    </row>
    <row r="1041" spans="1:3">
      <c r="A1041" s="12"/>
      <c r="B1041" s="12"/>
      <c r="C1041" s="27"/>
    </row>
    <row r="1042" spans="1:3">
      <c r="A1042" s="15"/>
      <c r="B1042" s="15"/>
      <c r="C1042" s="19"/>
    </row>
    <row r="1043" spans="1:3">
      <c r="A1043" s="12"/>
      <c r="B1043" s="12"/>
      <c r="C1043" s="27"/>
    </row>
    <row r="1044" spans="1:3">
      <c r="A1044" s="15"/>
      <c r="B1044" s="15"/>
      <c r="C1044" s="19"/>
    </row>
    <row r="1045" spans="1:3">
      <c r="A1045" s="12"/>
      <c r="B1045" s="12"/>
      <c r="C1045" s="27"/>
    </row>
    <row r="1046" spans="1:3">
      <c r="A1046" s="15"/>
      <c r="B1046" s="15"/>
      <c r="C1046" s="19"/>
    </row>
    <row r="1047" spans="1:3">
      <c r="A1047" s="12"/>
      <c r="B1047" s="12"/>
      <c r="C1047" s="27"/>
    </row>
    <row r="1048" spans="1:3">
      <c r="A1048" s="15"/>
      <c r="B1048" s="15"/>
      <c r="C1048" s="19"/>
    </row>
    <row r="1049" spans="1:3">
      <c r="A1049" s="12"/>
      <c r="B1049" s="12"/>
      <c r="C1049" s="27"/>
    </row>
    <row r="1050" spans="1:3">
      <c r="A1050" s="15"/>
      <c r="B1050" s="15"/>
      <c r="C1050" s="19"/>
    </row>
    <row r="1051" spans="1:3">
      <c r="A1051" s="12"/>
      <c r="B1051" s="12"/>
      <c r="C1051" s="27"/>
    </row>
    <row r="1052" spans="1:3">
      <c r="A1052" s="15"/>
      <c r="B1052" s="15"/>
      <c r="C1052" s="19"/>
    </row>
    <row r="1053" spans="1:3">
      <c r="A1053" s="12"/>
      <c r="B1053" s="12"/>
      <c r="C1053" s="27"/>
    </row>
    <row r="1054" spans="1:3">
      <c r="A1054" s="15"/>
      <c r="B1054" s="15"/>
      <c r="C1054" s="19"/>
    </row>
    <row r="1055" spans="1:3">
      <c r="A1055" s="12"/>
      <c r="B1055" s="12"/>
      <c r="C1055" s="27"/>
    </row>
    <row r="1056" spans="1:3">
      <c r="A1056" s="15"/>
      <c r="B1056" s="15"/>
      <c r="C1056" s="19"/>
    </row>
    <row r="1057" spans="1:3">
      <c r="A1057" s="12"/>
      <c r="B1057" s="12"/>
      <c r="C1057" s="27"/>
    </row>
    <row r="1058" spans="1:3">
      <c r="A1058" s="15"/>
      <c r="B1058" s="15"/>
      <c r="C1058" s="19"/>
    </row>
    <row r="1059" spans="1:3">
      <c r="A1059" s="12"/>
      <c r="B1059" s="12"/>
      <c r="C1059" s="27"/>
    </row>
    <row r="1060" spans="1:3">
      <c r="A1060" s="15"/>
      <c r="B1060" s="15"/>
      <c r="C1060" s="19"/>
    </row>
    <row r="1061" spans="1:3">
      <c r="A1061" s="12"/>
      <c r="B1061" s="12"/>
      <c r="C1061" s="27"/>
    </row>
    <row r="1062" spans="1:3">
      <c r="A1062" s="15"/>
      <c r="B1062" s="15"/>
      <c r="C1062" s="19"/>
    </row>
    <row r="1063" spans="1:3">
      <c r="A1063" s="12"/>
      <c r="B1063" s="12"/>
      <c r="C1063" s="27"/>
    </row>
    <row r="1064" spans="1:3">
      <c r="A1064" s="15"/>
      <c r="B1064" s="15"/>
      <c r="C1064" s="19"/>
    </row>
    <row r="1065" spans="1:3">
      <c r="A1065" s="12"/>
      <c r="B1065" s="12"/>
      <c r="C1065" s="27"/>
    </row>
    <row r="1066" spans="1:3">
      <c r="A1066" s="15"/>
      <c r="B1066" s="15"/>
      <c r="C1066" s="19"/>
    </row>
    <row r="1067" spans="1:3">
      <c r="A1067" s="12"/>
      <c r="B1067" s="12"/>
      <c r="C1067" s="27"/>
    </row>
    <row r="1068" spans="1:3">
      <c r="A1068" s="15"/>
      <c r="B1068" s="15"/>
      <c r="C1068" s="19"/>
    </row>
    <row r="1069" spans="1:3">
      <c r="A1069" s="12"/>
      <c r="B1069" s="12"/>
      <c r="C1069" s="27"/>
    </row>
    <row r="1070" spans="1:3">
      <c r="A1070" s="15"/>
      <c r="B1070" s="15"/>
      <c r="C1070" s="19"/>
    </row>
    <row r="1071" spans="1:3">
      <c r="A1071" s="12"/>
      <c r="B1071" s="12"/>
      <c r="C1071" s="27"/>
    </row>
    <row r="1072" spans="1:3">
      <c r="A1072" s="15"/>
      <c r="B1072" s="15"/>
      <c r="C1072" s="19"/>
    </row>
    <row r="1073" spans="1:3">
      <c r="A1073" s="12"/>
      <c r="B1073" s="12"/>
      <c r="C1073" s="27"/>
    </row>
    <row r="1074" spans="1:3">
      <c r="A1074" s="15"/>
      <c r="B1074" s="15"/>
      <c r="C1074" s="19"/>
    </row>
    <row r="1075" spans="1:3">
      <c r="A1075" s="12"/>
      <c r="B1075" s="12"/>
      <c r="C1075" s="27"/>
    </row>
    <row r="1076" spans="1:3">
      <c r="A1076" s="15"/>
      <c r="B1076" s="15"/>
      <c r="C1076" s="19"/>
    </row>
    <row r="1077" spans="1:3">
      <c r="A1077" s="12"/>
      <c r="B1077" s="12"/>
      <c r="C1077" s="27"/>
    </row>
    <row r="1078" spans="1:3">
      <c r="A1078" s="15"/>
      <c r="B1078" s="15"/>
      <c r="C1078" s="19"/>
    </row>
    <row r="1079" spans="1:3">
      <c r="A1079" s="12"/>
      <c r="B1079" s="12"/>
      <c r="C1079" s="27"/>
    </row>
    <row r="1080" spans="1:3">
      <c r="A1080" s="15"/>
      <c r="B1080" s="15"/>
      <c r="C1080" s="19"/>
    </row>
    <row r="1081" spans="1:3">
      <c r="A1081" s="12"/>
      <c r="B1081" s="12"/>
      <c r="C1081" s="27"/>
    </row>
    <row r="1082" spans="1:3">
      <c r="A1082" s="15"/>
      <c r="B1082" s="15"/>
      <c r="C1082" s="19"/>
    </row>
    <row r="1083" spans="1:3">
      <c r="A1083" s="12"/>
      <c r="B1083" s="12"/>
      <c r="C1083" s="27"/>
    </row>
    <row r="1084" spans="1:3">
      <c r="A1084" s="15"/>
      <c r="B1084" s="15"/>
      <c r="C1084" s="19"/>
    </row>
    <row r="1085" spans="1:3">
      <c r="A1085" s="12"/>
      <c r="B1085" s="12"/>
      <c r="C1085" s="27"/>
    </row>
    <row r="1086" spans="1:3">
      <c r="A1086" s="15"/>
      <c r="B1086" s="15"/>
      <c r="C1086" s="19"/>
    </row>
    <row r="1087" spans="1:3">
      <c r="A1087" s="12"/>
      <c r="B1087" s="12"/>
      <c r="C1087" s="27"/>
    </row>
    <row r="1088" spans="1:3">
      <c r="A1088" s="15"/>
      <c r="B1088" s="15"/>
      <c r="C1088" s="19"/>
    </row>
    <row r="1089" spans="1:3">
      <c r="A1089" s="12"/>
      <c r="B1089" s="12"/>
      <c r="C1089" s="27"/>
    </row>
    <row r="1090" spans="1:3">
      <c r="A1090" s="15"/>
      <c r="B1090" s="15"/>
      <c r="C1090" s="19"/>
    </row>
    <row r="1091" spans="1:3">
      <c r="A1091" s="12"/>
      <c r="B1091" s="12"/>
      <c r="C1091" s="27"/>
    </row>
    <row r="1092" spans="1:3">
      <c r="A1092" s="15"/>
      <c r="B1092" s="15"/>
      <c r="C1092" s="19"/>
    </row>
    <row r="1093" spans="1:3">
      <c r="A1093" s="12"/>
      <c r="B1093" s="12"/>
      <c r="C1093" s="27"/>
    </row>
    <row r="1094" spans="1:3">
      <c r="A1094" s="15"/>
      <c r="B1094" s="15"/>
      <c r="C1094" s="19"/>
    </row>
    <row r="1095" spans="1:3">
      <c r="A1095" s="12"/>
      <c r="B1095" s="12"/>
      <c r="C1095" s="27"/>
    </row>
    <row r="1096" spans="1:3">
      <c r="A1096" s="15"/>
      <c r="B1096" s="15"/>
      <c r="C1096" s="19"/>
    </row>
    <row r="1097" spans="1:3">
      <c r="A1097" s="12"/>
      <c r="B1097" s="12"/>
      <c r="C1097" s="27"/>
    </row>
    <row r="1098" spans="1:3">
      <c r="A1098" s="11"/>
      <c r="B1098" s="12"/>
      <c r="C1098" s="13"/>
    </row>
    <row r="1099" spans="1:3">
      <c r="A1099" s="11"/>
      <c r="B1099" s="12"/>
      <c r="C1099" s="13"/>
    </row>
    <row r="1100" spans="1:3">
      <c r="A1100" s="11"/>
      <c r="B1100" s="12"/>
      <c r="C1100" s="13"/>
    </row>
    <row r="1101" spans="1:3">
      <c r="A1101" s="11"/>
      <c r="B1101" s="12"/>
      <c r="C1101" s="13"/>
    </row>
    <row r="1102" spans="1:3">
      <c r="A1102" s="15"/>
      <c r="B1102" s="15"/>
      <c r="C1102" s="19"/>
    </row>
    <row r="1103" spans="1:3">
      <c r="A1103" s="12"/>
      <c r="B1103" s="12"/>
      <c r="C1103" s="27"/>
    </row>
    <row r="1104" spans="1:3">
      <c r="A1104" s="15"/>
      <c r="B1104" s="15"/>
      <c r="C1104" s="19"/>
    </row>
    <row r="1105" spans="1:3">
      <c r="A1105" s="12"/>
      <c r="B1105" s="12"/>
      <c r="C1105" s="27"/>
    </row>
    <row r="1106" spans="1:3">
      <c r="A1106" s="15"/>
      <c r="B1106" s="15"/>
      <c r="C1106" s="19"/>
    </row>
    <row r="1107" spans="1:3">
      <c r="A1107" s="12"/>
      <c r="B1107" s="12"/>
      <c r="C1107" s="27"/>
    </row>
    <row r="1108" spans="1:3">
      <c r="A1108" s="15"/>
      <c r="B1108" s="15"/>
      <c r="C1108" s="19"/>
    </row>
    <row r="1109" spans="1:3">
      <c r="A1109" s="12"/>
      <c r="B1109" s="12"/>
      <c r="C1109" s="27"/>
    </row>
    <row r="1110" spans="1:3">
      <c r="A1110" s="15"/>
      <c r="B1110" s="15"/>
      <c r="C1110" s="19"/>
    </row>
    <row r="1111" spans="1:3">
      <c r="A1111" s="12"/>
      <c r="B1111" s="12"/>
      <c r="C1111" s="27"/>
    </row>
    <row r="1112" spans="1:3">
      <c r="A1112" s="15"/>
      <c r="B1112" s="15"/>
      <c r="C1112" s="19"/>
    </row>
    <row r="1113" spans="1:3">
      <c r="A1113" s="12"/>
      <c r="B1113" s="12"/>
      <c r="C1113" s="27"/>
    </row>
    <row r="1114" spans="1:3">
      <c r="A1114" s="15"/>
      <c r="B1114" s="15"/>
      <c r="C1114" s="19"/>
    </row>
    <row r="1115" spans="1:3">
      <c r="A1115" s="12"/>
      <c r="B1115" s="12"/>
      <c r="C1115" s="27"/>
    </row>
    <row r="1116" spans="1:3">
      <c r="A1116" s="15"/>
      <c r="B1116" s="15"/>
      <c r="C1116" s="19"/>
    </row>
    <row r="1117" spans="1:3">
      <c r="A1117" s="12"/>
      <c r="B1117" s="12"/>
      <c r="C1117" s="27"/>
    </row>
    <row r="1118" spans="1:3">
      <c r="A1118" s="15"/>
      <c r="B1118" s="15"/>
      <c r="C1118" s="19"/>
    </row>
    <row r="1119" spans="1:3">
      <c r="A1119" s="12"/>
      <c r="B1119" s="12"/>
      <c r="C1119" s="27"/>
    </row>
    <row r="1120" spans="1:3">
      <c r="A1120" s="15"/>
      <c r="B1120" s="15"/>
      <c r="C1120" s="19"/>
    </row>
    <row r="1121" spans="1:3">
      <c r="A1121" s="12"/>
      <c r="B1121" s="12"/>
      <c r="C1121" s="27"/>
    </row>
    <row r="1122" spans="1:3">
      <c r="A1122" s="15"/>
      <c r="B1122" s="15"/>
      <c r="C1122" s="19"/>
    </row>
    <row r="1123" spans="1:3">
      <c r="A1123" s="12"/>
      <c r="B1123" s="12"/>
      <c r="C1123" s="27"/>
    </row>
    <row r="1124" spans="1:3">
      <c r="A1124" s="15"/>
      <c r="B1124" s="15"/>
      <c r="C1124" s="19"/>
    </row>
    <row r="1125" spans="1:3">
      <c r="A1125" s="12"/>
      <c r="B1125" s="12"/>
      <c r="C1125" s="27"/>
    </row>
    <row r="1126" spans="1:3">
      <c r="A1126" s="15"/>
      <c r="B1126" s="15"/>
      <c r="C1126" s="19"/>
    </row>
    <row r="1127" spans="1:3">
      <c r="A1127" s="12"/>
      <c r="B1127" s="12"/>
      <c r="C1127" s="27"/>
    </row>
    <row r="1128" spans="1:3">
      <c r="A1128" s="15"/>
      <c r="B1128" s="15"/>
      <c r="C1128" s="19"/>
    </row>
    <row r="1129" spans="1:3">
      <c r="A1129" s="12"/>
      <c r="B1129" s="12"/>
      <c r="C1129" s="27"/>
    </row>
    <row r="1130" spans="1:3">
      <c r="A1130" s="15"/>
      <c r="B1130" s="15"/>
      <c r="C1130" s="19"/>
    </row>
    <row r="1131" spans="1:3">
      <c r="A1131" s="12"/>
      <c r="B1131" s="12"/>
      <c r="C1131" s="27"/>
    </row>
    <row r="1132" spans="1:3">
      <c r="A1132" s="15"/>
      <c r="B1132" s="15"/>
      <c r="C1132" s="19"/>
    </row>
    <row r="1133" spans="1:3">
      <c r="A1133" s="12"/>
      <c r="B1133" s="12"/>
      <c r="C1133" s="27"/>
    </row>
    <row r="1134" spans="1:3">
      <c r="A1134" s="15"/>
      <c r="B1134" s="15"/>
      <c r="C1134" s="19"/>
    </row>
    <row r="1135" spans="1:3">
      <c r="A1135" s="12"/>
      <c r="B1135" s="12"/>
      <c r="C1135" s="27"/>
    </row>
    <row r="1136" spans="1:3">
      <c r="A1136" s="15"/>
      <c r="B1136" s="15"/>
      <c r="C1136" s="19"/>
    </row>
    <row r="1137" spans="1:3">
      <c r="A1137" s="12"/>
      <c r="B1137" s="12"/>
      <c r="C1137" s="27"/>
    </row>
    <row r="1138" spans="1:3">
      <c r="A1138" s="15"/>
      <c r="B1138" s="15"/>
      <c r="C1138" s="19"/>
    </row>
    <row r="1139" spans="1:3">
      <c r="A1139" s="12"/>
      <c r="B1139" s="12"/>
      <c r="C1139" s="27"/>
    </row>
    <row r="1140" spans="1:3">
      <c r="A1140" s="15"/>
      <c r="B1140" s="15"/>
      <c r="C1140" s="19"/>
    </row>
    <row r="1141" spans="1:3">
      <c r="A1141" s="12"/>
      <c r="B1141" s="12"/>
      <c r="C1141" s="27"/>
    </row>
    <row r="1142" spans="1:3">
      <c r="A1142" s="15"/>
      <c r="B1142" s="15"/>
      <c r="C1142" s="19"/>
    </row>
    <row r="1143" spans="1:3">
      <c r="A1143" s="12"/>
      <c r="B1143" s="12"/>
      <c r="C1143" s="27"/>
    </row>
    <row r="1144" spans="1:3">
      <c r="A1144" s="15"/>
      <c r="B1144" s="15"/>
      <c r="C1144" s="19"/>
    </row>
    <row r="1145" spans="1:3">
      <c r="A1145" s="12"/>
      <c r="B1145" s="12"/>
      <c r="C1145" s="27"/>
    </row>
    <row r="1146" spans="1:3">
      <c r="A1146" s="15"/>
      <c r="B1146" s="15"/>
      <c r="C1146" s="19"/>
    </row>
    <row r="1147" spans="1:3">
      <c r="A1147" s="12"/>
      <c r="B1147" s="12"/>
      <c r="C1147" s="27"/>
    </row>
    <row r="1148" spans="1:3">
      <c r="A1148" s="15"/>
      <c r="B1148" s="15"/>
      <c r="C1148" s="19"/>
    </row>
    <row r="1149" spans="1:3">
      <c r="A1149" s="12"/>
      <c r="B1149" s="12"/>
      <c r="C1149" s="27"/>
    </row>
    <row r="1150" spans="1:3">
      <c r="A1150" s="15"/>
      <c r="B1150" s="15"/>
      <c r="C1150" s="19"/>
    </row>
    <row r="1151" spans="1:3">
      <c r="A1151" s="12"/>
      <c r="B1151" s="12"/>
      <c r="C1151" s="27"/>
    </row>
    <row r="1152" spans="1:3">
      <c r="A1152" s="15"/>
      <c r="B1152" s="15"/>
      <c r="C1152" s="19"/>
    </row>
    <row r="1153" spans="1:3">
      <c r="A1153" s="12"/>
      <c r="B1153" s="12"/>
      <c r="C1153" s="27"/>
    </row>
    <row r="1154" spans="1:3">
      <c r="A1154" s="15"/>
      <c r="B1154" s="15"/>
      <c r="C1154" s="19"/>
    </row>
    <row r="1155" spans="1:3">
      <c r="A1155" s="12"/>
      <c r="B1155" s="12"/>
      <c r="C1155" s="27"/>
    </row>
    <row r="1156" spans="1:3">
      <c r="A1156" s="15"/>
      <c r="B1156" s="15"/>
      <c r="C1156" s="19"/>
    </row>
    <row r="1157" spans="1:3">
      <c r="A1157" s="12"/>
      <c r="B1157" s="12"/>
      <c r="C1157" s="27"/>
    </row>
    <row r="1158" spans="1:3">
      <c r="A1158" s="15"/>
      <c r="B1158" s="15"/>
      <c r="C1158" s="19"/>
    </row>
    <row r="1159" spans="1:3">
      <c r="A1159" s="12"/>
      <c r="B1159" s="12"/>
      <c r="C1159" s="27"/>
    </row>
    <row r="1160" spans="1:3">
      <c r="A1160" s="15"/>
      <c r="B1160" s="15"/>
      <c r="C1160" s="19"/>
    </row>
    <row r="1161" spans="1:3">
      <c r="A1161" s="12"/>
      <c r="B1161" s="12"/>
      <c r="C1161" s="27"/>
    </row>
    <row r="1162" spans="1:3">
      <c r="A1162" s="15"/>
      <c r="B1162" s="15"/>
      <c r="C1162" s="19"/>
    </row>
    <row r="1163" spans="1:3">
      <c r="A1163" s="12"/>
      <c r="B1163" s="12"/>
      <c r="C1163" s="27"/>
    </row>
    <row r="1164" spans="1:3">
      <c r="A1164" s="15"/>
      <c r="B1164" s="15"/>
      <c r="C1164" s="19"/>
    </row>
    <row r="1165" spans="1:3">
      <c r="A1165" s="12"/>
      <c r="B1165" s="12"/>
      <c r="C1165" s="27"/>
    </row>
    <row r="1166" spans="1:3">
      <c r="A1166" s="15"/>
      <c r="B1166" s="15"/>
      <c r="C1166" s="19"/>
    </row>
    <row r="1167" spans="1:3">
      <c r="A1167" s="12"/>
      <c r="B1167" s="12"/>
      <c r="C1167" s="27"/>
    </row>
    <row r="1168" spans="1:3">
      <c r="A1168" s="15"/>
      <c r="B1168" s="15"/>
      <c r="C1168" s="19"/>
    </row>
    <row r="1169" spans="1:3">
      <c r="A1169" s="12"/>
      <c r="B1169" s="12"/>
      <c r="C1169" s="27"/>
    </row>
    <row r="1170" spans="1:3">
      <c r="A1170" s="15"/>
      <c r="B1170" s="15"/>
      <c r="C1170" s="19"/>
    </row>
    <row r="1171" spans="1:3">
      <c r="A1171" s="12"/>
      <c r="B1171" s="12"/>
      <c r="C1171" s="27"/>
    </row>
    <row r="1172" spans="1:3">
      <c r="A1172" s="15"/>
      <c r="B1172" s="15"/>
      <c r="C1172" s="19"/>
    </row>
    <row r="1173" spans="1:3">
      <c r="A1173" s="12"/>
      <c r="B1173" s="12"/>
      <c r="C1173" s="27"/>
    </row>
    <row r="1174" spans="1:3">
      <c r="A1174" s="15"/>
      <c r="B1174" s="15"/>
      <c r="C1174" s="19"/>
    </row>
    <row r="1175" spans="1:3">
      <c r="A1175" s="12"/>
      <c r="B1175" s="12"/>
      <c r="C1175" s="27"/>
    </row>
    <row r="1176" spans="1:3">
      <c r="A1176" s="15"/>
      <c r="B1176" s="15"/>
      <c r="C1176" s="19"/>
    </row>
    <row r="1177" spans="1:3">
      <c r="A1177" s="12"/>
      <c r="B1177" s="12"/>
      <c r="C1177" s="27"/>
    </row>
    <row r="1178" spans="1:3">
      <c r="A1178" s="15"/>
      <c r="B1178" s="15"/>
      <c r="C1178" s="19"/>
    </row>
    <row r="1179" spans="1:3">
      <c r="A1179" s="12"/>
      <c r="B1179" s="12"/>
      <c r="C1179" s="27"/>
    </row>
    <row r="1180" spans="1:3">
      <c r="A1180" s="15"/>
      <c r="B1180" s="15"/>
      <c r="C1180" s="19"/>
    </row>
    <row r="1181" spans="1:3">
      <c r="A1181" s="12"/>
      <c r="B1181" s="12"/>
      <c r="C1181" s="27"/>
    </row>
    <row r="1182" spans="1:3">
      <c r="A1182" s="15"/>
      <c r="B1182" s="15"/>
      <c r="C1182" s="19"/>
    </row>
    <row r="1183" spans="1:3">
      <c r="A1183" s="12"/>
      <c r="B1183" s="12"/>
      <c r="C1183" s="27"/>
    </row>
    <row r="1184" spans="1:3">
      <c r="A1184" s="15"/>
      <c r="B1184" s="15"/>
      <c r="C1184" s="19"/>
    </row>
    <row r="1185" spans="1:3">
      <c r="A1185" s="12"/>
      <c r="B1185" s="12"/>
      <c r="C1185" s="27"/>
    </row>
    <row r="1186" spans="1:3">
      <c r="A1186" s="15"/>
      <c r="B1186" s="15"/>
      <c r="C1186" s="19"/>
    </row>
    <row r="1187" spans="1:3">
      <c r="A1187" s="12"/>
      <c r="B1187" s="12"/>
      <c r="C1187" s="27"/>
    </row>
    <row r="1188" spans="1:3">
      <c r="A1188" s="15"/>
      <c r="B1188" s="15"/>
      <c r="C1188" s="19"/>
    </row>
    <row r="1189" spans="1:3">
      <c r="A1189" s="12"/>
      <c r="B1189" s="12"/>
      <c r="C1189" s="27"/>
    </row>
    <row r="1190" spans="1:3">
      <c r="A1190" s="15"/>
      <c r="B1190" s="15"/>
      <c r="C1190" s="19"/>
    </row>
    <row r="1191" spans="1:3">
      <c r="A1191" s="12"/>
      <c r="B1191" s="12"/>
      <c r="C1191" s="27"/>
    </row>
    <row r="1192" spans="1:3">
      <c r="A1192" s="15"/>
      <c r="B1192" s="15"/>
      <c r="C1192" s="19"/>
    </row>
    <row r="1193" spans="1:3">
      <c r="A1193" s="12"/>
      <c r="B1193" s="12"/>
      <c r="C1193" s="27"/>
    </row>
    <row r="1194" spans="1:3">
      <c r="A1194" s="15"/>
      <c r="B1194" s="15"/>
      <c r="C1194" s="19"/>
    </row>
    <row r="1195" spans="1:3">
      <c r="A1195" s="12"/>
      <c r="B1195" s="12"/>
      <c r="C1195" s="27"/>
    </row>
    <row r="1196" spans="1:3">
      <c r="A1196" s="15"/>
      <c r="B1196" s="15"/>
      <c r="C1196" s="19"/>
    </row>
    <row r="1197" spans="1:3">
      <c r="A1197" s="12"/>
      <c r="B1197" s="12"/>
      <c r="C1197" s="27"/>
    </row>
    <row r="1198" spans="1:3">
      <c r="A1198" s="15"/>
      <c r="B1198" s="15"/>
      <c r="C1198" s="19"/>
    </row>
    <row r="1199" spans="1:3">
      <c r="A1199" s="12"/>
      <c r="B1199" s="12"/>
      <c r="C1199" s="27"/>
    </row>
    <row r="1200" spans="1:3">
      <c r="A1200" s="15"/>
      <c r="B1200" s="15"/>
      <c r="C1200" s="19"/>
    </row>
    <row r="1201" spans="1:3">
      <c r="A1201" s="12"/>
      <c r="B1201" s="12"/>
      <c r="C1201" s="27"/>
    </row>
    <row r="1202" spans="1:3">
      <c r="A1202" s="15"/>
      <c r="B1202" s="15"/>
      <c r="C1202" s="19"/>
    </row>
    <row r="1203" spans="1:3">
      <c r="A1203" s="12"/>
      <c r="B1203" s="12"/>
      <c r="C1203" s="27"/>
    </row>
    <row r="1204" spans="1:3">
      <c r="A1204" s="15"/>
      <c r="B1204" s="15"/>
      <c r="C1204" s="19"/>
    </row>
    <row r="1205" spans="1:3">
      <c r="A1205" s="12"/>
      <c r="B1205" s="12"/>
      <c r="C1205" s="27"/>
    </row>
    <row r="1206" spans="1:3">
      <c r="A1206" s="15"/>
      <c r="B1206" s="15"/>
      <c r="C1206" s="19"/>
    </row>
    <row r="1207" spans="1:3">
      <c r="A1207" s="12"/>
      <c r="B1207" s="12"/>
      <c r="C1207" s="27"/>
    </row>
    <row r="1208" spans="1:3">
      <c r="A1208" s="15"/>
      <c r="B1208" s="15"/>
      <c r="C1208" s="19"/>
    </row>
    <row r="1209" spans="1:3">
      <c r="A1209" s="12"/>
      <c r="B1209" s="12"/>
      <c r="C1209" s="27"/>
    </row>
    <row r="1210" spans="1:3">
      <c r="A1210" s="15"/>
      <c r="B1210" s="15"/>
      <c r="C1210" s="19"/>
    </row>
    <row r="1211" spans="1:3">
      <c r="A1211" s="12"/>
      <c r="B1211" s="12"/>
      <c r="C1211" s="27"/>
    </row>
    <row r="1212" spans="1:3">
      <c r="A1212" s="15"/>
      <c r="B1212" s="15"/>
      <c r="C1212" s="19"/>
    </row>
    <row r="1213" spans="1:3">
      <c r="A1213" s="12"/>
      <c r="B1213" s="12"/>
      <c r="C1213" s="27"/>
    </row>
    <row r="1214" spans="1:3">
      <c r="A1214" s="15"/>
      <c r="B1214" s="15"/>
      <c r="C1214" s="19"/>
    </row>
    <row r="1215" spans="1:3">
      <c r="A1215" s="12"/>
      <c r="B1215" s="12"/>
      <c r="C1215" s="27"/>
    </row>
    <row r="1216" spans="1:3">
      <c r="A1216" s="15"/>
      <c r="B1216" s="15"/>
      <c r="C1216" s="19"/>
    </row>
    <row r="1217" spans="1:3">
      <c r="A1217" s="12"/>
      <c r="B1217" s="12"/>
      <c r="C1217" s="27"/>
    </row>
    <row r="1218" spans="1:3">
      <c r="A1218" s="15"/>
      <c r="B1218" s="15"/>
      <c r="C1218" s="19"/>
    </row>
    <row r="1219" spans="1:3">
      <c r="A1219" s="12"/>
      <c r="B1219" s="12"/>
      <c r="C1219" s="27"/>
    </row>
    <row r="1220" spans="1:3">
      <c r="A1220" s="15"/>
      <c r="B1220" s="15"/>
      <c r="C1220" s="19"/>
    </row>
    <row r="1221" spans="1:3">
      <c r="A1221" s="12"/>
      <c r="B1221" s="12"/>
      <c r="C1221" s="27"/>
    </row>
    <row r="1222" spans="1:3">
      <c r="A1222" s="15"/>
      <c r="B1222" s="15"/>
      <c r="C1222" s="19"/>
    </row>
    <row r="1223" spans="1:3">
      <c r="A1223" s="12"/>
      <c r="B1223" s="12"/>
      <c r="C1223" s="27"/>
    </row>
    <row r="1224" spans="1:3">
      <c r="A1224" s="15"/>
      <c r="B1224" s="15"/>
      <c r="C1224" s="19"/>
    </row>
    <row r="1225" spans="1:3">
      <c r="A1225" s="12"/>
      <c r="B1225" s="12"/>
      <c r="C1225" s="27"/>
    </row>
    <row r="1226" spans="1:3">
      <c r="A1226" s="15"/>
      <c r="B1226" s="15"/>
      <c r="C1226" s="19"/>
    </row>
    <row r="1227" spans="1:3">
      <c r="A1227" s="12"/>
      <c r="B1227" s="12"/>
      <c r="C1227" s="27"/>
    </row>
    <row r="1228" spans="1:3">
      <c r="A1228" s="15"/>
      <c r="B1228" s="15"/>
      <c r="C1228" s="19"/>
    </row>
    <row r="1229" spans="1:3">
      <c r="A1229" s="12"/>
      <c r="B1229" s="12"/>
      <c r="C1229" s="27"/>
    </row>
    <row r="1230" spans="1:3">
      <c r="A1230" s="15"/>
      <c r="B1230" s="15"/>
      <c r="C1230" s="19"/>
    </row>
    <row r="1231" spans="1:3">
      <c r="A1231" s="12"/>
      <c r="B1231" s="12"/>
      <c r="C1231" s="27"/>
    </row>
    <row r="1232" spans="1:3">
      <c r="A1232" s="15"/>
      <c r="B1232" s="15"/>
      <c r="C1232" s="19"/>
    </row>
    <row r="1233" spans="1:3">
      <c r="A1233" s="12"/>
      <c r="B1233" s="12"/>
      <c r="C1233" s="27"/>
    </row>
    <row r="1234" spans="1:3">
      <c r="A1234" s="15"/>
      <c r="B1234" s="15"/>
      <c r="C1234" s="19"/>
    </row>
    <row r="1235" spans="1:3">
      <c r="A1235" s="12"/>
      <c r="B1235" s="12"/>
      <c r="C1235" s="27"/>
    </row>
    <row r="1236" spans="1:3">
      <c r="A1236" s="15"/>
      <c r="B1236" s="15"/>
      <c r="C1236" s="19"/>
    </row>
    <row r="1237" spans="1:3">
      <c r="A1237" s="12"/>
      <c r="B1237" s="12"/>
      <c r="C1237" s="27"/>
    </row>
    <row r="1238" spans="1:3">
      <c r="A1238" s="15"/>
      <c r="B1238" s="15"/>
      <c r="C1238" s="19"/>
    </row>
    <row r="1239" spans="1:3">
      <c r="A1239" s="12"/>
      <c r="B1239" s="12"/>
      <c r="C1239" s="27"/>
    </row>
    <row r="1240" spans="1:3">
      <c r="A1240" s="15"/>
      <c r="B1240" s="15"/>
      <c r="C1240" s="19"/>
    </row>
    <row r="1241" spans="1:3">
      <c r="A1241" s="12"/>
      <c r="B1241" s="12"/>
      <c r="C1241" s="27"/>
    </row>
    <row r="1242" spans="1:3">
      <c r="A1242" s="15"/>
      <c r="B1242" s="15"/>
      <c r="C1242" s="19"/>
    </row>
    <row r="1243" spans="1:3">
      <c r="A1243" s="12"/>
      <c r="B1243" s="12"/>
      <c r="C1243" s="27"/>
    </row>
    <row r="1244" spans="1:3">
      <c r="A1244" s="15"/>
      <c r="B1244" s="15"/>
      <c r="C1244" s="19"/>
    </row>
    <row r="1245" spans="1:3">
      <c r="A1245" s="12"/>
      <c r="B1245" s="12"/>
      <c r="C1245" s="27"/>
    </row>
    <row r="1246" spans="1:3">
      <c r="A1246" s="15"/>
      <c r="B1246" s="15"/>
      <c r="C1246" s="19"/>
    </row>
    <row r="1247" spans="1:3">
      <c r="A1247" s="12"/>
      <c r="B1247" s="12"/>
      <c r="C1247" s="27"/>
    </row>
    <row r="1248" spans="1:3">
      <c r="A1248" s="15"/>
      <c r="B1248" s="15"/>
      <c r="C1248" s="19"/>
    </row>
    <row r="1249" spans="1:3">
      <c r="A1249" s="12"/>
      <c r="B1249" s="12"/>
      <c r="C1249" s="27"/>
    </row>
    <row r="1250" spans="1:3">
      <c r="A1250" s="15"/>
      <c r="B1250" s="15"/>
      <c r="C1250" s="19"/>
    </row>
    <row r="1251" spans="1:3">
      <c r="A1251" s="12"/>
      <c r="B1251" s="12"/>
      <c r="C1251" s="27"/>
    </row>
    <row r="1252" spans="1:3">
      <c r="A1252" s="15"/>
      <c r="B1252" s="15"/>
      <c r="C1252" s="19"/>
    </row>
    <row r="1253" spans="1:3">
      <c r="A1253" s="12"/>
      <c r="B1253" s="12"/>
      <c r="C1253" s="27"/>
    </row>
    <row r="1254" spans="1:3">
      <c r="A1254" s="15"/>
      <c r="B1254" s="15"/>
      <c r="C1254" s="19"/>
    </row>
    <row r="1255" spans="1:3">
      <c r="A1255" s="12"/>
      <c r="B1255" s="12"/>
      <c r="C1255" s="27"/>
    </row>
    <row r="1256" spans="1:3">
      <c r="A1256" s="15"/>
      <c r="B1256" s="15"/>
      <c r="C1256" s="19"/>
    </row>
    <row r="1257" spans="1:3">
      <c r="A1257" s="12"/>
      <c r="B1257" s="12"/>
      <c r="C1257" s="27"/>
    </row>
    <row r="1258" spans="1:3">
      <c r="A1258" s="15"/>
      <c r="B1258" s="15"/>
      <c r="C1258" s="19"/>
    </row>
    <row r="1259" spans="1:3">
      <c r="A1259" s="12"/>
      <c r="B1259" s="12"/>
      <c r="C1259" s="27"/>
    </row>
    <row r="1260" spans="1:3">
      <c r="A1260" s="15"/>
      <c r="B1260" s="15"/>
      <c r="C1260" s="19"/>
    </row>
    <row r="1261" spans="1:3">
      <c r="A1261" s="12"/>
      <c r="B1261" s="12"/>
      <c r="C1261" s="27"/>
    </row>
    <row r="1262" spans="1:3">
      <c r="A1262" s="15"/>
      <c r="B1262" s="15"/>
      <c r="C1262" s="19"/>
    </row>
    <row r="1263" spans="1:3">
      <c r="A1263" s="12"/>
      <c r="B1263" s="12"/>
      <c r="C1263" s="27"/>
    </row>
    <row r="1264" spans="1:3">
      <c r="A1264" s="15"/>
      <c r="B1264" s="15"/>
      <c r="C1264" s="19"/>
    </row>
    <row r="1265" spans="1:3">
      <c r="A1265" s="12"/>
      <c r="B1265" s="12"/>
      <c r="C1265" s="27"/>
    </row>
    <row r="1266" spans="1:3">
      <c r="A1266" s="15"/>
      <c r="B1266" s="15"/>
      <c r="C1266" s="19"/>
    </row>
    <row r="1267" spans="1:3">
      <c r="A1267" s="12"/>
      <c r="B1267" s="12"/>
      <c r="C1267" s="27"/>
    </row>
    <row r="1268" spans="1:3">
      <c r="A1268" s="15"/>
      <c r="B1268" s="15"/>
      <c r="C1268" s="19"/>
    </row>
    <row r="1269" spans="1:3">
      <c r="A1269" s="12"/>
      <c r="B1269" s="12"/>
      <c r="C1269" s="27"/>
    </row>
    <row r="1270" spans="1:3">
      <c r="A1270" s="15"/>
      <c r="B1270" s="15"/>
      <c r="C1270" s="19"/>
    </row>
    <row r="1271" spans="1:3">
      <c r="A1271" s="12"/>
      <c r="B1271" s="12"/>
      <c r="C1271" s="27"/>
    </row>
    <row r="1272" spans="1:3">
      <c r="A1272" s="15"/>
      <c r="B1272" s="15"/>
      <c r="C1272" s="19"/>
    </row>
    <row r="1273" spans="1:3">
      <c r="A1273" s="12"/>
      <c r="B1273" s="12"/>
      <c r="C1273" s="27"/>
    </row>
    <row r="1274" spans="1:3">
      <c r="A1274" s="15"/>
      <c r="B1274" s="15"/>
      <c r="C1274" s="19"/>
    </row>
    <row r="1275" spans="1:3">
      <c r="A1275" s="12"/>
      <c r="B1275" s="12"/>
      <c r="C1275" s="27"/>
    </row>
    <row r="1276" spans="1:3">
      <c r="A1276" s="15"/>
      <c r="B1276" s="15"/>
      <c r="C1276" s="19"/>
    </row>
    <row r="1277" spans="1:3">
      <c r="A1277" s="12"/>
      <c r="B1277" s="12"/>
      <c r="C1277" s="27"/>
    </row>
    <row r="1278" spans="1:3">
      <c r="A1278" s="15"/>
      <c r="B1278" s="15"/>
      <c r="C1278" s="19"/>
    </row>
    <row r="1279" spans="1:3">
      <c r="A1279" s="12"/>
      <c r="B1279" s="12"/>
      <c r="C1279" s="27"/>
    </row>
    <row r="1280" spans="1:3">
      <c r="A1280" s="15"/>
      <c r="B1280" s="15"/>
      <c r="C1280" s="19"/>
    </row>
    <row r="1281" spans="1:3">
      <c r="A1281" s="12"/>
      <c r="B1281" s="12"/>
      <c r="C1281" s="27"/>
    </row>
    <row r="1282" spans="1:3">
      <c r="A1282" s="15"/>
      <c r="B1282" s="15"/>
      <c r="C1282" s="19"/>
    </row>
    <row r="1283" spans="1:3">
      <c r="A1283" s="12"/>
      <c r="B1283" s="12"/>
      <c r="C1283" s="27"/>
    </row>
    <row r="1284" spans="1:3">
      <c r="A1284" s="15"/>
      <c r="B1284" s="15"/>
      <c r="C1284" s="19"/>
    </row>
    <row r="1285" spans="1:3">
      <c r="A1285" s="12"/>
      <c r="B1285" s="12"/>
      <c r="C1285" s="27"/>
    </row>
    <row r="1286" spans="1:3">
      <c r="A1286" s="15"/>
      <c r="B1286" s="15"/>
      <c r="C1286" s="19"/>
    </row>
    <row r="1287" spans="1:3">
      <c r="A1287" s="12"/>
      <c r="B1287" s="12"/>
      <c r="C1287" s="27"/>
    </row>
    <row r="1288" spans="1:3">
      <c r="A1288" s="15"/>
      <c r="B1288" s="15"/>
      <c r="C1288" s="19"/>
    </row>
    <row r="1289" spans="1:3">
      <c r="A1289" s="12"/>
      <c r="B1289" s="12"/>
      <c r="C1289" s="27"/>
    </row>
    <row r="1290" spans="1:3">
      <c r="A1290" s="15"/>
      <c r="B1290" s="15"/>
      <c r="C1290" s="19"/>
    </row>
    <row r="1291" spans="1:3">
      <c r="A1291" s="12"/>
      <c r="B1291" s="12"/>
      <c r="C1291" s="27"/>
    </row>
    <row r="1292" spans="1:3">
      <c r="A1292" s="15"/>
      <c r="B1292" s="15"/>
      <c r="C1292" s="19"/>
    </row>
    <row r="1293" spans="1:3">
      <c r="A1293" s="12"/>
      <c r="B1293" s="12"/>
      <c r="C1293" s="27"/>
    </row>
    <row r="1294" spans="1:3">
      <c r="A1294" s="15"/>
      <c r="B1294" s="15"/>
      <c r="C1294" s="19"/>
    </row>
    <row r="1295" spans="1:3">
      <c r="A1295" s="12"/>
      <c r="B1295" s="12"/>
      <c r="C1295" s="27"/>
    </row>
    <row r="1296" spans="1:3">
      <c r="A1296" s="15"/>
      <c r="B1296" s="15"/>
      <c r="C1296" s="19"/>
    </row>
    <row r="1297" spans="1:3">
      <c r="A1297" s="12"/>
      <c r="B1297" s="12"/>
      <c r="C1297" s="27"/>
    </row>
    <row r="1298" spans="1:3">
      <c r="A1298" s="15"/>
      <c r="B1298" s="15"/>
      <c r="C1298" s="19"/>
    </row>
    <row r="1299" spans="1:3">
      <c r="A1299" s="12"/>
      <c r="B1299" s="12"/>
      <c r="C1299" s="27"/>
    </row>
    <row r="1300" spans="1:3">
      <c r="A1300" s="15"/>
      <c r="B1300" s="15"/>
      <c r="C1300" s="19"/>
    </row>
    <row r="1301" spans="1:3">
      <c r="A1301" s="12"/>
      <c r="B1301" s="12"/>
      <c r="C1301" s="27"/>
    </row>
    <row r="1302" spans="1:3">
      <c r="A1302" s="15"/>
      <c r="B1302" s="15"/>
      <c r="C1302" s="19"/>
    </row>
    <row r="1303" spans="1:3">
      <c r="A1303" s="12"/>
      <c r="B1303" s="12"/>
      <c r="C1303" s="27"/>
    </row>
    <row r="1304" spans="1:3">
      <c r="A1304" s="15"/>
      <c r="B1304" s="15"/>
      <c r="C1304" s="19"/>
    </row>
    <row r="1305" spans="1:3">
      <c r="A1305" s="12"/>
      <c r="B1305" s="12"/>
      <c r="C1305" s="27"/>
    </row>
    <row r="1306" spans="1:3">
      <c r="A1306" s="15"/>
      <c r="B1306" s="15"/>
      <c r="C1306" s="19"/>
    </row>
    <row r="1307" spans="1:3">
      <c r="A1307" s="12"/>
      <c r="B1307" s="12"/>
      <c r="C1307" s="27"/>
    </row>
    <row r="1308" spans="1:3">
      <c r="A1308" s="15"/>
      <c r="B1308" s="15"/>
      <c r="C1308" s="19"/>
    </row>
    <row r="1309" spans="1:3">
      <c r="A1309" s="12"/>
      <c r="B1309" s="12"/>
      <c r="C1309" s="27"/>
    </row>
    <row r="1310" spans="1:3">
      <c r="A1310" s="15"/>
      <c r="B1310" s="15"/>
      <c r="C1310" s="19"/>
    </row>
    <row r="1311" spans="1:3">
      <c r="A1311" s="12"/>
      <c r="B1311" s="12"/>
      <c r="C1311" s="27"/>
    </row>
    <row r="1312" spans="1:3">
      <c r="A1312" s="15"/>
      <c r="B1312" s="15"/>
      <c r="C1312" s="19"/>
    </row>
    <row r="1313" spans="1:3">
      <c r="A1313" s="12"/>
      <c r="B1313" s="12"/>
      <c r="C1313" s="27"/>
    </row>
    <row r="1314" spans="1:3">
      <c r="A1314" s="15"/>
      <c r="B1314" s="15"/>
      <c r="C1314" s="19"/>
    </row>
    <row r="1315" spans="1:3">
      <c r="A1315" s="12"/>
      <c r="B1315" s="12"/>
      <c r="C1315" s="27"/>
    </row>
    <row r="1316" spans="1:3">
      <c r="A1316" s="15"/>
      <c r="B1316" s="15"/>
      <c r="C1316" s="19"/>
    </row>
    <row r="1317" spans="1:3">
      <c r="A1317" s="12"/>
      <c r="B1317" s="12"/>
      <c r="C1317" s="27"/>
    </row>
    <row r="1318" spans="1:3">
      <c r="A1318" s="15"/>
      <c r="B1318" s="15"/>
      <c r="C1318" s="19"/>
    </row>
    <row r="1319" spans="1:3">
      <c r="A1319" s="12"/>
      <c r="B1319" s="12"/>
      <c r="C1319" s="27"/>
    </row>
    <row r="1320" spans="1:3">
      <c r="A1320" s="15"/>
      <c r="B1320" s="15"/>
      <c r="C1320" s="19"/>
    </row>
    <row r="1321" spans="1:3">
      <c r="A1321" s="12"/>
      <c r="B1321" s="12"/>
      <c r="C1321" s="27"/>
    </row>
    <row r="1322" spans="1:3">
      <c r="A1322" s="15"/>
      <c r="B1322" s="15"/>
      <c r="C1322" s="19"/>
    </row>
    <row r="1323" spans="1:3">
      <c r="A1323" s="12"/>
      <c r="B1323" s="12"/>
      <c r="C1323" s="27"/>
    </row>
    <row r="1324" spans="1:3">
      <c r="A1324" s="15"/>
      <c r="B1324" s="15"/>
      <c r="C1324" s="19"/>
    </row>
    <row r="1325" spans="1:3">
      <c r="A1325" s="12"/>
      <c r="B1325" s="12"/>
      <c r="C1325" s="27"/>
    </row>
    <row r="1326" spans="1:3">
      <c r="A1326" s="15"/>
      <c r="B1326" s="15"/>
      <c r="C1326" s="19"/>
    </row>
    <row r="1327" spans="1:3">
      <c r="A1327" s="12"/>
      <c r="B1327" s="12"/>
      <c r="C1327" s="27"/>
    </row>
    <row r="1328" spans="1:3">
      <c r="A1328" s="15"/>
      <c r="B1328" s="15"/>
      <c r="C1328" s="19"/>
    </row>
    <row r="1329" spans="1:3">
      <c r="A1329" s="12"/>
      <c r="B1329" s="12"/>
      <c r="C1329" s="27"/>
    </row>
    <row r="1330" spans="1:3">
      <c r="A1330" s="15"/>
      <c r="B1330" s="15"/>
      <c r="C1330" s="19"/>
    </row>
    <row r="1331" spans="1:3">
      <c r="A1331" s="12"/>
      <c r="B1331" s="12"/>
      <c r="C1331" s="27"/>
    </row>
    <row r="1332" spans="1:3">
      <c r="A1332" s="15"/>
      <c r="B1332" s="15"/>
      <c r="C1332" s="19"/>
    </row>
    <row r="1333" spans="1:3">
      <c r="A1333" s="12"/>
      <c r="B1333" s="12"/>
      <c r="C1333" s="27"/>
    </row>
    <row r="1334" spans="1:3">
      <c r="A1334" s="15"/>
      <c r="B1334" s="15"/>
      <c r="C1334" s="19"/>
    </row>
    <row r="1335" spans="1:3">
      <c r="A1335" s="12"/>
      <c r="B1335" s="12"/>
      <c r="C1335" s="27"/>
    </row>
    <row r="1336" spans="1:3">
      <c r="A1336" s="15"/>
      <c r="B1336" s="15"/>
      <c r="C1336" s="19"/>
    </row>
    <row r="1337" spans="1:3">
      <c r="A1337" s="12"/>
      <c r="B1337" s="12"/>
      <c r="C1337" s="27"/>
    </row>
    <row r="1338" spans="1:3">
      <c r="A1338" s="15"/>
      <c r="B1338" s="15"/>
      <c r="C1338" s="19"/>
    </row>
    <row r="1339" spans="1:3">
      <c r="A1339" s="12"/>
      <c r="B1339" s="12"/>
      <c r="C1339" s="27"/>
    </row>
    <row r="1340" spans="1:3">
      <c r="A1340" s="15"/>
      <c r="B1340" s="15"/>
      <c r="C1340" s="19"/>
    </row>
    <row r="1341" spans="1:3">
      <c r="A1341" s="12"/>
      <c r="B1341" s="12"/>
      <c r="C1341" s="27"/>
    </row>
    <row r="1342" spans="1:3">
      <c r="A1342" s="15"/>
      <c r="B1342" s="15"/>
      <c r="C1342" s="19"/>
    </row>
    <row r="1343" spans="1:3">
      <c r="A1343" s="12"/>
      <c r="B1343" s="12"/>
      <c r="C1343" s="27"/>
    </row>
    <row r="1344" spans="1:3">
      <c r="A1344" s="15"/>
      <c r="B1344" s="15"/>
      <c r="C1344" s="19"/>
    </row>
    <row r="1345" spans="1:3">
      <c r="A1345" s="12"/>
      <c r="B1345" s="12"/>
      <c r="C1345" s="27"/>
    </row>
    <row r="1346" spans="1:3">
      <c r="A1346" s="15"/>
      <c r="B1346" s="15"/>
      <c r="C1346" s="19"/>
    </row>
    <row r="1347" spans="1:3">
      <c r="A1347" s="12"/>
      <c r="B1347" s="12"/>
      <c r="C1347" s="27"/>
    </row>
    <row r="1348" spans="1:3">
      <c r="A1348" s="15"/>
      <c r="B1348" s="15"/>
      <c r="C1348" s="19"/>
    </row>
    <row r="1349" spans="1:3">
      <c r="A1349" s="12"/>
      <c r="B1349" s="12"/>
      <c r="C1349" s="27"/>
    </row>
    <row r="1350" spans="1:3">
      <c r="A1350" s="15"/>
      <c r="B1350" s="15"/>
      <c r="C1350" s="19"/>
    </row>
    <row r="1351" spans="1:3">
      <c r="A1351" s="12"/>
      <c r="B1351" s="12"/>
      <c r="C1351" s="27"/>
    </row>
    <row r="1352" spans="1:3">
      <c r="A1352" s="15"/>
      <c r="B1352" s="15"/>
      <c r="C1352" s="19"/>
    </row>
    <row r="1353" spans="1:3">
      <c r="A1353" s="12"/>
      <c r="B1353" s="12"/>
      <c r="C1353" s="27"/>
    </row>
    <row r="1354" spans="1:3">
      <c r="A1354" s="15"/>
      <c r="B1354" s="15"/>
      <c r="C1354" s="19"/>
    </row>
    <row r="1355" spans="1:3">
      <c r="A1355" s="12"/>
      <c r="B1355" s="12"/>
      <c r="C1355" s="27"/>
    </row>
    <row r="1356" spans="1:3">
      <c r="A1356" s="15"/>
      <c r="B1356" s="15"/>
      <c r="C1356" s="19"/>
    </row>
    <row r="1357" spans="1:3">
      <c r="A1357" s="12"/>
      <c r="B1357" s="12"/>
      <c r="C1357" s="27"/>
    </row>
    <row r="1358" spans="1:3">
      <c r="A1358" s="15"/>
      <c r="B1358" s="15"/>
      <c r="C1358" s="19"/>
    </row>
    <row r="1359" spans="1:3">
      <c r="A1359" s="12"/>
      <c r="B1359" s="12"/>
      <c r="C1359" s="27"/>
    </row>
    <row r="1360" spans="1:3">
      <c r="A1360" s="15"/>
      <c r="B1360" s="15"/>
      <c r="C1360" s="19"/>
    </row>
    <row r="1361" spans="1:3">
      <c r="A1361" s="12"/>
      <c r="B1361" s="12"/>
      <c r="C1361" s="27"/>
    </row>
    <row r="1362" spans="1:3">
      <c r="A1362" s="15"/>
      <c r="B1362" s="15"/>
      <c r="C1362" s="19"/>
    </row>
    <row r="1363" spans="1:3">
      <c r="A1363" s="12"/>
      <c r="B1363" s="12"/>
      <c r="C1363" s="27"/>
    </row>
    <row r="1364" spans="1:3">
      <c r="A1364" s="15"/>
      <c r="B1364" s="15"/>
      <c r="C1364" s="19"/>
    </row>
    <row r="1365" spans="1:3">
      <c r="A1365" s="12"/>
      <c r="B1365" s="12"/>
      <c r="C1365" s="27"/>
    </row>
    <row r="1366" spans="1:3">
      <c r="A1366" s="15"/>
      <c r="B1366" s="15"/>
      <c r="C1366" s="19"/>
    </row>
    <row r="1367" spans="1:3">
      <c r="A1367" s="12"/>
      <c r="B1367" s="12"/>
      <c r="C1367" s="27"/>
    </row>
    <row r="1368" spans="1:3">
      <c r="A1368" s="15"/>
      <c r="B1368" s="15"/>
      <c r="C1368" s="19"/>
    </row>
    <row r="1369" spans="1:3">
      <c r="A1369" s="12"/>
      <c r="B1369" s="12"/>
      <c r="C1369" s="27"/>
    </row>
    <row r="1370" spans="1:3">
      <c r="A1370" s="15"/>
      <c r="B1370" s="15"/>
      <c r="C1370" s="19"/>
    </row>
    <row r="1371" spans="1:3">
      <c r="A1371" s="12"/>
      <c r="B1371" s="12"/>
      <c r="C1371" s="27"/>
    </row>
    <row r="1372" spans="1:3">
      <c r="A1372" s="15"/>
      <c r="B1372" s="15"/>
      <c r="C1372" s="19"/>
    </row>
    <row r="1373" spans="1:3">
      <c r="A1373" s="12"/>
      <c r="B1373" s="12"/>
      <c r="C1373" s="27"/>
    </row>
    <row r="1374" spans="1:3">
      <c r="A1374" s="15"/>
      <c r="B1374" s="15"/>
      <c r="C1374" s="19"/>
    </row>
    <row r="1375" spans="1:3">
      <c r="A1375" s="12"/>
      <c r="B1375" s="12"/>
      <c r="C1375" s="27"/>
    </row>
    <row r="1376" spans="1:3">
      <c r="A1376" s="15"/>
      <c r="B1376" s="15"/>
      <c r="C1376" s="19"/>
    </row>
    <row r="1377" spans="1:3">
      <c r="A1377" s="12"/>
      <c r="B1377" s="12"/>
      <c r="C1377" s="27"/>
    </row>
    <row r="1378" spans="1:3">
      <c r="A1378" s="15"/>
      <c r="B1378" s="15"/>
      <c r="C1378" s="19"/>
    </row>
    <row r="1379" spans="1:3">
      <c r="A1379" s="12"/>
      <c r="B1379" s="12"/>
      <c r="C1379" s="27"/>
    </row>
    <row r="1380" spans="1:3">
      <c r="A1380" s="15"/>
      <c r="B1380" s="15"/>
      <c r="C1380" s="19"/>
    </row>
    <row r="1381" spans="1:3">
      <c r="A1381" s="12"/>
      <c r="B1381" s="12"/>
      <c r="C1381" s="27"/>
    </row>
    <row r="1382" spans="1:3">
      <c r="A1382" s="15"/>
      <c r="B1382" s="15"/>
      <c r="C1382" s="19"/>
    </row>
    <row r="1383" spans="1:3">
      <c r="A1383" s="12"/>
      <c r="B1383" s="12"/>
      <c r="C1383" s="27"/>
    </row>
    <row r="1384" spans="1:3">
      <c r="A1384" s="15"/>
      <c r="B1384" s="15"/>
      <c r="C1384" s="19"/>
    </row>
    <row r="1385" spans="1:3">
      <c r="A1385" s="12"/>
      <c r="B1385" s="12"/>
      <c r="C1385" s="27"/>
    </row>
    <row r="1386" spans="1:3">
      <c r="A1386" s="15"/>
      <c r="B1386" s="15"/>
      <c r="C1386" s="19"/>
    </row>
    <row r="1387" spans="1:3">
      <c r="A1387" s="12"/>
      <c r="B1387" s="12"/>
      <c r="C1387" s="27"/>
    </row>
    <row r="1388" spans="1:3">
      <c r="A1388" s="15"/>
      <c r="B1388" s="15"/>
      <c r="C1388" s="19"/>
    </row>
    <row r="1389" spans="1:3">
      <c r="A1389" s="12"/>
      <c r="B1389" s="12"/>
      <c r="C1389" s="27"/>
    </row>
    <row r="1390" spans="1:3">
      <c r="A1390" s="15"/>
      <c r="B1390" s="15"/>
      <c r="C1390" s="19"/>
    </row>
    <row r="1391" spans="1:3">
      <c r="A1391" s="12"/>
      <c r="B1391" s="12"/>
      <c r="C1391" s="27"/>
    </row>
    <row r="1392" spans="1:3">
      <c r="A1392" s="15"/>
      <c r="B1392" s="15"/>
      <c r="C1392" s="19"/>
    </row>
    <row r="1393" spans="1:3">
      <c r="A1393" s="12"/>
      <c r="B1393" s="12"/>
      <c r="C1393" s="27"/>
    </row>
    <row r="1394" spans="1:3">
      <c r="A1394" s="15"/>
      <c r="B1394" s="15"/>
      <c r="C1394" s="19"/>
    </row>
    <row r="1395" spans="1:3">
      <c r="A1395" s="12"/>
      <c r="B1395" s="12"/>
      <c r="C1395" s="27"/>
    </row>
    <row r="1396" spans="1:3">
      <c r="A1396" s="15"/>
      <c r="B1396" s="15"/>
      <c r="C1396" s="19"/>
    </row>
    <row r="1397" spans="1:3">
      <c r="A1397" s="12"/>
      <c r="B1397" s="12"/>
      <c r="C1397" s="27"/>
    </row>
    <row r="1398" spans="1:3">
      <c r="A1398" s="15"/>
      <c r="B1398" s="15"/>
      <c r="C1398" s="19"/>
    </row>
    <row r="1399" spans="1:3">
      <c r="A1399" s="12"/>
      <c r="B1399" s="12"/>
      <c r="C1399" s="27"/>
    </row>
    <row r="1400" spans="1:3">
      <c r="A1400" s="15"/>
      <c r="B1400" s="15"/>
      <c r="C1400" s="19"/>
    </row>
    <row r="1401" spans="1:3">
      <c r="A1401" s="12"/>
      <c r="B1401" s="12"/>
      <c r="C1401" s="27"/>
    </row>
    <row r="1402" spans="1:3">
      <c r="A1402" s="15"/>
      <c r="B1402" s="15"/>
      <c r="C1402" s="19"/>
    </row>
    <row r="1403" spans="1:3">
      <c r="A1403" s="12"/>
      <c r="B1403" s="12"/>
      <c r="C1403" s="27"/>
    </row>
    <row r="1404" spans="1:3">
      <c r="A1404" s="15"/>
      <c r="B1404" s="15"/>
      <c r="C1404" s="19"/>
    </row>
    <row r="1405" spans="1:3">
      <c r="A1405" s="12"/>
      <c r="B1405" s="12"/>
      <c r="C1405" s="27"/>
    </row>
    <row r="1406" spans="1:3">
      <c r="A1406" s="15"/>
      <c r="B1406" s="15"/>
      <c r="C1406" s="19"/>
    </row>
    <row r="1407" spans="1:3">
      <c r="A1407" s="12"/>
      <c r="B1407" s="12"/>
      <c r="C1407" s="27"/>
    </row>
    <row r="1408" spans="1:3">
      <c r="A1408" s="15"/>
      <c r="B1408" s="15"/>
      <c r="C1408" s="19"/>
    </row>
    <row r="1409" spans="1:3">
      <c r="A1409" s="12"/>
      <c r="B1409" s="12"/>
      <c r="C1409" s="27"/>
    </row>
    <row r="1410" spans="1:3">
      <c r="A1410" s="15"/>
      <c r="B1410" s="15"/>
      <c r="C1410" s="19"/>
    </row>
    <row r="1411" spans="1:3">
      <c r="A1411" s="12"/>
      <c r="B1411" s="12"/>
      <c r="C1411" s="27"/>
    </row>
    <row r="1412" spans="1:3">
      <c r="A1412" s="15"/>
      <c r="B1412" s="15"/>
      <c r="C1412" s="19"/>
    </row>
    <row r="1413" spans="1:3">
      <c r="A1413" s="12"/>
      <c r="B1413" s="12"/>
      <c r="C1413" s="27"/>
    </row>
    <row r="1414" spans="1:3">
      <c r="A1414" s="15"/>
      <c r="B1414" s="15"/>
      <c r="C1414" s="19"/>
    </row>
    <row r="1415" spans="1:3">
      <c r="A1415" s="12"/>
      <c r="B1415" s="12"/>
      <c r="C1415" s="27"/>
    </row>
    <row r="1416" spans="1:3">
      <c r="A1416" s="15"/>
      <c r="B1416" s="15"/>
      <c r="C1416" s="19"/>
    </row>
    <row r="1417" spans="1:3">
      <c r="A1417" s="12"/>
      <c r="B1417" s="12"/>
      <c r="C1417" s="27"/>
    </row>
    <row r="1418" spans="1:3">
      <c r="A1418" s="15"/>
      <c r="B1418" s="15"/>
      <c r="C1418" s="19"/>
    </row>
    <row r="1419" spans="1:3">
      <c r="A1419" s="12"/>
      <c r="B1419" s="12"/>
      <c r="C1419" s="27"/>
    </row>
    <row r="1420" spans="1:3">
      <c r="A1420" s="15"/>
      <c r="B1420" s="15"/>
      <c r="C1420" s="19"/>
    </row>
    <row r="1421" spans="1:3">
      <c r="A1421" s="12"/>
      <c r="B1421" s="12"/>
      <c r="C1421" s="27"/>
    </row>
    <row r="1422" spans="1:3">
      <c r="A1422" s="15"/>
      <c r="B1422" s="15"/>
      <c r="C1422" s="19"/>
    </row>
    <row r="1423" spans="1:3">
      <c r="A1423" s="12"/>
      <c r="B1423" s="12"/>
      <c r="C1423" s="27"/>
    </row>
    <row r="1424" spans="1:3">
      <c r="A1424" s="15"/>
      <c r="B1424" s="15"/>
      <c r="C1424" s="19"/>
    </row>
    <row r="1425" spans="1:3">
      <c r="A1425" s="12"/>
      <c r="B1425" s="12"/>
      <c r="C1425" s="27"/>
    </row>
    <row r="1426" spans="1:3">
      <c r="A1426" s="15"/>
      <c r="B1426" s="15"/>
      <c r="C1426" s="19"/>
    </row>
    <row r="1427" spans="1:3">
      <c r="A1427" s="12"/>
      <c r="B1427" s="12"/>
      <c r="C1427" s="27"/>
    </row>
    <row r="1428" spans="1:3">
      <c r="A1428" s="15"/>
      <c r="B1428" s="15"/>
      <c r="C1428" s="19"/>
    </row>
    <row r="1429" spans="1:3">
      <c r="A1429" s="12"/>
      <c r="B1429" s="12"/>
      <c r="C1429" s="27"/>
    </row>
    <row r="1430" spans="1:3">
      <c r="A1430" s="15"/>
      <c r="B1430" s="15"/>
      <c r="C1430" s="19"/>
    </row>
    <row r="1431" spans="1:3">
      <c r="A1431" s="12"/>
      <c r="B1431" s="12"/>
      <c r="C1431" s="27"/>
    </row>
    <row r="1432" spans="1:3">
      <c r="A1432" s="15"/>
      <c r="B1432" s="15"/>
      <c r="C1432" s="19"/>
    </row>
    <row r="1433" spans="1:3">
      <c r="A1433" s="12"/>
      <c r="B1433" s="12"/>
      <c r="C1433" s="27"/>
    </row>
    <row r="1434" spans="1:3">
      <c r="A1434" s="15"/>
      <c r="B1434" s="15"/>
      <c r="C1434" s="19"/>
    </row>
    <row r="1435" spans="1:3">
      <c r="A1435" s="12"/>
      <c r="B1435" s="12"/>
      <c r="C1435" s="27"/>
    </row>
    <row r="1436" spans="1:3">
      <c r="A1436" s="15"/>
      <c r="B1436" s="15"/>
      <c r="C1436" s="19"/>
    </row>
    <row r="1437" spans="1:3">
      <c r="A1437" s="12"/>
      <c r="B1437" s="12"/>
      <c r="C1437" s="27"/>
    </row>
    <row r="1438" spans="1:3">
      <c r="A1438" s="15"/>
      <c r="B1438" s="15"/>
      <c r="C1438" s="19"/>
    </row>
    <row r="1439" spans="1:3">
      <c r="A1439" s="12"/>
      <c r="B1439" s="12"/>
      <c r="C1439" s="27"/>
    </row>
    <row r="1440" spans="1:3">
      <c r="A1440" s="15"/>
      <c r="B1440" s="15"/>
      <c r="C1440" s="19"/>
    </row>
    <row r="1441" spans="1:3">
      <c r="A1441" s="12"/>
      <c r="B1441" s="12"/>
      <c r="C1441" s="27"/>
    </row>
    <row r="1442" spans="1:3">
      <c r="A1442" s="15"/>
      <c r="B1442" s="15"/>
      <c r="C1442" s="19"/>
    </row>
    <row r="1443" spans="1:3">
      <c r="A1443" s="12"/>
      <c r="B1443" s="12"/>
      <c r="C1443" s="27"/>
    </row>
    <row r="1444" spans="1:3">
      <c r="A1444" s="15"/>
      <c r="B1444" s="15"/>
      <c r="C1444" s="19"/>
    </row>
    <row r="1445" spans="1:3">
      <c r="A1445" s="12"/>
      <c r="B1445" s="12"/>
      <c r="C1445" s="27"/>
    </row>
    <row r="1446" spans="1:3">
      <c r="A1446" s="15"/>
      <c r="B1446" s="15"/>
      <c r="C1446" s="19"/>
    </row>
    <row r="1447" spans="1:3">
      <c r="A1447" s="12"/>
      <c r="B1447" s="12"/>
      <c r="C1447" s="27"/>
    </row>
    <row r="1448" spans="1:3">
      <c r="A1448" s="15"/>
      <c r="B1448" s="15"/>
      <c r="C1448" s="19"/>
    </row>
    <row r="1449" spans="1:3">
      <c r="A1449" s="12"/>
      <c r="B1449" s="12"/>
      <c r="C1449" s="27"/>
    </row>
    <row r="1450" spans="1:3">
      <c r="A1450" s="15"/>
      <c r="B1450" s="15"/>
      <c r="C1450" s="19"/>
    </row>
    <row r="1451" spans="1:3">
      <c r="A1451" s="12"/>
      <c r="B1451" s="12"/>
      <c r="C1451" s="27"/>
    </row>
    <row r="1452" spans="1:3">
      <c r="A1452" s="15"/>
      <c r="B1452" s="15"/>
      <c r="C1452" s="19"/>
    </row>
    <row r="1453" spans="1:3">
      <c r="A1453" s="12"/>
      <c r="B1453" s="12"/>
      <c r="C1453" s="27"/>
    </row>
    <row r="1454" spans="1:3">
      <c r="A1454" s="15"/>
      <c r="B1454" s="15"/>
      <c r="C1454" s="19"/>
    </row>
    <row r="1455" spans="1:3">
      <c r="A1455" s="12"/>
      <c r="B1455" s="12"/>
      <c r="C1455" s="27"/>
    </row>
    <row r="1456" spans="1:3">
      <c r="A1456" s="15"/>
      <c r="B1456" s="15"/>
      <c r="C1456" s="19"/>
    </row>
    <row r="1457" spans="1:3">
      <c r="A1457" s="12"/>
      <c r="B1457" s="12"/>
      <c r="C1457" s="27"/>
    </row>
    <row r="1458" spans="1:3">
      <c r="A1458" s="15"/>
      <c r="B1458" s="15"/>
      <c r="C1458" s="19"/>
    </row>
    <row r="1459" spans="1:3">
      <c r="A1459" s="12"/>
      <c r="B1459" s="12"/>
      <c r="C1459" s="27"/>
    </row>
    <row r="1460" spans="1:3">
      <c r="A1460" s="15"/>
      <c r="B1460" s="15"/>
      <c r="C1460" s="19"/>
    </row>
    <row r="1461" spans="1:3">
      <c r="A1461" s="12"/>
      <c r="B1461" s="12"/>
      <c r="C1461" s="27"/>
    </row>
    <row r="1462" spans="1:3">
      <c r="A1462" s="15"/>
      <c r="B1462" s="15"/>
      <c r="C1462" s="19"/>
    </row>
    <row r="1463" spans="1:3">
      <c r="A1463" s="12"/>
      <c r="B1463" s="12"/>
      <c r="C1463" s="27"/>
    </row>
    <row r="1464" spans="1:3">
      <c r="A1464" s="15"/>
      <c r="B1464" s="15"/>
      <c r="C1464" s="19"/>
    </row>
    <row r="1465" spans="1:3">
      <c r="A1465" s="12"/>
      <c r="B1465" s="12"/>
      <c r="C1465" s="27"/>
    </row>
    <row r="1466" spans="1:3">
      <c r="A1466" s="15"/>
      <c r="B1466" s="15"/>
      <c r="C1466" s="19"/>
    </row>
    <row r="1467" spans="1:3">
      <c r="A1467" s="12"/>
      <c r="B1467" s="12"/>
      <c r="C1467" s="27"/>
    </row>
    <row r="1468" spans="1:3">
      <c r="A1468" s="15"/>
      <c r="B1468" s="15"/>
      <c r="C1468" s="19"/>
    </row>
    <row r="1469" spans="1:3">
      <c r="A1469" s="12"/>
      <c r="B1469" s="12"/>
      <c r="C1469" s="27"/>
    </row>
    <row r="1470" spans="1:3">
      <c r="A1470" s="15"/>
      <c r="B1470" s="15"/>
      <c r="C1470" s="19"/>
    </row>
    <row r="1471" spans="1:3">
      <c r="A1471" s="12"/>
      <c r="B1471" s="12"/>
      <c r="C1471" s="27"/>
    </row>
    <row r="1472" spans="1:3">
      <c r="A1472" s="15"/>
      <c r="B1472" s="15"/>
      <c r="C1472" s="19"/>
    </row>
    <row r="1473" spans="1:3">
      <c r="A1473" s="12"/>
      <c r="B1473" s="12"/>
      <c r="C1473" s="27"/>
    </row>
    <row r="1474" spans="1:3">
      <c r="A1474" s="15"/>
      <c r="B1474" s="15"/>
      <c r="C1474" s="19"/>
    </row>
    <row r="1475" spans="1:3">
      <c r="A1475" s="12"/>
      <c r="B1475" s="12"/>
      <c r="C1475" s="27"/>
    </row>
    <row r="1476" spans="1:3">
      <c r="A1476" s="15"/>
      <c r="B1476" s="15"/>
      <c r="C1476" s="19"/>
    </row>
    <row r="1477" spans="1:3">
      <c r="A1477" s="12"/>
      <c r="B1477" s="12"/>
      <c r="C1477" s="27"/>
    </row>
    <row r="1478" spans="1:3">
      <c r="A1478" s="15"/>
      <c r="B1478" s="15"/>
      <c r="C1478" s="19"/>
    </row>
    <row r="1479" spans="1:3">
      <c r="A1479" s="12"/>
      <c r="B1479" s="12"/>
      <c r="C1479" s="27"/>
    </row>
    <row r="1480" spans="1:3">
      <c r="A1480" s="15"/>
      <c r="B1480" s="15"/>
      <c r="C1480" s="19"/>
    </row>
    <row r="1481" spans="1:3">
      <c r="A1481" s="12"/>
      <c r="B1481" s="12"/>
      <c r="C1481" s="27"/>
    </row>
    <row r="1482" spans="1:3">
      <c r="A1482" s="15"/>
      <c r="B1482" s="15"/>
      <c r="C1482" s="19"/>
    </row>
    <row r="1483" spans="1:3">
      <c r="A1483" s="12"/>
      <c r="B1483" s="12"/>
      <c r="C1483" s="27"/>
    </row>
    <row r="1484" spans="1:3">
      <c r="A1484" s="15"/>
      <c r="B1484" s="15"/>
      <c r="C1484" s="19"/>
    </row>
    <row r="1485" spans="1:3">
      <c r="A1485" s="12"/>
      <c r="B1485" s="12"/>
      <c r="C1485" s="27"/>
    </row>
    <row r="1486" spans="1:3">
      <c r="A1486" s="15"/>
      <c r="B1486" s="15"/>
      <c r="C1486" s="19"/>
    </row>
    <row r="1487" spans="1:3">
      <c r="A1487" s="12"/>
      <c r="B1487" s="12"/>
      <c r="C1487" s="27"/>
    </row>
    <row r="1488" spans="1:3">
      <c r="A1488" s="15"/>
      <c r="B1488" s="15"/>
      <c r="C1488" s="19"/>
    </row>
    <row r="1489" spans="1:3">
      <c r="A1489" s="12"/>
      <c r="B1489" s="12"/>
      <c r="C1489" s="27"/>
    </row>
    <row r="1490" spans="1:3">
      <c r="A1490" s="15"/>
      <c r="B1490" s="15"/>
      <c r="C1490" s="19"/>
    </row>
    <row r="1491" spans="1:3">
      <c r="A1491" s="12"/>
      <c r="B1491" s="12"/>
      <c r="C1491" s="27"/>
    </row>
    <row r="1492" spans="1:3">
      <c r="A1492" s="15"/>
      <c r="B1492" s="15"/>
      <c r="C1492" s="19"/>
    </row>
    <row r="1493" spans="1:3">
      <c r="A1493" s="12"/>
      <c r="B1493" s="12"/>
      <c r="C1493" s="27"/>
    </row>
    <row r="1494" spans="1:3">
      <c r="A1494" s="15"/>
      <c r="B1494" s="15"/>
      <c r="C1494" s="19"/>
    </row>
    <row r="1495" spans="1:3">
      <c r="A1495" s="12"/>
      <c r="B1495" s="12"/>
      <c r="C1495" s="27"/>
    </row>
    <row r="1496" spans="1:3">
      <c r="A1496" s="15"/>
      <c r="B1496" s="15"/>
      <c r="C1496" s="19"/>
    </row>
    <row r="1497" spans="1:3">
      <c r="A1497" s="12"/>
      <c r="B1497" s="12"/>
      <c r="C1497" s="27"/>
    </row>
    <row r="1498" spans="1:3">
      <c r="A1498" s="15"/>
      <c r="B1498" s="15"/>
      <c r="C1498" s="19"/>
    </row>
    <row r="1499" spans="1:3">
      <c r="A1499" s="12"/>
      <c r="B1499" s="12"/>
      <c r="C1499" s="27"/>
    </row>
    <row r="1500" spans="1:3">
      <c r="A1500" s="15"/>
      <c r="B1500" s="15"/>
      <c r="C1500" s="19"/>
    </row>
    <row r="1501" spans="1:3">
      <c r="A1501" s="12"/>
      <c r="B1501" s="12"/>
      <c r="C1501" s="27"/>
    </row>
    <row r="1502" spans="1:3">
      <c r="A1502" s="15"/>
      <c r="B1502" s="15"/>
      <c r="C1502" s="19"/>
    </row>
    <row r="1503" spans="1:3">
      <c r="A1503" s="12"/>
      <c r="B1503" s="12"/>
      <c r="C1503" s="27"/>
    </row>
    <row r="1504" spans="1:3">
      <c r="A1504" s="15"/>
      <c r="B1504" s="15"/>
      <c r="C1504" s="19"/>
    </row>
    <row r="1505" spans="1:3">
      <c r="A1505" s="12"/>
      <c r="B1505" s="12"/>
      <c r="C1505" s="27"/>
    </row>
    <row r="1506" spans="1:3">
      <c r="A1506" s="15"/>
      <c r="B1506" s="15"/>
      <c r="C1506" s="19"/>
    </row>
    <row r="1507" spans="1:3">
      <c r="A1507" s="12"/>
      <c r="B1507" s="12"/>
      <c r="C1507" s="27"/>
    </row>
    <row r="1508" spans="1:3">
      <c r="A1508" s="15"/>
      <c r="B1508" s="15"/>
      <c r="C1508" s="19"/>
    </row>
    <row r="1509" spans="1:3">
      <c r="A1509" s="12"/>
      <c r="B1509" s="12"/>
      <c r="C1509" s="27"/>
    </row>
    <row r="1510" spans="1:3">
      <c r="A1510" s="15"/>
      <c r="B1510" s="15"/>
      <c r="C1510" s="19"/>
    </row>
    <row r="1511" spans="1:3">
      <c r="A1511" s="12"/>
      <c r="B1511" s="12"/>
      <c r="C1511" s="27"/>
    </row>
    <row r="1512" spans="1:3">
      <c r="A1512" s="15"/>
      <c r="B1512" s="15"/>
      <c r="C1512" s="19"/>
    </row>
    <row r="1513" spans="1:3">
      <c r="A1513" s="12"/>
      <c r="B1513" s="12"/>
      <c r="C1513" s="27"/>
    </row>
    <row r="1514" spans="1:3">
      <c r="A1514" s="15"/>
      <c r="B1514" s="15"/>
      <c r="C1514" s="19"/>
    </row>
    <row r="1515" spans="1:3">
      <c r="A1515" s="12"/>
      <c r="B1515" s="12"/>
      <c r="C1515" s="27"/>
    </row>
    <row r="1516" spans="1:3">
      <c r="A1516" s="15"/>
      <c r="B1516" s="15"/>
      <c r="C1516" s="19"/>
    </row>
    <row r="1517" spans="1:3">
      <c r="A1517" s="12"/>
      <c r="B1517" s="12"/>
      <c r="C1517" s="27"/>
    </row>
    <row r="1518" spans="1:3">
      <c r="A1518" s="15"/>
      <c r="B1518" s="15"/>
      <c r="C1518" s="19"/>
    </row>
    <row r="1519" spans="1:3">
      <c r="A1519" s="12"/>
      <c r="B1519" s="12"/>
      <c r="C1519" s="27"/>
    </row>
    <row r="1520" spans="1:3">
      <c r="A1520" s="15"/>
      <c r="B1520" s="15"/>
      <c r="C1520" s="19"/>
    </row>
    <row r="1521" spans="1:3">
      <c r="A1521" s="12"/>
      <c r="B1521" s="12"/>
      <c r="C1521" s="27"/>
    </row>
    <row r="1522" spans="1:3">
      <c r="A1522" s="15"/>
      <c r="B1522" s="15"/>
      <c r="C1522" s="19"/>
    </row>
    <row r="1523" spans="1:3">
      <c r="A1523" s="12"/>
      <c r="B1523" s="12"/>
      <c r="C1523" s="27"/>
    </row>
    <row r="1524" spans="1:3">
      <c r="A1524" s="15"/>
      <c r="B1524" s="15"/>
      <c r="C1524" s="19"/>
    </row>
    <row r="1525" spans="1:3">
      <c r="A1525" s="12"/>
      <c r="B1525" s="12"/>
      <c r="C1525" s="27"/>
    </row>
    <row r="1526" spans="1:3">
      <c r="A1526" s="15"/>
      <c r="B1526" s="15"/>
      <c r="C1526" s="19"/>
    </row>
    <row r="1527" spans="1:3">
      <c r="A1527" s="12"/>
      <c r="B1527" s="12"/>
      <c r="C1527" s="27"/>
    </row>
    <row r="1528" spans="1:3">
      <c r="A1528" s="15"/>
      <c r="B1528" s="15"/>
      <c r="C1528" s="19"/>
    </row>
    <row r="1529" spans="1:3">
      <c r="A1529" s="12"/>
      <c r="B1529" s="12"/>
      <c r="C1529" s="27"/>
    </row>
    <row r="1530" spans="1:3">
      <c r="A1530" s="15"/>
      <c r="B1530" s="15"/>
      <c r="C1530" s="19"/>
    </row>
    <row r="1531" spans="1:3">
      <c r="A1531" s="12"/>
      <c r="B1531" s="12"/>
      <c r="C1531" s="27"/>
    </row>
    <row r="1532" spans="1:3">
      <c r="A1532" s="15"/>
      <c r="B1532" s="15"/>
      <c r="C1532" s="19"/>
    </row>
    <row r="1533" spans="1:3">
      <c r="A1533" s="12"/>
      <c r="B1533" s="12"/>
      <c r="C1533" s="27"/>
    </row>
    <row r="1534" spans="1:3">
      <c r="A1534" s="15"/>
      <c r="B1534" s="15"/>
      <c r="C1534" s="19"/>
    </row>
    <row r="1535" spans="1:3">
      <c r="A1535" s="12"/>
      <c r="B1535" s="12"/>
      <c r="C1535" s="27"/>
    </row>
    <row r="1536" spans="1:3">
      <c r="A1536" s="15"/>
      <c r="B1536" s="15"/>
      <c r="C1536" s="19"/>
    </row>
    <row r="1537" spans="1:3">
      <c r="A1537" s="12"/>
      <c r="B1537" s="12"/>
      <c r="C1537" s="27"/>
    </row>
    <row r="1538" spans="1:3">
      <c r="A1538" s="15"/>
      <c r="B1538" s="15"/>
      <c r="C1538" s="19"/>
    </row>
    <row r="1539" spans="1:3">
      <c r="A1539" s="12"/>
      <c r="B1539" s="12"/>
      <c r="C1539" s="27"/>
    </row>
    <row r="1540" spans="1:3">
      <c r="A1540" s="15"/>
      <c r="B1540" s="15"/>
      <c r="C1540" s="19"/>
    </row>
    <row r="1541" spans="1:3">
      <c r="A1541" s="12"/>
      <c r="B1541" s="12"/>
      <c r="C1541" s="27"/>
    </row>
    <row r="1542" spans="1:3">
      <c r="A1542" s="15"/>
      <c r="B1542" s="15"/>
      <c r="C1542" s="19"/>
    </row>
    <row r="1543" spans="1:3">
      <c r="A1543" s="12"/>
      <c r="B1543" s="12"/>
      <c r="C1543" s="27"/>
    </row>
    <row r="1544" spans="1:3">
      <c r="A1544" s="15"/>
      <c r="B1544" s="15"/>
      <c r="C1544" s="19"/>
    </row>
    <row r="1545" spans="1:3">
      <c r="A1545" s="12"/>
      <c r="B1545" s="12"/>
      <c r="C1545" s="27"/>
    </row>
    <row r="1546" spans="1:3">
      <c r="A1546" s="15"/>
      <c r="B1546" s="15"/>
      <c r="C1546" s="19"/>
    </row>
    <row r="1547" spans="1:3">
      <c r="A1547" s="12"/>
      <c r="B1547" s="12"/>
      <c r="C1547" s="27"/>
    </row>
    <row r="1548" spans="1:3">
      <c r="A1548" s="15"/>
      <c r="B1548" s="15"/>
      <c r="C1548" s="19"/>
    </row>
    <row r="1549" spans="1:3">
      <c r="A1549" s="12"/>
      <c r="B1549" s="12"/>
      <c r="C1549" s="27"/>
    </row>
    <row r="1550" spans="1:3">
      <c r="A1550" s="15"/>
      <c r="B1550" s="15"/>
      <c r="C1550" s="19"/>
    </row>
    <row r="1551" spans="1:3">
      <c r="A1551" s="12"/>
      <c r="B1551" s="12"/>
      <c r="C1551" s="27"/>
    </row>
    <row r="1552" spans="1:3">
      <c r="A1552" s="15"/>
      <c r="B1552" s="15"/>
      <c r="C1552" s="19"/>
    </row>
    <row r="1553" spans="1:3">
      <c r="A1553" s="12"/>
      <c r="B1553" s="12"/>
      <c r="C1553" s="27"/>
    </row>
    <row r="1554" spans="1:3">
      <c r="A1554" s="15"/>
      <c r="B1554" s="15"/>
      <c r="C1554" s="19"/>
    </row>
    <row r="1555" spans="1:3">
      <c r="A1555" s="12"/>
      <c r="B1555" s="12"/>
      <c r="C1555" s="27"/>
    </row>
    <row r="1556" spans="1:3">
      <c r="A1556" s="15"/>
      <c r="B1556" s="15"/>
      <c r="C1556" s="19"/>
    </row>
    <row r="1557" spans="1:3">
      <c r="A1557" s="12"/>
      <c r="B1557" s="12"/>
      <c r="C1557" s="27"/>
    </row>
    <row r="1558" spans="1:3">
      <c r="A1558" s="15"/>
      <c r="B1558" s="15"/>
      <c r="C1558" s="19"/>
    </row>
    <row r="1559" spans="1:3">
      <c r="A1559" s="12"/>
      <c r="B1559" s="12"/>
      <c r="C1559" s="27"/>
    </row>
    <row r="1560" spans="1:3">
      <c r="A1560" s="15"/>
      <c r="B1560" s="15"/>
      <c r="C1560" s="19"/>
    </row>
    <row r="1561" spans="1:3">
      <c r="A1561" s="12"/>
      <c r="B1561" s="12"/>
      <c r="C1561" s="27"/>
    </row>
    <row r="1562" spans="1:3">
      <c r="A1562" s="15"/>
      <c r="B1562" s="15"/>
      <c r="C1562" s="19"/>
    </row>
    <row r="1563" spans="1:3">
      <c r="A1563" s="12"/>
      <c r="B1563" s="12"/>
      <c r="C1563" s="27"/>
    </row>
    <row r="1564" spans="1:3">
      <c r="A1564" s="15"/>
      <c r="B1564" s="15"/>
      <c r="C1564" s="19"/>
    </row>
    <row r="1565" spans="1:3">
      <c r="A1565" s="12"/>
      <c r="B1565" s="12"/>
      <c r="C1565" s="27"/>
    </row>
    <row r="1566" spans="1:3">
      <c r="A1566" s="15"/>
      <c r="B1566" s="15"/>
      <c r="C1566" s="19"/>
    </row>
    <row r="1567" spans="1:3">
      <c r="A1567" s="12"/>
      <c r="B1567" s="12"/>
      <c r="C1567" s="27"/>
    </row>
    <row r="1568" spans="1:3">
      <c r="A1568" s="15"/>
      <c r="B1568" s="15"/>
      <c r="C1568" s="19"/>
    </row>
    <row r="1569" spans="1:3">
      <c r="A1569" s="12"/>
      <c r="B1569" s="12"/>
      <c r="C1569" s="27"/>
    </row>
    <row r="1570" spans="1:3">
      <c r="A1570" s="15"/>
      <c r="B1570" s="15"/>
      <c r="C1570" s="19"/>
    </row>
    <row r="1571" spans="1:3">
      <c r="A1571" s="12"/>
      <c r="B1571" s="12"/>
      <c r="C1571" s="27"/>
    </row>
    <row r="1572" spans="1:3">
      <c r="A1572" s="15"/>
      <c r="B1572" s="15"/>
      <c r="C1572" s="19"/>
    </row>
    <row r="1573" spans="1:3">
      <c r="A1573" s="12"/>
      <c r="B1573" s="12"/>
      <c r="C1573" s="27"/>
    </row>
    <row r="1574" spans="1:3">
      <c r="A1574" s="15"/>
      <c r="B1574" s="15"/>
      <c r="C1574" s="19"/>
    </row>
    <row r="1575" spans="1:3">
      <c r="A1575" s="12"/>
      <c r="B1575" s="12"/>
      <c r="C1575" s="27"/>
    </row>
    <row r="1576" spans="1:3">
      <c r="A1576" s="15"/>
      <c r="B1576" s="15"/>
      <c r="C1576" s="19"/>
    </row>
    <row r="1577" spans="1:3">
      <c r="A1577" s="12"/>
      <c r="B1577" s="12"/>
      <c r="C1577" s="27"/>
    </row>
    <row r="1578" spans="1:3">
      <c r="A1578" s="15"/>
      <c r="B1578" s="15"/>
      <c r="C1578" s="19"/>
    </row>
    <row r="1579" spans="1:3">
      <c r="A1579" s="12"/>
      <c r="B1579" s="12"/>
      <c r="C1579" s="27"/>
    </row>
    <row r="1580" spans="1:3">
      <c r="A1580" s="15"/>
      <c r="B1580" s="15"/>
      <c r="C1580" s="19"/>
    </row>
    <row r="1581" spans="1:3">
      <c r="A1581" s="12"/>
      <c r="B1581" s="12"/>
      <c r="C1581" s="27"/>
    </row>
    <row r="1582" spans="1:3">
      <c r="A1582" s="15"/>
      <c r="B1582" s="15"/>
      <c r="C1582" s="19"/>
    </row>
    <row r="1583" spans="1:3">
      <c r="A1583" s="12"/>
      <c r="B1583" s="12"/>
      <c r="C1583" s="27"/>
    </row>
    <row r="1584" spans="1:3">
      <c r="A1584" s="15"/>
      <c r="B1584" s="15"/>
      <c r="C1584" s="19"/>
    </row>
    <row r="1585" spans="1:3">
      <c r="A1585" s="12"/>
      <c r="B1585" s="12"/>
      <c r="C1585" s="27"/>
    </row>
    <row r="1586" spans="1:3">
      <c r="A1586" s="15"/>
      <c r="B1586" s="15"/>
      <c r="C1586" s="19"/>
    </row>
    <row r="1587" spans="1:3">
      <c r="A1587" s="12"/>
      <c r="B1587" s="12"/>
      <c r="C1587" s="27"/>
    </row>
    <row r="1588" spans="1:3">
      <c r="A1588" s="15"/>
      <c r="B1588" s="15"/>
      <c r="C1588" s="19"/>
    </row>
    <row r="1589" spans="1:3">
      <c r="A1589" s="12"/>
      <c r="B1589" s="12"/>
      <c r="C1589" s="27"/>
    </row>
    <row r="1590" spans="1:3">
      <c r="A1590" s="15"/>
      <c r="B1590" s="15"/>
      <c r="C1590" s="19"/>
    </row>
    <row r="1591" spans="1:3">
      <c r="A1591" s="12"/>
      <c r="B1591" s="12"/>
      <c r="C1591" s="27"/>
    </row>
    <row r="1592" spans="1:3">
      <c r="A1592" s="15"/>
      <c r="B1592" s="15"/>
      <c r="C1592" s="19"/>
    </row>
    <row r="1593" spans="1:3">
      <c r="A1593" s="12"/>
      <c r="B1593" s="12"/>
      <c r="C1593" s="27"/>
    </row>
    <row r="1594" spans="1:3">
      <c r="A1594" s="15"/>
      <c r="B1594" s="15"/>
      <c r="C1594" s="19"/>
    </row>
    <row r="1595" spans="1:3">
      <c r="A1595" s="12"/>
      <c r="B1595" s="12"/>
      <c r="C1595" s="27"/>
    </row>
    <row r="1596" spans="1:3">
      <c r="A1596" s="15"/>
      <c r="B1596" s="15"/>
      <c r="C1596" s="19"/>
    </row>
    <row r="1597" spans="1:3">
      <c r="A1597" s="12"/>
      <c r="B1597" s="12"/>
      <c r="C1597" s="27"/>
    </row>
    <row r="1598" spans="1:3">
      <c r="A1598" s="15"/>
      <c r="B1598" s="15"/>
      <c r="C1598" s="19"/>
    </row>
    <row r="1599" spans="1:3">
      <c r="A1599" s="12"/>
      <c r="B1599" s="12"/>
      <c r="C1599" s="27"/>
    </row>
    <row r="1600" spans="1:3">
      <c r="A1600" s="15"/>
      <c r="B1600" s="15"/>
      <c r="C1600" s="19"/>
    </row>
    <row r="1601" spans="1:3">
      <c r="A1601" s="12"/>
      <c r="B1601" s="12"/>
      <c r="C1601" s="27"/>
    </row>
    <row r="1602" spans="1:3">
      <c r="A1602" s="15"/>
      <c r="B1602" s="15"/>
      <c r="C1602" s="19"/>
    </row>
    <row r="1603" spans="1:3">
      <c r="A1603" s="12"/>
      <c r="B1603" s="12"/>
      <c r="C1603" s="27"/>
    </row>
    <row r="1604" spans="1:3">
      <c r="A1604" s="15"/>
      <c r="B1604" s="15"/>
      <c r="C1604" s="19"/>
    </row>
    <row r="1605" spans="1:3">
      <c r="A1605" s="12"/>
      <c r="B1605" s="12"/>
      <c r="C1605" s="27"/>
    </row>
    <row r="1606" spans="1:3">
      <c r="A1606" s="15"/>
      <c r="B1606" s="15"/>
      <c r="C1606" s="19"/>
    </row>
    <row r="1607" spans="1:3">
      <c r="A1607" s="12"/>
      <c r="B1607" s="12"/>
      <c r="C1607" s="27"/>
    </row>
    <row r="1608" spans="1:3">
      <c r="A1608" s="15"/>
      <c r="B1608" s="15"/>
      <c r="C1608" s="19"/>
    </row>
    <row r="1609" spans="1:3">
      <c r="A1609" s="12"/>
      <c r="B1609" s="12"/>
      <c r="C1609" s="27"/>
    </row>
    <row r="1610" spans="1:3">
      <c r="A1610" s="15"/>
      <c r="B1610" s="15"/>
      <c r="C1610" s="19"/>
    </row>
    <row r="1611" spans="1:3">
      <c r="A1611" s="12"/>
      <c r="B1611" s="12"/>
      <c r="C1611" s="27"/>
    </row>
    <row r="1612" spans="1:3">
      <c r="A1612" s="15"/>
      <c r="B1612" s="15"/>
      <c r="C1612" s="19"/>
    </row>
    <row r="1613" spans="1:3">
      <c r="A1613" s="12"/>
      <c r="B1613" s="12"/>
      <c r="C1613" s="27"/>
    </row>
    <row r="1614" spans="1:3">
      <c r="A1614" s="15"/>
      <c r="B1614" s="15"/>
      <c r="C1614" s="19"/>
    </row>
    <row r="1615" spans="1:3">
      <c r="A1615" s="12"/>
      <c r="B1615" s="12"/>
      <c r="C1615" s="27"/>
    </row>
    <row r="1616" spans="1:3">
      <c r="A1616" s="15"/>
      <c r="B1616" s="15"/>
      <c r="C1616" s="19"/>
    </row>
    <row r="1617" spans="1:3">
      <c r="A1617" s="12"/>
      <c r="B1617" s="12"/>
      <c r="C1617" s="27"/>
    </row>
    <row r="1618" spans="1:3">
      <c r="A1618" s="15"/>
      <c r="B1618" s="15"/>
      <c r="C1618" s="19"/>
    </row>
    <row r="1619" spans="1:3">
      <c r="A1619" s="12"/>
      <c r="B1619" s="12"/>
      <c r="C1619" s="27"/>
    </row>
    <row r="1620" spans="1:3">
      <c r="A1620" s="15"/>
      <c r="B1620" s="15"/>
      <c r="C1620" s="19"/>
    </row>
    <row r="1621" spans="1:3">
      <c r="A1621" s="12"/>
      <c r="B1621" s="12"/>
      <c r="C1621" s="27"/>
    </row>
    <row r="1622" spans="1:3">
      <c r="A1622" s="15"/>
      <c r="B1622" s="15"/>
      <c r="C1622" s="19"/>
    </row>
    <row r="1623" spans="1:3">
      <c r="A1623" s="12"/>
      <c r="B1623" s="12"/>
      <c r="C1623" s="27"/>
    </row>
    <row r="1624" spans="1:3">
      <c r="A1624" s="15"/>
      <c r="B1624" s="15"/>
      <c r="C1624" s="19"/>
    </row>
    <row r="1625" spans="1:3">
      <c r="A1625" s="12"/>
      <c r="B1625" s="12"/>
      <c r="C1625" s="27"/>
    </row>
    <row r="1626" spans="1:3">
      <c r="A1626" s="15"/>
      <c r="B1626" s="15"/>
      <c r="C1626" s="19"/>
    </row>
    <row r="1627" spans="1:3">
      <c r="A1627" s="12"/>
      <c r="B1627" s="12"/>
      <c r="C1627" s="27"/>
    </row>
    <row r="1628" spans="1:3">
      <c r="A1628" s="15"/>
      <c r="B1628" s="15"/>
      <c r="C1628" s="19"/>
    </row>
    <row r="1629" spans="1:3">
      <c r="A1629" s="12"/>
      <c r="B1629" s="12"/>
      <c r="C1629" s="27"/>
    </row>
    <row r="1630" spans="1:3">
      <c r="A1630" s="15"/>
      <c r="B1630" s="15"/>
      <c r="C1630" s="19"/>
    </row>
    <row r="1631" spans="1:3">
      <c r="A1631" s="12"/>
      <c r="B1631" s="12"/>
      <c r="C1631" s="27"/>
    </row>
    <row r="1632" spans="1:3">
      <c r="A1632" s="15"/>
      <c r="B1632" s="15"/>
      <c r="C1632" s="19"/>
    </row>
    <row r="1633" spans="1:3">
      <c r="A1633" s="12"/>
      <c r="B1633" s="12"/>
      <c r="C1633" s="27"/>
    </row>
    <row r="1634" spans="1:3">
      <c r="A1634" s="15"/>
      <c r="B1634" s="15"/>
      <c r="C1634" s="19"/>
    </row>
    <row r="1635" spans="1:3">
      <c r="A1635" s="12"/>
      <c r="B1635" s="12"/>
      <c r="C1635" s="27"/>
    </row>
    <row r="1636" spans="1:3">
      <c r="A1636" s="15"/>
      <c r="B1636" s="15"/>
      <c r="C1636" s="19"/>
    </row>
    <row r="1637" spans="1:3">
      <c r="A1637" s="12"/>
      <c r="B1637" s="12"/>
      <c r="C1637" s="27"/>
    </row>
    <row r="1638" spans="1:3">
      <c r="A1638" s="15"/>
      <c r="B1638" s="15"/>
      <c r="C1638" s="19"/>
    </row>
    <row r="1639" spans="1:3">
      <c r="A1639" s="12"/>
      <c r="B1639" s="12"/>
      <c r="C1639" s="27"/>
    </row>
    <row r="1640" spans="1:3">
      <c r="A1640" s="15"/>
      <c r="B1640" s="15"/>
      <c r="C1640" s="19"/>
    </row>
    <row r="1641" spans="1:3">
      <c r="A1641" s="12"/>
      <c r="B1641" s="12"/>
      <c r="C1641" s="27"/>
    </row>
    <row r="1642" spans="1:3">
      <c r="A1642" s="15"/>
      <c r="B1642" s="15"/>
      <c r="C1642" s="19"/>
    </row>
    <row r="1643" spans="1:3">
      <c r="A1643" s="12"/>
      <c r="B1643" s="12"/>
      <c r="C1643" s="27"/>
    </row>
    <row r="1644" spans="1:3">
      <c r="A1644" s="15"/>
      <c r="B1644" s="15"/>
      <c r="C1644" s="19"/>
    </row>
    <row r="1645" spans="1:3">
      <c r="A1645" s="12"/>
      <c r="B1645" s="12"/>
      <c r="C1645" s="27"/>
    </row>
    <row r="1646" spans="1:3">
      <c r="A1646" s="15"/>
      <c r="B1646" s="15"/>
      <c r="C1646" s="19"/>
    </row>
    <row r="1647" spans="1:3">
      <c r="A1647" s="12"/>
      <c r="B1647" s="12"/>
      <c r="C1647" s="27"/>
    </row>
    <row r="1648" spans="1:3">
      <c r="A1648" s="15"/>
      <c r="B1648" s="15"/>
      <c r="C1648" s="19"/>
    </row>
    <row r="1649" spans="1:3">
      <c r="A1649" s="12"/>
      <c r="B1649" s="12"/>
      <c r="C1649" s="27"/>
    </row>
    <row r="1650" spans="1:3">
      <c r="A1650" s="15"/>
      <c r="B1650" s="15"/>
      <c r="C1650" s="19"/>
    </row>
    <row r="1651" spans="1:3">
      <c r="A1651" s="12"/>
      <c r="B1651" s="12"/>
      <c r="C1651" s="27"/>
    </row>
    <row r="1652" spans="1:3">
      <c r="A1652" s="15"/>
      <c r="B1652" s="15"/>
      <c r="C1652" s="19"/>
    </row>
    <row r="1653" spans="1:3">
      <c r="A1653" s="12"/>
      <c r="B1653" s="12"/>
      <c r="C1653" s="27"/>
    </row>
    <row r="1654" spans="1:3">
      <c r="A1654" s="15"/>
      <c r="B1654" s="15"/>
      <c r="C1654" s="19"/>
    </row>
    <row r="1655" spans="1:3">
      <c r="A1655" s="12"/>
      <c r="B1655" s="12"/>
      <c r="C1655" s="27"/>
    </row>
    <row r="1656" spans="1:3">
      <c r="A1656" s="15"/>
      <c r="B1656" s="15"/>
      <c r="C1656" s="19"/>
    </row>
    <row r="1657" spans="1:3">
      <c r="A1657" s="12"/>
      <c r="B1657" s="12"/>
      <c r="C1657" s="27"/>
    </row>
    <row r="1658" spans="1:3">
      <c r="A1658" s="15"/>
      <c r="B1658" s="15"/>
      <c r="C1658" s="19"/>
    </row>
    <row r="1659" spans="1:3">
      <c r="A1659" s="12"/>
      <c r="B1659" s="12"/>
      <c r="C1659" s="27"/>
    </row>
    <row r="1660" spans="1:3">
      <c r="A1660" s="15"/>
      <c r="B1660" s="15"/>
      <c r="C1660" s="19"/>
    </row>
    <row r="1661" spans="1:3">
      <c r="A1661" s="12"/>
      <c r="B1661" s="12"/>
      <c r="C1661" s="27"/>
    </row>
    <row r="1662" spans="1:3">
      <c r="A1662" s="15"/>
      <c r="B1662" s="15"/>
      <c r="C1662" s="19"/>
    </row>
    <row r="1663" spans="1:3">
      <c r="A1663" s="12"/>
      <c r="B1663" s="12"/>
      <c r="C1663" s="27"/>
    </row>
    <row r="1664" spans="1:3">
      <c r="A1664" s="15"/>
      <c r="B1664" s="15"/>
      <c r="C1664" s="19"/>
    </row>
    <row r="1665" spans="1:3">
      <c r="A1665" s="12"/>
      <c r="B1665" s="12"/>
      <c r="C1665" s="27"/>
    </row>
    <row r="1666" spans="1:3">
      <c r="A1666" s="15"/>
      <c r="B1666" s="15"/>
      <c r="C1666" s="19"/>
    </row>
    <row r="1667" spans="1:3">
      <c r="A1667" s="12"/>
      <c r="B1667" s="12"/>
      <c r="C1667" s="27"/>
    </row>
    <row r="1668" spans="1:3">
      <c r="A1668" s="15"/>
      <c r="B1668" s="15"/>
      <c r="C1668" s="19"/>
    </row>
    <row r="1669" spans="1:3">
      <c r="A1669" s="12"/>
      <c r="B1669" s="12"/>
      <c r="C1669" s="27"/>
    </row>
    <row r="1670" spans="1:3">
      <c r="A1670" s="15"/>
      <c r="B1670" s="15"/>
      <c r="C1670" s="19"/>
    </row>
    <row r="1671" spans="1:3">
      <c r="A1671" s="12"/>
      <c r="B1671" s="12"/>
      <c r="C1671" s="27"/>
    </row>
    <row r="1672" spans="1:3">
      <c r="A1672" s="15"/>
      <c r="B1672" s="15"/>
      <c r="C1672" s="19"/>
    </row>
    <row r="1673" spans="1:3">
      <c r="A1673" s="12"/>
      <c r="B1673" s="12"/>
      <c r="C1673" s="27"/>
    </row>
    <row r="1674" spans="1:3">
      <c r="A1674" s="15"/>
      <c r="B1674" s="15"/>
      <c r="C1674" s="19"/>
    </row>
    <row r="1675" spans="1:3">
      <c r="A1675" s="12"/>
      <c r="B1675" s="12"/>
      <c r="C1675" s="27"/>
    </row>
    <row r="1676" spans="1:3">
      <c r="A1676" s="15"/>
      <c r="B1676" s="15"/>
      <c r="C1676" s="19"/>
    </row>
    <row r="1677" spans="1:3">
      <c r="A1677" s="11"/>
      <c r="B1677" s="12"/>
      <c r="C1677" s="13"/>
    </row>
    <row r="1678" spans="1:3">
      <c r="A1678" s="14"/>
      <c r="B1678" s="15"/>
      <c r="C1678" s="16"/>
    </row>
    <row r="1679" spans="1:3">
      <c r="A1679" s="11"/>
      <c r="B1679" s="12"/>
      <c r="C1679" s="13"/>
    </row>
    <row r="1680" spans="1:3">
      <c r="A1680" s="14"/>
      <c r="B1680" s="15"/>
      <c r="C1680" s="16"/>
    </row>
    <row r="1681" spans="1:3">
      <c r="A1681" s="3"/>
      <c r="B1681" s="3"/>
      <c r="C1681" s="4"/>
    </row>
    <row r="1682" spans="1:3">
      <c r="A1682" s="5"/>
      <c r="B1682" s="5"/>
      <c r="C1682" s="6"/>
    </row>
    <row r="1683" spans="1:3">
      <c r="A1683" s="3"/>
      <c r="B1683" s="3"/>
      <c r="C1683" s="4"/>
    </row>
    <row r="1684" spans="1:3">
      <c r="A1684" s="5"/>
      <c r="B1684" s="5"/>
      <c r="C1684" s="6"/>
    </row>
    <row r="1685" spans="1:3">
      <c r="A1685" s="3"/>
      <c r="B1685" s="3"/>
      <c r="C1685" s="4"/>
    </row>
    <row r="1686" spans="1:3">
      <c r="A1686" s="5"/>
      <c r="B1686" s="5"/>
      <c r="C1686" s="6"/>
    </row>
    <row r="1687" spans="1:3">
      <c r="A1687" s="3"/>
      <c r="B1687" s="3"/>
      <c r="C1687" s="4"/>
    </row>
    <row r="1688" spans="1:3">
      <c r="A1688" s="5"/>
      <c r="B1688" s="5"/>
      <c r="C1688" s="6"/>
    </row>
    <row r="1689" spans="1:3">
      <c r="A1689" s="3"/>
      <c r="B1689" s="3"/>
      <c r="C1689" s="4"/>
    </row>
    <row r="1690" spans="1:3">
      <c r="A1690" s="5"/>
      <c r="B1690" s="5"/>
      <c r="C1690" s="6"/>
    </row>
    <row r="1691" spans="1:3">
      <c r="A1691" s="3"/>
      <c r="B1691" s="3"/>
      <c r="C1691" s="4"/>
    </row>
    <row r="1692" spans="1:3">
      <c r="A1692" s="5"/>
      <c r="B1692" s="5"/>
      <c r="C1692" s="6"/>
    </row>
    <row r="1693" spans="1:3">
      <c r="A1693" s="3"/>
      <c r="B1693" s="3"/>
      <c r="C1693" s="4"/>
    </row>
    <row r="1694" spans="1:3">
      <c r="A1694" s="5"/>
      <c r="B1694" s="5"/>
      <c r="C1694" s="6"/>
    </row>
    <row r="1695" spans="1:3">
      <c r="A1695" s="3"/>
      <c r="B1695" s="3"/>
      <c r="C1695" s="4"/>
    </row>
    <row r="1696" spans="1:3">
      <c r="A1696" s="5"/>
      <c r="B1696" s="5"/>
      <c r="C1696" s="6"/>
    </row>
    <row r="1697" spans="1:3">
      <c r="A1697" s="3"/>
      <c r="B1697" s="3"/>
      <c r="C1697" s="4"/>
    </row>
    <row r="1698" spans="1:3">
      <c r="A1698" s="5"/>
      <c r="B1698" s="5"/>
      <c r="C1698" s="6"/>
    </row>
    <row r="1699" spans="1:3">
      <c r="A1699" s="3"/>
      <c r="B1699" s="3"/>
      <c r="C1699" s="4"/>
    </row>
    <row r="1700" spans="1:3">
      <c r="A1700" s="5"/>
      <c r="B1700" s="5"/>
      <c r="C1700" s="6"/>
    </row>
    <row r="1701" spans="1:3">
      <c r="A1701" s="3"/>
      <c r="B1701" s="3"/>
      <c r="C1701" s="4"/>
    </row>
    <row r="1702" spans="1:3">
      <c r="A1702" s="5"/>
      <c r="B1702" s="5"/>
      <c r="C1702" s="6"/>
    </row>
    <row r="1703" spans="1:3">
      <c r="A1703" s="3"/>
      <c r="B1703" s="3"/>
      <c r="C1703" s="4"/>
    </row>
    <row r="1704" spans="1:3">
      <c r="A1704" s="5"/>
      <c r="B1704" s="5"/>
      <c r="C1704" s="6"/>
    </row>
    <row r="1705" spans="1:3">
      <c r="A1705" s="3"/>
      <c r="B1705" s="3"/>
      <c r="C1705" s="4"/>
    </row>
    <row r="1706" spans="1:3">
      <c r="A1706" s="5"/>
      <c r="B1706" s="5"/>
      <c r="C1706" s="6"/>
    </row>
    <row r="1707" spans="1:3">
      <c r="A1707" s="3"/>
      <c r="B1707" s="3"/>
      <c r="C1707" s="4"/>
    </row>
    <row r="1708" spans="1:3">
      <c r="A1708" s="5"/>
      <c r="B1708" s="5"/>
      <c r="C1708" s="6"/>
    </row>
    <row r="1709" spans="1:3">
      <c r="A1709" s="3"/>
      <c r="B1709" s="3"/>
      <c r="C1709" s="4"/>
    </row>
    <row r="1710" spans="1:3">
      <c r="A1710" s="5"/>
      <c r="B1710" s="5"/>
      <c r="C1710" s="6"/>
    </row>
    <row r="1711" spans="1:3">
      <c r="A1711" s="3"/>
      <c r="B1711" s="3"/>
      <c r="C1711" s="4"/>
    </row>
    <row r="1712" spans="1:3">
      <c r="A1712" s="5"/>
      <c r="B1712" s="5"/>
      <c r="C1712" s="6"/>
    </row>
    <row r="1714" spans="1:3" ht="15">
      <c r="A1714" s="8"/>
      <c r="B1714" s="9"/>
      <c r="C1714" s="10"/>
    </row>
    <row r="1715" spans="1:3">
      <c r="A1715" s="11"/>
      <c r="B1715" s="12"/>
      <c r="C1715" s="13"/>
    </row>
    <row r="1716" spans="1:3">
      <c r="A1716" s="14"/>
      <c r="B1716" s="15"/>
      <c r="C1716" s="16"/>
    </row>
    <row r="1717" spans="1:3">
      <c r="A1717" s="11"/>
      <c r="B1717" s="12"/>
      <c r="C1717" s="13"/>
    </row>
    <row r="1718" spans="1:3">
      <c r="A1718" s="14"/>
      <c r="B1718" s="15"/>
      <c r="C1718" s="16"/>
    </row>
    <row r="1719" spans="1:3">
      <c r="A1719" s="11"/>
      <c r="B1719" s="12"/>
      <c r="C1719" s="13"/>
    </row>
    <row r="1720" spans="1:3">
      <c r="A1720" s="14"/>
      <c r="B1720" s="15"/>
      <c r="C1720" s="16"/>
    </row>
    <row r="1721" spans="1:3">
      <c r="A1721" s="11"/>
      <c r="B1721" s="12"/>
      <c r="C1721" s="13"/>
    </row>
    <row r="1722" spans="1:3">
      <c r="A1722" s="14"/>
      <c r="B1722" s="15"/>
      <c r="C1722" s="16"/>
    </row>
    <row r="1723" spans="1:3">
      <c r="A1723" s="11"/>
      <c r="B1723" s="12"/>
      <c r="C1723" s="13"/>
    </row>
    <row r="1724" spans="1:3">
      <c r="A1724" s="14"/>
      <c r="B1724" s="15"/>
      <c r="C1724" s="16"/>
    </row>
    <row r="1725" spans="1:3">
      <c r="A1725" s="11"/>
      <c r="B1725" s="12"/>
      <c r="C1725" s="13"/>
    </row>
    <row r="1726" spans="1:3">
      <c r="A1726" s="14"/>
      <c r="B1726" s="15"/>
      <c r="C1726" s="16"/>
    </row>
    <row r="1727" spans="1:3">
      <c r="A1727" s="11"/>
      <c r="B1727" s="12"/>
      <c r="C1727" s="13"/>
    </row>
    <row r="1728" spans="1:3">
      <c r="A1728" s="11"/>
      <c r="B1728" s="12"/>
      <c r="C1728" s="13"/>
    </row>
    <row r="1729" spans="1:3">
      <c r="A1729" s="11"/>
      <c r="B1729" s="12"/>
      <c r="C1729" s="13"/>
    </row>
    <row r="1730" spans="1:3">
      <c r="A1730" s="11"/>
      <c r="B1730" s="12"/>
      <c r="C1730" s="13"/>
    </row>
    <row r="1731" spans="1:3">
      <c r="A1731" s="11"/>
      <c r="B1731" s="12"/>
      <c r="C1731" s="13"/>
    </row>
    <row r="1732" spans="1:3">
      <c r="A1732" s="14"/>
      <c r="B1732" s="15"/>
      <c r="C1732" s="16"/>
    </row>
    <row r="1733" spans="1:3">
      <c r="A1733" s="11"/>
      <c r="B1733" s="12"/>
      <c r="C1733" s="13"/>
    </row>
    <row r="1734" spans="1:3">
      <c r="A1734" s="14"/>
      <c r="B1734" s="15"/>
      <c r="C1734" s="16"/>
    </row>
  </sheetData>
  <hyperlinks>
    <hyperlink ref="E12" r:id="rId1" display="https://www.investopedia.com/terms/e/exploration-production-company.asp" xr:uid="{7CB0AC6B-D5C3-4624-AE28-BEF3353E3CDA}"/>
  </hyperlinks>
  <pageMargins left="0.7" right="0.7" top="0.75" bottom="0.75" header="0.3" footer="0.3"/>
  <pageSetup paperSize="9"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F6DFB-72F4-42F6-8524-EF69D989043B}">
  <dimension ref="A1:D21"/>
  <sheetViews>
    <sheetView workbookViewId="0">
      <selection activeCell="E2" sqref="E2"/>
    </sheetView>
  </sheetViews>
  <sheetFormatPr defaultRowHeight="14.25"/>
  <cols>
    <col min="1" max="1" width="13.75" customWidth="1"/>
    <col min="2" max="2" width="19" customWidth="1"/>
    <col min="3" max="3" width="16.875" customWidth="1"/>
  </cols>
  <sheetData>
    <row r="1" spans="1:4" ht="15">
      <c r="A1" s="26" t="s">
        <v>10</v>
      </c>
      <c r="B1" s="25" t="s">
        <v>11</v>
      </c>
      <c r="C1" s="24" t="s">
        <v>5</v>
      </c>
      <c r="D1" s="23" t="s">
        <v>590</v>
      </c>
    </row>
    <row r="2" spans="1:4">
      <c r="A2" s="21" t="s">
        <v>89</v>
      </c>
      <c r="B2" s="3" t="s">
        <v>150</v>
      </c>
      <c r="C2" s="4">
        <v>12316000000</v>
      </c>
      <c r="D2" s="20">
        <f t="shared" ref="D2:D21" si="0">LOG10(C2)</f>
        <v>10.090469680231161</v>
      </c>
    </row>
    <row r="3" spans="1:4">
      <c r="A3" s="7" t="s">
        <v>89</v>
      </c>
      <c r="B3" s="5" t="s">
        <v>150</v>
      </c>
      <c r="C3" s="6">
        <v>19080000000</v>
      </c>
      <c r="D3" s="22">
        <f t="shared" si="0"/>
        <v>10.280578370368076</v>
      </c>
    </row>
    <row r="4" spans="1:4">
      <c r="A4" s="21" t="s">
        <v>89</v>
      </c>
      <c r="B4" s="3" t="s">
        <v>150</v>
      </c>
      <c r="C4" s="4">
        <v>23125000000</v>
      </c>
      <c r="D4" s="20">
        <f t="shared" si="0"/>
        <v>10.36408174141107</v>
      </c>
    </row>
    <row r="5" spans="1:4">
      <c r="A5" s="7" t="s">
        <v>89</v>
      </c>
      <c r="B5" s="5" t="s">
        <v>150</v>
      </c>
      <c r="C5" s="6">
        <v>12764000000</v>
      </c>
      <c r="D5" s="22">
        <f t="shared" si="0"/>
        <v>10.105986795521472</v>
      </c>
    </row>
    <row r="6" spans="1:4">
      <c r="A6" s="21" t="s">
        <v>89</v>
      </c>
      <c r="B6" s="3" t="s">
        <v>150</v>
      </c>
      <c r="C6" s="4">
        <v>230590000000</v>
      </c>
      <c r="D6" s="20">
        <f t="shared" si="0"/>
        <v>11.362840469311724</v>
      </c>
    </row>
    <row r="7" spans="1:4">
      <c r="A7" s="7" t="s">
        <v>89</v>
      </c>
      <c r="B7" s="5" t="s">
        <v>150</v>
      </c>
      <c r="C7" s="6">
        <v>220156000000</v>
      </c>
      <c r="D7" s="22">
        <f t="shared" si="0"/>
        <v>11.342730525958993</v>
      </c>
    </row>
    <row r="8" spans="1:4">
      <c r="A8" s="21" t="s">
        <v>89</v>
      </c>
      <c r="B8" s="3" t="s">
        <v>150</v>
      </c>
      <c r="C8" s="4">
        <v>200494000000</v>
      </c>
      <c r="D8" s="20">
        <f t="shared" si="0"/>
        <v>11.30210138041814</v>
      </c>
    </row>
    <row r="9" spans="1:4">
      <c r="A9" s="7" t="s">
        <v>89</v>
      </c>
      <c r="B9" s="5" t="s">
        <v>150</v>
      </c>
      <c r="C9" s="6">
        <v>129925000000</v>
      </c>
      <c r="D9" s="22">
        <f t="shared" si="0"/>
        <v>11.113692725494897</v>
      </c>
    </row>
    <row r="10" spans="1:4">
      <c r="A10" s="21" t="s">
        <v>89</v>
      </c>
      <c r="B10" s="3" t="s">
        <v>150</v>
      </c>
      <c r="C10" s="4">
        <v>12245000000</v>
      </c>
      <c r="D10" s="20">
        <f t="shared" si="0"/>
        <v>10.087958789460734</v>
      </c>
    </row>
    <row r="11" spans="1:4">
      <c r="A11" s="7" t="s">
        <v>89</v>
      </c>
      <c r="B11" s="5" t="s">
        <v>150</v>
      </c>
      <c r="C11" s="6">
        <v>11905000000</v>
      </c>
      <c r="D11" s="22">
        <f t="shared" si="0"/>
        <v>10.075729399740899</v>
      </c>
    </row>
    <row r="12" spans="1:4">
      <c r="A12" s="21" t="s">
        <v>89</v>
      </c>
      <c r="B12" s="3" t="s">
        <v>150</v>
      </c>
      <c r="C12" s="4">
        <v>10737000000</v>
      </c>
      <c r="D12" s="20">
        <f t="shared" si="0"/>
        <v>10.030882953109666</v>
      </c>
    </row>
    <row r="13" spans="1:4">
      <c r="A13" s="7" t="s">
        <v>89</v>
      </c>
      <c r="B13" s="5" t="s">
        <v>150</v>
      </c>
      <c r="C13" s="6">
        <v>6636000000</v>
      </c>
      <c r="D13" s="22">
        <f t="shared" si="0"/>
        <v>9.8219063773523239</v>
      </c>
    </row>
    <row r="14" spans="1:4">
      <c r="A14" s="21" t="s">
        <v>89</v>
      </c>
      <c r="B14" s="3" t="s">
        <v>150</v>
      </c>
      <c r="C14" s="4">
        <v>4608563000</v>
      </c>
      <c r="D14" s="20">
        <f t="shared" si="0"/>
        <v>9.6635655287610085</v>
      </c>
    </row>
    <row r="15" spans="1:4">
      <c r="A15" s="21" t="s">
        <v>89</v>
      </c>
      <c r="B15" s="3" t="s">
        <v>150</v>
      </c>
      <c r="C15" s="4">
        <v>5312686000</v>
      </c>
      <c r="D15" s="22">
        <f t="shared" si="0"/>
        <v>9.7253141482084029</v>
      </c>
    </row>
    <row r="16" spans="1:4">
      <c r="A16" s="21" t="s">
        <v>89</v>
      </c>
      <c r="B16" s="3" t="s">
        <v>150</v>
      </c>
      <c r="C16" s="4">
        <v>5288933000</v>
      </c>
      <c r="D16" s="20">
        <f t="shared" si="0"/>
        <v>9.7233680654280246</v>
      </c>
    </row>
    <row r="17" spans="1:4">
      <c r="A17" s="21" t="s">
        <v>89</v>
      </c>
      <c r="B17" s="3" t="s">
        <v>150</v>
      </c>
      <c r="C17" s="4">
        <v>2787116000</v>
      </c>
      <c r="D17" s="22">
        <f t="shared" si="0"/>
        <v>9.4451550444619645</v>
      </c>
    </row>
    <row r="18" spans="1:4">
      <c r="A18" s="21" t="s">
        <v>89</v>
      </c>
      <c r="B18" s="3" t="s">
        <v>150</v>
      </c>
      <c r="C18" s="4">
        <v>451509000000</v>
      </c>
      <c r="D18" s="20">
        <f t="shared" si="0"/>
        <v>11.654666411596105</v>
      </c>
    </row>
    <row r="19" spans="1:4">
      <c r="A19" s="7" t="s">
        <v>89</v>
      </c>
      <c r="B19" s="5" t="s">
        <v>150</v>
      </c>
      <c r="C19" s="6">
        <v>420836000000</v>
      </c>
      <c r="D19" s="22">
        <f t="shared" si="0"/>
        <v>11.624112884027351</v>
      </c>
    </row>
    <row r="20" spans="1:4">
      <c r="A20" s="21" t="s">
        <v>89</v>
      </c>
      <c r="B20" s="3" t="s">
        <v>150</v>
      </c>
      <c r="C20" s="4">
        <v>394105000000</v>
      </c>
      <c r="D20" s="20">
        <f t="shared" si="0"/>
        <v>11.595611944783478</v>
      </c>
    </row>
    <row r="21" spans="1:4">
      <c r="A21" s="14" t="s">
        <v>89</v>
      </c>
      <c r="B21" s="15" t="s">
        <v>150</v>
      </c>
      <c r="C21" s="19">
        <v>259488000000</v>
      </c>
      <c r="D21" s="18">
        <f t="shared" si="0"/>
        <v>11.414117278738294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15CD7-0330-445F-B70D-56B01F5F9D30}">
  <dimension ref="A1:D125"/>
  <sheetViews>
    <sheetView workbookViewId="0"/>
  </sheetViews>
  <sheetFormatPr defaultRowHeight="14.25"/>
  <cols>
    <col min="1" max="1" width="13.75" customWidth="1"/>
    <col min="2" max="2" width="40.75" bestFit="1" customWidth="1"/>
    <col min="3" max="3" width="16.875" customWidth="1"/>
  </cols>
  <sheetData>
    <row r="1" spans="1:4" ht="15">
      <c r="A1" s="26" t="s">
        <v>10</v>
      </c>
      <c r="B1" s="25" t="s">
        <v>11</v>
      </c>
      <c r="C1" s="24" t="s">
        <v>5</v>
      </c>
      <c r="D1" s="23" t="s">
        <v>590</v>
      </c>
    </row>
    <row r="2" spans="1:4">
      <c r="A2" s="21" t="s">
        <v>89</v>
      </c>
      <c r="B2" s="3" t="s">
        <v>90</v>
      </c>
      <c r="C2" s="4">
        <v>16428000000</v>
      </c>
      <c r="D2" s="20">
        <f t="shared" ref="D2:D33" si="0">LOG10(C2)</f>
        <v>10.215584694181615</v>
      </c>
    </row>
    <row r="3" spans="1:4">
      <c r="A3" s="7" t="s">
        <v>89</v>
      </c>
      <c r="B3" s="5" t="s">
        <v>90</v>
      </c>
      <c r="C3" s="6">
        <v>14771000000</v>
      </c>
      <c r="D3" s="22">
        <f t="shared" si="0"/>
        <v>10.169409898140701</v>
      </c>
    </row>
    <row r="4" spans="1:4">
      <c r="A4" s="21" t="s">
        <v>89</v>
      </c>
      <c r="B4" s="3" t="s">
        <v>90</v>
      </c>
      <c r="C4" s="4">
        <v>12691000000</v>
      </c>
      <c r="D4" s="20">
        <f t="shared" si="0"/>
        <v>10.103495844109766</v>
      </c>
    </row>
    <row r="5" spans="1:4">
      <c r="A5" s="7" t="s">
        <v>89</v>
      </c>
      <c r="B5" s="5" t="s">
        <v>90</v>
      </c>
      <c r="C5" s="6">
        <v>6383000000</v>
      </c>
      <c r="D5" s="22">
        <f t="shared" si="0"/>
        <v>9.8050248444298056</v>
      </c>
    </row>
    <row r="6" spans="1:4">
      <c r="A6" s="21" t="s">
        <v>89</v>
      </c>
      <c r="B6" s="3" t="s">
        <v>90</v>
      </c>
      <c r="C6" s="4">
        <v>14581000000</v>
      </c>
      <c r="D6" s="20">
        <f t="shared" si="0"/>
        <v>10.163787309962002</v>
      </c>
    </row>
    <row r="7" spans="1:4">
      <c r="A7" s="7" t="s">
        <v>89</v>
      </c>
      <c r="B7" s="5" t="s">
        <v>90</v>
      </c>
      <c r="C7" s="6">
        <v>18470000000</v>
      </c>
      <c r="D7" s="22">
        <f t="shared" si="0"/>
        <v>10.266466895440242</v>
      </c>
    </row>
    <row r="8" spans="1:4">
      <c r="A8" s="21" t="s">
        <v>89</v>
      </c>
      <c r="B8" s="3" t="s">
        <v>90</v>
      </c>
      <c r="C8" s="4">
        <v>8698000000</v>
      </c>
      <c r="D8" s="20">
        <f t="shared" si="0"/>
        <v>9.9394194033293175</v>
      </c>
    </row>
    <row r="9" spans="1:4">
      <c r="A9" s="7" t="s">
        <v>89</v>
      </c>
      <c r="B9" s="5" t="s">
        <v>90</v>
      </c>
      <c r="C9" s="6">
        <v>7869000000</v>
      </c>
      <c r="D9" s="22">
        <f t="shared" si="0"/>
        <v>9.8959195453100168</v>
      </c>
    </row>
    <row r="10" spans="1:4">
      <c r="A10" s="21" t="s">
        <v>89</v>
      </c>
      <c r="B10" s="3" t="s">
        <v>120</v>
      </c>
      <c r="C10" s="4">
        <v>22364000000</v>
      </c>
      <c r="D10" s="20">
        <f t="shared" si="0"/>
        <v>10.349549483586635</v>
      </c>
    </row>
    <row r="11" spans="1:4">
      <c r="A11" s="7" t="s">
        <v>89</v>
      </c>
      <c r="B11" s="5" t="s">
        <v>120</v>
      </c>
      <c r="C11" s="6">
        <v>24551000000</v>
      </c>
      <c r="D11" s="22">
        <f t="shared" si="0"/>
        <v>10.390069186301636</v>
      </c>
    </row>
    <row r="12" spans="1:4">
      <c r="A12" s="21" t="s">
        <v>89</v>
      </c>
      <c r="B12" s="3" t="s">
        <v>120</v>
      </c>
      <c r="C12" s="4">
        <v>15742000000</v>
      </c>
      <c r="D12" s="20">
        <f t="shared" si="0"/>
        <v>10.197059908060208</v>
      </c>
    </row>
    <row r="13" spans="1:4">
      <c r="A13" s="7" t="s">
        <v>89</v>
      </c>
      <c r="B13" s="5" t="s">
        <v>120</v>
      </c>
      <c r="C13" s="6">
        <v>9841000000</v>
      </c>
      <c r="D13" s="22">
        <f t="shared" si="0"/>
        <v>9.9930392318069092</v>
      </c>
    </row>
    <row r="14" spans="1:4">
      <c r="A14" s="21" t="s">
        <v>89</v>
      </c>
      <c r="B14" s="3" t="s">
        <v>150</v>
      </c>
      <c r="C14" s="4">
        <v>12316000000</v>
      </c>
      <c r="D14" s="20">
        <f t="shared" si="0"/>
        <v>10.090469680231161</v>
      </c>
    </row>
    <row r="15" spans="1:4">
      <c r="A15" s="7" t="s">
        <v>89</v>
      </c>
      <c r="B15" s="5" t="s">
        <v>150</v>
      </c>
      <c r="C15" s="6">
        <v>19080000000</v>
      </c>
      <c r="D15" s="22">
        <f t="shared" si="0"/>
        <v>10.280578370368076</v>
      </c>
    </row>
    <row r="16" spans="1:4">
      <c r="A16" s="21" t="s">
        <v>89</v>
      </c>
      <c r="B16" s="3" t="s">
        <v>150</v>
      </c>
      <c r="C16" s="4">
        <v>23125000000</v>
      </c>
      <c r="D16" s="20">
        <f t="shared" si="0"/>
        <v>10.36408174141107</v>
      </c>
    </row>
    <row r="17" spans="1:4">
      <c r="A17" s="7" t="s">
        <v>89</v>
      </c>
      <c r="B17" s="5" t="s">
        <v>150</v>
      </c>
      <c r="C17" s="6">
        <v>12764000000</v>
      </c>
      <c r="D17" s="22">
        <f t="shared" si="0"/>
        <v>10.105986795521472</v>
      </c>
    </row>
    <row r="18" spans="1:4">
      <c r="A18" s="21" t="s">
        <v>89</v>
      </c>
      <c r="B18" s="3" t="s">
        <v>90</v>
      </c>
      <c r="C18" s="4">
        <v>1204546000</v>
      </c>
      <c r="D18" s="20">
        <f t="shared" si="0"/>
        <v>9.0808233897762101</v>
      </c>
    </row>
    <row r="19" spans="1:4">
      <c r="A19" s="7" t="s">
        <v>89</v>
      </c>
      <c r="B19" s="5" t="s">
        <v>90</v>
      </c>
      <c r="C19" s="6">
        <v>1746278000</v>
      </c>
      <c r="D19" s="22">
        <f t="shared" si="0"/>
        <v>9.2421133827001931</v>
      </c>
    </row>
    <row r="20" spans="1:4">
      <c r="A20" s="21" t="s">
        <v>89</v>
      </c>
      <c r="B20" s="3" t="s">
        <v>90</v>
      </c>
      <c r="C20" s="4">
        <v>2173011000</v>
      </c>
      <c r="D20" s="20">
        <f t="shared" si="0"/>
        <v>9.3370619247683884</v>
      </c>
    </row>
    <row r="21" spans="1:4">
      <c r="A21" s="7" t="s">
        <v>89</v>
      </c>
      <c r="B21" s="5" t="s">
        <v>90</v>
      </c>
      <c r="C21" s="6">
        <v>1357150000</v>
      </c>
      <c r="D21" s="22">
        <f t="shared" si="0"/>
        <v>9.1326278510290066</v>
      </c>
    </row>
    <row r="22" spans="1:4">
      <c r="A22" s="21" t="s">
        <v>89</v>
      </c>
      <c r="B22" s="3" t="s">
        <v>150</v>
      </c>
      <c r="C22" s="4">
        <v>230590000000</v>
      </c>
      <c r="D22" s="20">
        <f t="shared" si="0"/>
        <v>11.362840469311724</v>
      </c>
    </row>
    <row r="23" spans="1:4">
      <c r="A23" s="7" t="s">
        <v>89</v>
      </c>
      <c r="B23" s="5" t="s">
        <v>150</v>
      </c>
      <c r="C23" s="6">
        <v>220156000000</v>
      </c>
      <c r="D23" s="22">
        <f t="shared" si="0"/>
        <v>11.342730525958993</v>
      </c>
    </row>
    <row r="24" spans="1:4">
      <c r="A24" s="21" t="s">
        <v>89</v>
      </c>
      <c r="B24" s="3" t="s">
        <v>150</v>
      </c>
      <c r="C24" s="4">
        <v>200494000000</v>
      </c>
      <c r="D24" s="20">
        <f t="shared" si="0"/>
        <v>11.30210138041814</v>
      </c>
    </row>
    <row r="25" spans="1:4">
      <c r="A25" s="7" t="s">
        <v>89</v>
      </c>
      <c r="B25" s="5" t="s">
        <v>150</v>
      </c>
      <c r="C25" s="6">
        <v>129925000000</v>
      </c>
      <c r="D25" s="22">
        <f t="shared" si="0"/>
        <v>11.113692725494897</v>
      </c>
    </row>
    <row r="26" spans="1:4">
      <c r="A26" s="21" t="s">
        <v>89</v>
      </c>
      <c r="B26" s="3" t="s">
        <v>90</v>
      </c>
      <c r="C26" s="4">
        <v>1819814000</v>
      </c>
      <c r="D26" s="20">
        <f t="shared" si="0"/>
        <v>9.2600270017753932</v>
      </c>
    </row>
    <row r="27" spans="1:4">
      <c r="A27" s="7" t="s">
        <v>89</v>
      </c>
      <c r="B27" s="5" t="s">
        <v>90</v>
      </c>
      <c r="C27" s="6">
        <v>2319919000</v>
      </c>
      <c r="D27" s="22">
        <f t="shared" si="0"/>
        <v>9.3654728217585106</v>
      </c>
    </row>
    <row r="28" spans="1:4">
      <c r="A28" s="21" t="s">
        <v>89</v>
      </c>
      <c r="B28" s="3" t="s">
        <v>90</v>
      </c>
      <c r="C28" s="4">
        <v>2660147000</v>
      </c>
      <c r="D28" s="20">
        <f t="shared" si="0"/>
        <v>9.4249056364524471</v>
      </c>
    </row>
    <row r="29" spans="1:4">
      <c r="A29" s="7" t="s">
        <v>89</v>
      </c>
      <c r="B29" s="5" t="s">
        <v>90</v>
      </c>
      <c r="C29" s="6">
        <v>1803573000</v>
      </c>
      <c r="D29" s="22">
        <f t="shared" si="0"/>
        <v>9.2561337251714697</v>
      </c>
    </row>
    <row r="30" spans="1:4">
      <c r="A30" s="21" t="s">
        <v>89</v>
      </c>
      <c r="B30" s="3" t="s">
        <v>90</v>
      </c>
      <c r="C30" s="4">
        <v>10397000000</v>
      </c>
      <c r="D30" s="20">
        <f t="shared" si="0"/>
        <v>10.016908043972075</v>
      </c>
    </row>
    <row r="31" spans="1:4">
      <c r="A31" s="7" t="s">
        <v>89</v>
      </c>
      <c r="B31" s="5" t="s">
        <v>90</v>
      </c>
      <c r="C31" s="6">
        <v>20638000000</v>
      </c>
      <c r="D31" s="22">
        <f t="shared" si="0"/>
        <v>10.314667608117512</v>
      </c>
    </row>
    <row r="32" spans="1:4">
      <c r="A32" s="21" t="s">
        <v>89</v>
      </c>
      <c r="B32" s="3" t="s">
        <v>90</v>
      </c>
      <c r="C32" s="4">
        <v>13145000000</v>
      </c>
      <c r="D32" s="20">
        <f t="shared" si="0"/>
        <v>10.118760590442381</v>
      </c>
    </row>
    <row r="33" spans="1:4">
      <c r="A33" s="7" t="s">
        <v>89</v>
      </c>
      <c r="B33" s="5" t="s">
        <v>90</v>
      </c>
      <c r="C33" s="6">
        <v>12197000000</v>
      </c>
      <c r="D33" s="22">
        <f t="shared" si="0"/>
        <v>10.086253023817161</v>
      </c>
    </row>
    <row r="34" spans="1:4">
      <c r="A34" s="21" t="s">
        <v>89</v>
      </c>
      <c r="B34" s="3" t="s">
        <v>90</v>
      </c>
      <c r="C34" s="4">
        <v>11682636000</v>
      </c>
      <c r="D34" s="20">
        <f t="shared" ref="D34:D65" si="1">LOG10(C34)</f>
        <v>10.067540845438337</v>
      </c>
    </row>
    <row r="35" spans="1:4">
      <c r="A35" s="7" t="s">
        <v>89</v>
      </c>
      <c r="B35" s="5" t="s">
        <v>90</v>
      </c>
      <c r="C35" s="6">
        <v>14487118000</v>
      </c>
      <c r="D35" s="22">
        <f t="shared" si="1"/>
        <v>10.160981997535634</v>
      </c>
    </row>
    <row r="36" spans="1:4">
      <c r="A36" s="21" t="s">
        <v>89</v>
      </c>
      <c r="B36" s="3" t="s">
        <v>90</v>
      </c>
      <c r="C36" s="4">
        <v>18035340000</v>
      </c>
      <c r="D36" s="20">
        <f t="shared" si="1"/>
        <v>10.256124333997438</v>
      </c>
    </row>
    <row r="37" spans="1:4">
      <c r="A37" s="7" t="s">
        <v>89</v>
      </c>
      <c r="B37" s="5" t="s">
        <v>90</v>
      </c>
      <c r="C37" s="6">
        <v>8757428000</v>
      </c>
      <c r="D37" s="22">
        <f t="shared" si="1"/>
        <v>9.9423765754123696</v>
      </c>
    </row>
    <row r="38" spans="1:4">
      <c r="A38" s="21" t="s">
        <v>89</v>
      </c>
      <c r="B38" s="3" t="s">
        <v>90</v>
      </c>
      <c r="C38" s="4">
        <v>1859177000</v>
      </c>
      <c r="D38" s="20">
        <f t="shared" si="1"/>
        <v>9.2693207380580915</v>
      </c>
    </row>
    <row r="39" spans="1:4">
      <c r="A39" s="7" t="s">
        <v>89</v>
      </c>
      <c r="B39" s="5" t="s">
        <v>90</v>
      </c>
      <c r="C39" s="6">
        <v>2388768000</v>
      </c>
      <c r="D39" s="22">
        <f t="shared" si="1"/>
        <v>9.3781739725994253</v>
      </c>
    </row>
    <row r="40" spans="1:4">
      <c r="A40" s="21" t="s">
        <v>89</v>
      </c>
      <c r="B40" s="3" t="s">
        <v>90</v>
      </c>
      <c r="C40" s="4">
        <v>1954000000</v>
      </c>
      <c r="D40" s="20">
        <f t="shared" si="1"/>
        <v>9.2909245593827539</v>
      </c>
    </row>
    <row r="41" spans="1:4">
      <c r="A41" s="7" t="s">
        <v>89</v>
      </c>
      <c r="B41" s="5" t="s">
        <v>90</v>
      </c>
      <c r="C41" s="6">
        <v>1857339000</v>
      </c>
      <c r="D41" s="22">
        <f t="shared" si="1"/>
        <v>9.2688911780492997</v>
      </c>
    </row>
    <row r="42" spans="1:4">
      <c r="A42" s="21" t="s">
        <v>89</v>
      </c>
      <c r="B42" s="3" t="s">
        <v>120</v>
      </c>
      <c r="C42" s="4">
        <v>29402000000</v>
      </c>
      <c r="D42" s="20">
        <f t="shared" si="1"/>
        <v>10.468376873249616</v>
      </c>
    </row>
    <row r="43" spans="1:4">
      <c r="A43" s="7" t="s">
        <v>89</v>
      </c>
      <c r="B43" s="5" t="s">
        <v>120</v>
      </c>
      <c r="C43" s="6">
        <v>32870000000</v>
      </c>
      <c r="D43" s="22">
        <f t="shared" si="1"/>
        <v>10.516799704081624</v>
      </c>
    </row>
    <row r="44" spans="1:4">
      <c r="A44" s="21" t="s">
        <v>89</v>
      </c>
      <c r="B44" s="3" t="s">
        <v>120</v>
      </c>
      <c r="C44" s="4">
        <v>23633000000</v>
      </c>
      <c r="D44" s="20">
        <f t="shared" si="1"/>
        <v>10.373518854969122</v>
      </c>
    </row>
    <row r="45" spans="1:4">
      <c r="A45" s="7" t="s">
        <v>89</v>
      </c>
      <c r="B45" s="5" t="s">
        <v>120</v>
      </c>
      <c r="C45" s="6">
        <v>15887000000</v>
      </c>
      <c r="D45" s="22">
        <f t="shared" si="1"/>
        <v>10.20104189554268</v>
      </c>
    </row>
    <row r="46" spans="1:4">
      <c r="A46" s="21" t="s">
        <v>89</v>
      </c>
      <c r="B46" s="3" t="s">
        <v>150</v>
      </c>
      <c r="C46" s="4">
        <v>12245000000</v>
      </c>
      <c r="D46" s="20">
        <f t="shared" si="1"/>
        <v>10.087958789460734</v>
      </c>
    </row>
    <row r="47" spans="1:4">
      <c r="A47" s="7" t="s">
        <v>89</v>
      </c>
      <c r="B47" s="5" t="s">
        <v>150</v>
      </c>
      <c r="C47" s="6">
        <v>11905000000</v>
      </c>
      <c r="D47" s="22">
        <f t="shared" si="1"/>
        <v>10.075729399740899</v>
      </c>
    </row>
    <row r="48" spans="1:4">
      <c r="A48" s="21" t="s">
        <v>89</v>
      </c>
      <c r="B48" s="3" t="s">
        <v>150</v>
      </c>
      <c r="C48" s="4">
        <v>10737000000</v>
      </c>
      <c r="D48" s="20">
        <f t="shared" si="1"/>
        <v>10.030882953109666</v>
      </c>
    </row>
    <row r="49" spans="1:4">
      <c r="A49" s="7" t="s">
        <v>89</v>
      </c>
      <c r="B49" s="5" t="s">
        <v>150</v>
      </c>
      <c r="C49" s="6">
        <v>6636000000</v>
      </c>
      <c r="D49" s="22">
        <f t="shared" si="1"/>
        <v>9.8219063773523239</v>
      </c>
    </row>
    <row r="50" spans="1:4">
      <c r="A50" s="21" t="s">
        <v>89</v>
      </c>
      <c r="B50" s="3" t="s">
        <v>308</v>
      </c>
      <c r="C50" s="4">
        <v>3387614000</v>
      </c>
      <c r="D50" s="20">
        <f t="shared" si="1"/>
        <v>9.5298939190080354</v>
      </c>
    </row>
    <row r="51" spans="1:4">
      <c r="A51" s="7" t="s">
        <v>89</v>
      </c>
      <c r="B51" s="5" t="s">
        <v>308</v>
      </c>
      <c r="C51" s="6">
        <v>3715968000</v>
      </c>
      <c r="D51" s="22">
        <f t="shared" si="1"/>
        <v>9.5700719654176059</v>
      </c>
    </row>
    <row r="52" spans="1:4">
      <c r="A52" s="21" t="s">
        <v>89</v>
      </c>
      <c r="B52" s="3" t="s">
        <v>308</v>
      </c>
      <c r="C52" s="4">
        <v>3161702000</v>
      </c>
      <c r="D52" s="20">
        <f t="shared" si="1"/>
        <v>9.4999209339533959</v>
      </c>
    </row>
    <row r="53" spans="1:4">
      <c r="A53" s="7" t="s">
        <v>89</v>
      </c>
      <c r="B53" s="5" t="s">
        <v>308</v>
      </c>
      <c r="C53" s="6">
        <v>1624232000</v>
      </c>
      <c r="D53" s="22">
        <f t="shared" si="1"/>
        <v>9.2106480625428446</v>
      </c>
    </row>
    <row r="54" spans="1:4">
      <c r="A54" s="21" t="s">
        <v>89</v>
      </c>
      <c r="B54" s="3" t="s">
        <v>347</v>
      </c>
      <c r="C54" s="4">
        <v>14070000000</v>
      </c>
      <c r="D54" s="20">
        <f t="shared" si="1"/>
        <v>10.148294097434746</v>
      </c>
    </row>
    <row r="55" spans="1:4">
      <c r="A55" s="21" t="s">
        <v>89</v>
      </c>
      <c r="B55" s="3" t="s">
        <v>347</v>
      </c>
      <c r="C55" s="4">
        <v>16226000000</v>
      </c>
      <c r="D55" s="22">
        <f t="shared" si="1"/>
        <v>10.210211471641834</v>
      </c>
    </row>
    <row r="56" spans="1:4">
      <c r="A56" s="21" t="s">
        <v>89</v>
      </c>
      <c r="B56" s="3" t="s">
        <v>347</v>
      </c>
      <c r="C56" s="4">
        <v>14403000000</v>
      </c>
      <c r="D56" s="20">
        <f t="shared" si="1"/>
        <v>10.158452960688829</v>
      </c>
    </row>
    <row r="57" spans="1:4">
      <c r="A57" s="21" t="s">
        <v>89</v>
      </c>
      <c r="B57" s="3" t="s">
        <v>347</v>
      </c>
      <c r="C57" s="4">
        <v>13058000000</v>
      </c>
      <c r="D57" s="22">
        <f t="shared" si="1"/>
        <v>10.115876664268445</v>
      </c>
    </row>
    <row r="58" spans="1:4">
      <c r="A58" s="21" t="s">
        <v>89</v>
      </c>
      <c r="B58" s="3" t="s">
        <v>347</v>
      </c>
      <c r="C58" s="4">
        <v>82243000000</v>
      </c>
      <c r="D58" s="20">
        <f t="shared" si="1"/>
        <v>10.915098943816602</v>
      </c>
    </row>
    <row r="59" spans="1:4">
      <c r="A59" s="21" t="s">
        <v>89</v>
      </c>
      <c r="B59" s="3" t="s">
        <v>347</v>
      </c>
      <c r="C59" s="4">
        <v>100160000000</v>
      </c>
      <c r="D59" s="22">
        <f t="shared" si="1"/>
        <v>11.000694315866355</v>
      </c>
    </row>
    <row r="60" spans="1:4">
      <c r="A60" s="21" t="s">
        <v>89</v>
      </c>
      <c r="B60" s="3" t="s">
        <v>347</v>
      </c>
      <c r="C60" s="4">
        <v>97817000000</v>
      </c>
      <c r="D60" s="20">
        <f t="shared" si="1"/>
        <v>10.990414339088158</v>
      </c>
    </row>
    <row r="61" spans="1:4">
      <c r="A61" s="21" t="s">
        <v>89</v>
      </c>
      <c r="B61" s="3" t="s">
        <v>347</v>
      </c>
      <c r="C61" s="4">
        <v>72051000000</v>
      </c>
      <c r="D61" s="22">
        <f t="shared" si="1"/>
        <v>10.857640012790092</v>
      </c>
    </row>
    <row r="62" spans="1:4">
      <c r="A62" s="21" t="s">
        <v>89</v>
      </c>
      <c r="B62" s="3" t="s">
        <v>90</v>
      </c>
      <c r="C62" s="4">
        <v>11966000000</v>
      </c>
      <c r="D62" s="20">
        <f t="shared" si="1"/>
        <v>10.077948998506027</v>
      </c>
    </row>
    <row r="63" spans="1:4">
      <c r="A63" s="21" t="s">
        <v>89</v>
      </c>
      <c r="B63" s="3" t="s">
        <v>90</v>
      </c>
      <c r="C63" s="4">
        <v>11325000000</v>
      </c>
      <c r="D63" s="22">
        <f t="shared" si="1"/>
        <v>10.054038210684869</v>
      </c>
    </row>
    <row r="64" spans="1:4">
      <c r="A64" s="21" t="s">
        <v>89</v>
      </c>
      <c r="B64" s="3" t="s">
        <v>90</v>
      </c>
      <c r="C64" s="4">
        <v>10846000000</v>
      </c>
      <c r="D64" s="20">
        <f t="shared" si="1"/>
        <v>10.035269600099436</v>
      </c>
    </row>
    <row r="65" spans="1:4">
      <c r="A65" s="21" t="s">
        <v>89</v>
      </c>
      <c r="B65" s="3" t="s">
        <v>90</v>
      </c>
      <c r="C65" s="4">
        <v>5522000000</v>
      </c>
      <c r="D65" s="22">
        <f t="shared" si="1"/>
        <v>9.742096402303245</v>
      </c>
    </row>
    <row r="66" spans="1:4">
      <c r="A66" s="21" t="s">
        <v>89</v>
      </c>
      <c r="B66" s="3" t="s">
        <v>150</v>
      </c>
      <c r="C66" s="4">
        <v>4608563000</v>
      </c>
      <c r="D66" s="20">
        <f t="shared" ref="D66:D97" si="2">LOG10(C66)</f>
        <v>9.6635655287610085</v>
      </c>
    </row>
    <row r="67" spans="1:4">
      <c r="A67" s="21" t="s">
        <v>89</v>
      </c>
      <c r="B67" s="3" t="s">
        <v>150</v>
      </c>
      <c r="C67" s="4">
        <v>5312686000</v>
      </c>
      <c r="D67" s="22">
        <f t="shared" si="2"/>
        <v>9.7253141482084029</v>
      </c>
    </row>
    <row r="68" spans="1:4">
      <c r="A68" s="21" t="s">
        <v>89</v>
      </c>
      <c r="B68" s="3" t="s">
        <v>150</v>
      </c>
      <c r="C68" s="4">
        <v>5288933000</v>
      </c>
      <c r="D68" s="20">
        <f t="shared" si="2"/>
        <v>9.7233680654280246</v>
      </c>
    </row>
    <row r="69" spans="1:4">
      <c r="A69" s="21" t="s">
        <v>89</v>
      </c>
      <c r="B69" s="3" t="s">
        <v>150</v>
      </c>
      <c r="C69" s="4">
        <v>2787116000</v>
      </c>
      <c r="D69" s="22">
        <f t="shared" si="2"/>
        <v>9.4451550444619645</v>
      </c>
    </row>
    <row r="70" spans="1:4">
      <c r="A70" s="21" t="s">
        <v>89</v>
      </c>
      <c r="B70" s="3" t="s">
        <v>90</v>
      </c>
      <c r="C70" s="4">
        <v>5015000000</v>
      </c>
      <c r="D70" s="20">
        <f t="shared" si="2"/>
        <v>9.7002709373564375</v>
      </c>
    </row>
    <row r="71" spans="1:4">
      <c r="A71" s="21" t="s">
        <v>89</v>
      </c>
      <c r="B71" s="3" t="s">
        <v>90</v>
      </c>
      <c r="C71" s="4">
        <v>5115000000</v>
      </c>
      <c r="D71" s="22">
        <f t="shared" si="2"/>
        <v>9.7088456380481798</v>
      </c>
    </row>
    <row r="72" spans="1:4">
      <c r="A72" s="21" t="s">
        <v>89</v>
      </c>
      <c r="B72" s="3" t="s">
        <v>90</v>
      </c>
      <c r="C72" s="4">
        <v>3183000000</v>
      </c>
      <c r="D72" s="20">
        <f t="shared" si="2"/>
        <v>9.5028366386210035</v>
      </c>
    </row>
    <row r="73" spans="1:4">
      <c r="A73" s="21" t="s">
        <v>89</v>
      </c>
      <c r="B73" s="3" t="s">
        <v>90</v>
      </c>
      <c r="C73" s="4">
        <v>3491000000</v>
      </c>
      <c r="D73" s="22">
        <f t="shared" si="2"/>
        <v>9.5429498488141782</v>
      </c>
    </row>
    <row r="74" spans="1:4">
      <c r="A74" s="21" t="s">
        <v>89</v>
      </c>
      <c r="B74" s="3" t="s">
        <v>90</v>
      </c>
      <c r="C74" s="4">
        <v>1562000000</v>
      </c>
      <c r="D74" s="20">
        <f t="shared" si="2"/>
        <v>9.1936810295412812</v>
      </c>
    </row>
    <row r="75" spans="1:4">
      <c r="A75" s="21" t="s">
        <v>89</v>
      </c>
      <c r="B75" s="3" t="s">
        <v>90</v>
      </c>
      <c r="C75" s="4">
        <v>1857000000</v>
      </c>
      <c r="D75" s="22">
        <f t="shared" si="2"/>
        <v>9.2688119037397811</v>
      </c>
    </row>
    <row r="76" spans="1:4">
      <c r="A76" s="21" t="s">
        <v>89</v>
      </c>
      <c r="B76" s="3" t="s">
        <v>90</v>
      </c>
      <c r="C76" s="4">
        <v>2288000000</v>
      </c>
      <c r="D76" s="20">
        <f t="shared" si="2"/>
        <v>9.3594560201209873</v>
      </c>
    </row>
    <row r="77" spans="1:4">
      <c r="A77" s="21" t="s">
        <v>89</v>
      </c>
      <c r="B77" s="3" t="s">
        <v>90</v>
      </c>
      <c r="C77" s="4">
        <v>1557000000</v>
      </c>
      <c r="D77" s="22">
        <f t="shared" si="2"/>
        <v>9.1922886125681202</v>
      </c>
    </row>
    <row r="78" spans="1:4">
      <c r="A78" s="21" t="s">
        <v>89</v>
      </c>
      <c r="B78" s="3" t="s">
        <v>120</v>
      </c>
      <c r="C78" s="4">
        <v>17194000000</v>
      </c>
      <c r="D78" s="20">
        <f t="shared" si="2"/>
        <v>10.235376922402237</v>
      </c>
    </row>
    <row r="79" spans="1:4">
      <c r="A79" s="21" t="s">
        <v>89</v>
      </c>
      <c r="B79" s="3" t="s">
        <v>120</v>
      </c>
      <c r="C79" s="4">
        <v>19221000000</v>
      </c>
      <c r="D79" s="22">
        <f t="shared" si="2"/>
        <v>10.283775978711523</v>
      </c>
    </row>
    <row r="80" spans="1:4">
      <c r="A80" s="21" t="s">
        <v>89</v>
      </c>
      <c r="B80" s="3" t="s">
        <v>120</v>
      </c>
      <c r="C80" s="4">
        <v>21440000000</v>
      </c>
      <c r="D80" s="20">
        <f t="shared" si="2"/>
        <v>10.331224781020733</v>
      </c>
    </row>
    <row r="81" spans="1:4">
      <c r="A81" s="21" t="s">
        <v>89</v>
      </c>
      <c r="B81" s="3" t="s">
        <v>120</v>
      </c>
      <c r="C81" s="4">
        <v>14757000000</v>
      </c>
      <c r="D81" s="22">
        <f t="shared" si="2"/>
        <v>10.168998077278994</v>
      </c>
    </row>
    <row r="82" spans="1:4">
      <c r="A82" s="21" t="s">
        <v>89</v>
      </c>
      <c r="B82" s="3" t="s">
        <v>90</v>
      </c>
      <c r="C82" s="4">
        <v>10184121000</v>
      </c>
      <c r="D82" s="20">
        <f t="shared" si="2"/>
        <v>10.007923550633828</v>
      </c>
    </row>
    <row r="83" spans="1:4">
      <c r="A83" s="21" t="s">
        <v>89</v>
      </c>
      <c r="B83" s="3" t="s">
        <v>90</v>
      </c>
      <c r="C83" s="4">
        <v>11871879000</v>
      </c>
      <c r="D83" s="22">
        <f t="shared" si="2"/>
        <v>10.074519461561964</v>
      </c>
    </row>
    <row r="84" spans="1:4">
      <c r="A84" s="21" t="s">
        <v>89</v>
      </c>
      <c r="B84" s="3" t="s">
        <v>90</v>
      </c>
      <c r="C84" s="4">
        <v>12195091000</v>
      </c>
      <c r="D84" s="20">
        <f t="shared" si="2"/>
        <v>10.086185045375489</v>
      </c>
    </row>
    <row r="85" spans="1:4">
      <c r="A85" s="21" t="s">
        <v>89</v>
      </c>
      <c r="B85" s="3" t="s">
        <v>90</v>
      </c>
      <c r="C85" s="4">
        <v>7763206000</v>
      </c>
      <c r="D85" s="22">
        <f t="shared" si="2"/>
        <v>9.8900411105066173</v>
      </c>
    </row>
    <row r="86" spans="1:4">
      <c r="A86" s="21" t="s">
        <v>89</v>
      </c>
      <c r="B86" s="3" t="s">
        <v>90</v>
      </c>
      <c r="C86" s="4">
        <v>20100000000</v>
      </c>
      <c r="D86" s="20">
        <f t="shared" si="2"/>
        <v>10.303196057420489</v>
      </c>
    </row>
    <row r="87" spans="1:4">
      <c r="A87" s="7" t="s">
        <v>89</v>
      </c>
      <c r="B87" s="5" t="s">
        <v>90</v>
      </c>
      <c r="C87" s="6">
        <v>20170000000</v>
      </c>
      <c r="D87" s="22">
        <f t="shared" si="2"/>
        <v>10.304705898212765</v>
      </c>
    </row>
    <row r="88" spans="1:4">
      <c r="A88" s="21" t="s">
        <v>89</v>
      </c>
      <c r="B88" s="3" t="s">
        <v>90</v>
      </c>
      <c r="C88" s="4">
        <v>19312000000</v>
      </c>
      <c r="D88" s="20">
        <f t="shared" si="2"/>
        <v>10.285827252753274</v>
      </c>
    </row>
    <row r="89" spans="1:4">
      <c r="A89" s="7" t="s">
        <v>89</v>
      </c>
      <c r="B89" s="5" t="s">
        <v>90</v>
      </c>
      <c r="C89" s="6">
        <v>12480000000</v>
      </c>
      <c r="D89" s="22">
        <f t="shared" si="2"/>
        <v>10.096214585346406</v>
      </c>
    </row>
    <row r="90" spans="1:4">
      <c r="A90" s="21" t="s">
        <v>89</v>
      </c>
      <c r="B90" s="3" t="s">
        <v>347</v>
      </c>
      <c r="C90" s="4">
        <v>179290000000</v>
      </c>
      <c r="D90" s="20">
        <f t="shared" si="2"/>
        <v>11.253556067220121</v>
      </c>
    </row>
    <row r="91" spans="1:4">
      <c r="A91" s="7" t="s">
        <v>89</v>
      </c>
      <c r="B91" s="5" t="s">
        <v>347</v>
      </c>
      <c r="C91" s="6">
        <v>171596000000</v>
      </c>
      <c r="D91" s="22">
        <f t="shared" si="2"/>
        <v>11.2345071599802</v>
      </c>
    </row>
    <row r="92" spans="1:4">
      <c r="A92" s="21" t="s">
        <v>89</v>
      </c>
      <c r="B92" s="3" t="s">
        <v>347</v>
      </c>
      <c r="C92" s="4">
        <v>161212000000</v>
      </c>
      <c r="D92" s="20">
        <f t="shared" si="2"/>
        <v>11.207397365879833</v>
      </c>
    </row>
    <row r="93" spans="1:4">
      <c r="A93" s="7" t="s">
        <v>89</v>
      </c>
      <c r="B93" s="5" t="s">
        <v>347</v>
      </c>
      <c r="C93" s="6">
        <v>98975000000</v>
      </c>
      <c r="D93" s="22">
        <f t="shared" si="2"/>
        <v>10.995525510424242</v>
      </c>
    </row>
    <row r="94" spans="1:4">
      <c r="A94" s="21" t="s">
        <v>89</v>
      </c>
      <c r="B94" s="3" t="s">
        <v>90</v>
      </c>
      <c r="C94" s="4">
        <v>1367135000</v>
      </c>
      <c r="D94" s="20">
        <f t="shared" si="2"/>
        <v>9.1358114018101162</v>
      </c>
    </row>
    <row r="95" spans="1:4">
      <c r="A95" s="21" t="s">
        <v>89</v>
      </c>
      <c r="B95" s="3" t="s">
        <v>90</v>
      </c>
      <c r="C95" s="4">
        <v>1832253000</v>
      </c>
      <c r="D95" s="22">
        <f t="shared" si="2"/>
        <v>9.2629854414484374</v>
      </c>
    </row>
    <row r="96" spans="1:4">
      <c r="A96" s="21" t="s">
        <v>89</v>
      </c>
      <c r="B96" s="3" t="s">
        <v>90</v>
      </c>
      <c r="C96" s="4">
        <v>2042537000</v>
      </c>
      <c r="D96" s="20">
        <f t="shared" si="2"/>
        <v>9.3101699324016565</v>
      </c>
    </row>
    <row r="97" spans="1:4">
      <c r="A97" s="21" t="s">
        <v>89</v>
      </c>
      <c r="B97" s="3" t="s">
        <v>90</v>
      </c>
      <c r="C97" s="4">
        <v>1181704000</v>
      </c>
      <c r="D97" s="22">
        <f t="shared" si="2"/>
        <v>9.0725087055931084</v>
      </c>
    </row>
    <row r="98" spans="1:4">
      <c r="A98" s="21" t="s">
        <v>89</v>
      </c>
      <c r="B98" s="3" t="s">
        <v>347</v>
      </c>
      <c r="C98" s="4">
        <v>5075000000</v>
      </c>
      <c r="D98" s="20">
        <f t="shared" ref="D98:D125" si="3">LOG10(C98)</f>
        <v>9.7054360465852501</v>
      </c>
    </row>
    <row r="99" spans="1:4">
      <c r="A99" s="21" t="s">
        <v>89</v>
      </c>
      <c r="B99" s="3" t="s">
        <v>347</v>
      </c>
      <c r="C99" s="4">
        <v>5518000000</v>
      </c>
      <c r="D99" s="22">
        <f t="shared" si="3"/>
        <v>9.7417816961431658</v>
      </c>
    </row>
    <row r="100" spans="1:4">
      <c r="A100" s="21" t="s">
        <v>89</v>
      </c>
      <c r="B100" s="3" t="s">
        <v>347</v>
      </c>
      <c r="C100" s="4">
        <v>5903000000</v>
      </c>
      <c r="D100" s="20">
        <f t="shared" si="3"/>
        <v>9.7710727832211948</v>
      </c>
    </row>
    <row r="101" spans="1:4">
      <c r="A101" s="21" t="s">
        <v>89</v>
      </c>
      <c r="B101" s="3" t="s">
        <v>347</v>
      </c>
      <c r="C101" s="4">
        <v>5234000000</v>
      </c>
      <c r="D101" s="22">
        <f t="shared" si="3"/>
        <v>9.7188337183038627</v>
      </c>
    </row>
    <row r="102" spans="1:4">
      <c r="A102" s="21" t="s">
        <v>89</v>
      </c>
      <c r="B102" s="3" t="s">
        <v>90</v>
      </c>
      <c r="C102" s="4">
        <v>2730000000</v>
      </c>
      <c r="D102" s="20">
        <f t="shared" si="3"/>
        <v>9.4361626470407565</v>
      </c>
    </row>
    <row r="103" spans="1:4">
      <c r="A103" s="21" t="s">
        <v>89</v>
      </c>
      <c r="B103" s="3" t="s">
        <v>90</v>
      </c>
      <c r="C103" s="4">
        <v>3371000000</v>
      </c>
      <c r="D103" s="22">
        <f t="shared" si="3"/>
        <v>9.5277587525209722</v>
      </c>
    </row>
    <row r="104" spans="1:4">
      <c r="A104" s="21" t="s">
        <v>89</v>
      </c>
      <c r="B104" s="3" t="s">
        <v>90</v>
      </c>
      <c r="C104" s="4">
        <v>4038000000</v>
      </c>
      <c r="D104" s="20">
        <f t="shared" si="3"/>
        <v>9.6061663146076199</v>
      </c>
    </row>
    <row r="105" spans="1:4">
      <c r="A105" s="21" t="s">
        <v>89</v>
      </c>
      <c r="B105" s="3" t="s">
        <v>90</v>
      </c>
      <c r="C105" s="4">
        <v>3133000000</v>
      </c>
      <c r="D105" s="22">
        <f t="shared" si="3"/>
        <v>9.4959603948817044</v>
      </c>
    </row>
    <row r="106" spans="1:4">
      <c r="A106" s="21" t="s">
        <v>89</v>
      </c>
      <c r="B106" s="3" t="s">
        <v>347</v>
      </c>
      <c r="C106" s="4">
        <v>29809000000</v>
      </c>
      <c r="D106" s="20">
        <f t="shared" si="3"/>
        <v>10.474347407036776</v>
      </c>
    </row>
    <row r="107" spans="1:4">
      <c r="A107" s="21" t="s">
        <v>89</v>
      </c>
      <c r="B107" s="3" t="s">
        <v>347</v>
      </c>
      <c r="C107" s="4">
        <v>37601000000</v>
      </c>
      <c r="D107" s="22">
        <f t="shared" si="3"/>
        <v>10.575199395159226</v>
      </c>
    </row>
    <row r="108" spans="1:4">
      <c r="A108" s="21" t="s">
        <v>89</v>
      </c>
      <c r="B108" s="3" t="s">
        <v>347</v>
      </c>
      <c r="C108" s="4">
        <v>40633000000</v>
      </c>
      <c r="D108" s="20">
        <f t="shared" si="3"/>
        <v>10.608878888173017</v>
      </c>
    </row>
    <row r="109" spans="1:4">
      <c r="A109" s="21" t="s">
        <v>89</v>
      </c>
      <c r="B109" s="3" t="s">
        <v>347</v>
      </c>
      <c r="C109" s="4">
        <v>28711000000</v>
      </c>
      <c r="D109" s="22">
        <f t="shared" si="3"/>
        <v>10.458048319174271</v>
      </c>
    </row>
    <row r="110" spans="1:4">
      <c r="A110" s="21" t="s">
        <v>89</v>
      </c>
      <c r="B110" s="3" t="s">
        <v>347</v>
      </c>
      <c r="C110" s="4">
        <v>138393000000</v>
      </c>
      <c r="D110" s="20">
        <f t="shared" si="3"/>
        <v>11.14111412380386</v>
      </c>
    </row>
    <row r="111" spans="1:4">
      <c r="A111" s="21" t="s">
        <v>89</v>
      </c>
      <c r="B111" s="3" t="s">
        <v>347</v>
      </c>
      <c r="C111" s="4">
        <v>138074000000</v>
      </c>
      <c r="D111" s="22">
        <f t="shared" si="3"/>
        <v>11.140111906532292</v>
      </c>
    </row>
    <row r="112" spans="1:4">
      <c r="A112" s="21" t="s">
        <v>89</v>
      </c>
      <c r="B112" s="3" t="s">
        <v>347</v>
      </c>
      <c r="C112" s="4">
        <v>130844000000</v>
      </c>
      <c r="D112" s="20">
        <f t="shared" si="3"/>
        <v>11.116753812366532</v>
      </c>
    </row>
    <row r="113" spans="1:4">
      <c r="A113" s="21" t="s">
        <v>89</v>
      </c>
      <c r="B113" s="3" t="s">
        <v>347</v>
      </c>
      <c r="C113" s="4">
        <v>87804000000</v>
      </c>
      <c r="D113" s="22">
        <f t="shared" si="3"/>
        <v>10.943514301081018</v>
      </c>
    </row>
    <row r="114" spans="1:4">
      <c r="A114" s="21" t="s">
        <v>89</v>
      </c>
      <c r="B114" s="3" t="s">
        <v>90</v>
      </c>
      <c r="C114" s="4">
        <v>7486000000</v>
      </c>
      <c r="D114" s="20">
        <f t="shared" si="3"/>
        <v>9.8742498227784026</v>
      </c>
    </row>
    <row r="115" spans="1:4">
      <c r="A115" s="21" t="s">
        <v>89</v>
      </c>
      <c r="B115" s="3" t="s">
        <v>90</v>
      </c>
      <c r="C115" s="4">
        <v>6860000000</v>
      </c>
      <c r="D115" s="22">
        <f t="shared" si="3"/>
        <v>9.836324115706752</v>
      </c>
    </row>
    <row r="116" spans="1:4">
      <c r="A116" s="21" t="s">
        <v>89</v>
      </c>
      <c r="B116" s="3" t="s">
        <v>90</v>
      </c>
      <c r="C116" s="4">
        <v>7637000000</v>
      </c>
      <c r="D116" s="20">
        <f t="shared" si="3"/>
        <v>9.8829227906025992</v>
      </c>
    </row>
    <row r="117" spans="1:4">
      <c r="A117" s="21" t="s">
        <v>89</v>
      </c>
      <c r="B117" s="3" t="s">
        <v>90</v>
      </c>
      <c r="C117" s="4">
        <v>7360000000</v>
      </c>
      <c r="D117" s="22">
        <f t="shared" si="3"/>
        <v>9.8668778143374993</v>
      </c>
    </row>
    <row r="118" spans="1:4">
      <c r="A118" s="21" t="s">
        <v>89</v>
      </c>
      <c r="B118" s="3" t="s">
        <v>90</v>
      </c>
      <c r="C118" s="4">
        <v>1623938000</v>
      </c>
      <c r="D118" s="20">
        <f t="shared" si="3"/>
        <v>9.2105694443806012</v>
      </c>
    </row>
    <row r="119" spans="1:4">
      <c r="A119" s="7" t="s">
        <v>89</v>
      </c>
      <c r="B119" s="5" t="s">
        <v>90</v>
      </c>
      <c r="C119" s="6">
        <v>1998051000</v>
      </c>
      <c r="D119" s="22">
        <f t="shared" si="3"/>
        <v>9.3006065693433673</v>
      </c>
    </row>
    <row r="120" spans="1:4">
      <c r="A120" s="21" t="s">
        <v>89</v>
      </c>
      <c r="B120" s="3" t="s">
        <v>90</v>
      </c>
      <c r="C120" s="4">
        <v>2424176000</v>
      </c>
      <c r="D120" s="20">
        <f t="shared" si="3"/>
        <v>9.384564147282223</v>
      </c>
    </row>
    <row r="121" spans="1:4">
      <c r="A121" s="7" t="s">
        <v>89</v>
      </c>
      <c r="B121" s="5" t="s">
        <v>90</v>
      </c>
      <c r="C121" s="6">
        <v>1452619000</v>
      </c>
      <c r="D121" s="22">
        <f t="shared" si="3"/>
        <v>9.1621517203576577</v>
      </c>
    </row>
    <row r="122" spans="1:4">
      <c r="A122" s="21" t="s">
        <v>89</v>
      </c>
      <c r="B122" s="3" t="s">
        <v>150</v>
      </c>
      <c r="C122" s="4">
        <v>451509000000</v>
      </c>
      <c r="D122" s="20">
        <f t="shared" si="3"/>
        <v>11.654666411596105</v>
      </c>
    </row>
    <row r="123" spans="1:4">
      <c r="A123" s="7" t="s">
        <v>89</v>
      </c>
      <c r="B123" s="5" t="s">
        <v>150</v>
      </c>
      <c r="C123" s="6">
        <v>420836000000</v>
      </c>
      <c r="D123" s="22">
        <f t="shared" si="3"/>
        <v>11.624112884027351</v>
      </c>
    </row>
    <row r="124" spans="1:4">
      <c r="A124" s="21" t="s">
        <v>89</v>
      </c>
      <c r="B124" s="3" t="s">
        <v>150</v>
      </c>
      <c r="C124" s="4">
        <v>394105000000</v>
      </c>
      <c r="D124" s="20">
        <f t="shared" si="3"/>
        <v>11.595611944783478</v>
      </c>
    </row>
    <row r="125" spans="1:4">
      <c r="A125" s="14" t="s">
        <v>89</v>
      </c>
      <c r="B125" s="15" t="s">
        <v>150</v>
      </c>
      <c r="C125" s="19">
        <v>259488000000</v>
      </c>
      <c r="D125" s="18">
        <f t="shared" si="3"/>
        <v>11.414117278738294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E4F0A-A2C7-4748-A6B9-D382848EC22B}">
  <dimension ref="C4:G14"/>
  <sheetViews>
    <sheetView tabSelected="1" topLeftCell="A7" workbookViewId="0">
      <selection activeCell="C14" sqref="C14:G14"/>
    </sheetView>
  </sheetViews>
  <sheetFormatPr defaultRowHeight="14.25"/>
  <cols>
    <col min="2" max="2" width="17.375" customWidth="1"/>
    <col min="3" max="3" width="22.875" bestFit="1" customWidth="1"/>
    <col min="4" max="4" width="21.125" customWidth="1"/>
    <col min="5" max="5" width="23.875" customWidth="1"/>
    <col min="6" max="6" width="20.875" customWidth="1"/>
    <col min="7" max="7" width="22.625" customWidth="1"/>
  </cols>
  <sheetData>
    <row r="4" spans="3:7">
      <c r="C4" s="32" t="s">
        <v>591</v>
      </c>
      <c r="D4" s="78" t="s">
        <v>27</v>
      </c>
    </row>
    <row r="6" spans="3:7">
      <c r="D6" s="33" t="s">
        <v>18</v>
      </c>
      <c r="E6" s="33" t="s">
        <v>21</v>
      </c>
      <c r="F6" s="33" t="s">
        <v>22</v>
      </c>
      <c r="G6" s="33" t="s">
        <v>23</v>
      </c>
    </row>
    <row r="7" spans="3:7">
      <c r="C7" t="s">
        <v>592</v>
      </c>
      <c r="D7" s="98">
        <f>VLOOKUP(SUMIFS(id,ticker,D4,years,D6),my_table,6,FALSE)</f>
        <v>170910000000</v>
      </c>
      <c r="E7" s="98">
        <f>VLOOKUP(SUMIFS(id,ticker,D4,years,E6),my_table,6,FALSE)</f>
        <v>182795000000</v>
      </c>
      <c r="F7" s="98">
        <f>VLOOKUP(SUMIFS(id,ticker,D4,years,F6),my_table,6,FALSE)</f>
        <v>233715000000</v>
      </c>
      <c r="G7" s="98">
        <f>VLOOKUP(SUMIFS(id,ticker,D4,years,G6),my_table,6,FALSE)</f>
        <v>215639000000</v>
      </c>
    </row>
    <row r="8" spans="3:7">
      <c r="C8" t="s">
        <v>593</v>
      </c>
      <c r="D8" s="98">
        <f>VLOOKUP(SUMIFS(id,ticker,D4,years,D6),my_table,7,FALSE)</f>
        <v>106606000000</v>
      </c>
      <c r="E8" s="98">
        <f>VLOOKUP(SUMIFS(id,ticker,D4,years,E6),my_table,7,FALSE)</f>
        <v>112258000000</v>
      </c>
      <c r="F8" s="98">
        <f>VLOOKUP(SUMIFS(id,ticker,D4,years,F6),my_table,7,FALSE)</f>
        <v>140089000000</v>
      </c>
      <c r="G8" s="98">
        <f>VLOOKUP(SUMIFS(id,ticker,D4,years,G6),my_table,7,FALSE)</f>
        <v>131376000000</v>
      </c>
    </row>
    <row r="9" spans="3:7" ht="15">
      <c r="C9" s="99" t="s">
        <v>594</v>
      </c>
      <c r="D9" s="100">
        <f>D7-D8</f>
        <v>64304000000</v>
      </c>
      <c r="E9" s="100">
        <f>E7-E8</f>
        <v>70537000000</v>
      </c>
      <c r="F9" s="100">
        <f>F7-F8</f>
        <v>93626000000</v>
      </c>
      <c r="G9" s="100">
        <f>G7-G8</f>
        <v>84263000000</v>
      </c>
    </row>
    <row r="10" spans="3:7">
      <c r="C10" t="s">
        <v>595</v>
      </c>
      <c r="D10" s="98">
        <f>VLOOKUP(SUMIFS(id,ticker,D4,years,D6),my_table,8,FALSE)</f>
        <v>10830000000</v>
      </c>
      <c r="E10" s="98">
        <f>VLOOKUP(SUMIFS(id,ticker,D4,years,E6),my_table,8,FALSE)</f>
        <v>11993000000</v>
      </c>
      <c r="F10" s="98">
        <f>VLOOKUP(SUMIFS(id,ticker,D4,years,F6),my_table,8,FALSE)</f>
        <v>14329000000</v>
      </c>
      <c r="G10" s="98">
        <f>VLOOKUP(SUMIFS(id,ticker,D4,years,G6),my_table,8,FALSE)</f>
        <v>14194000000</v>
      </c>
    </row>
    <row r="11" spans="3:7">
      <c r="C11" t="s">
        <v>596</v>
      </c>
      <c r="D11" s="98">
        <f>VLOOKUP(SUMIFS(id,ticker,D4,years,D6),my_table,10,FALSE)</f>
        <v>0</v>
      </c>
      <c r="E11" s="98">
        <f>VLOOKUP(SUMIFS(id,ticker,D4,years,E6),my_table,10,FALSE)</f>
        <v>0</v>
      </c>
      <c r="F11" s="98">
        <f>VLOOKUP(SUMIFS(id,ticker,D4,years,F6),my_table,10,FALSE)</f>
        <v>0</v>
      </c>
      <c r="G11" s="98">
        <f>VLOOKUP(SUMIFS(id,ticker,D4,years,G6),my_table,10,FALSE)</f>
        <v>0</v>
      </c>
    </row>
    <row r="12" spans="3:7">
      <c r="C12" t="s">
        <v>597</v>
      </c>
      <c r="D12" s="98">
        <f>VLOOKUP(SUMIFS(id,ticker,D4,years,D6),my_table,9,FALSE)</f>
        <v>4475000000</v>
      </c>
      <c r="E12" s="98">
        <f>VLOOKUP(SUMIFS(id,ticker,D4,years,E6),my_table,9,FALSE)</f>
        <v>6041000000</v>
      </c>
      <c r="F12" s="98">
        <f>VLOOKUP(SUMIFS(id,ticker,D4,years,F6),my_table,9,FALSE)</f>
        <v>8067000000</v>
      </c>
      <c r="G12" s="98">
        <f>VLOOKUP(SUMIFS(id,ticker,D4,years,G6),my_table,9,FALSE)</f>
        <v>10045000000</v>
      </c>
    </row>
    <row r="13" spans="3:7" ht="15">
      <c r="C13" s="101" t="s">
        <v>598</v>
      </c>
      <c r="D13" s="102">
        <f>SUM(D10:D12)</f>
        <v>15305000000</v>
      </c>
      <c r="E13" s="102">
        <f>SUM(E10:E12)</f>
        <v>18034000000</v>
      </c>
      <c r="F13" s="102">
        <f>SUM(F10:F12)</f>
        <v>22396000000</v>
      </c>
      <c r="G13" s="102">
        <f>SUM(G10:G12)</f>
        <v>24239000000</v>
      </c>
    </row>
    <row r="14" spans="3:7" ht="15">
      <c r="C14" s="103" t="s">
        <v>599</v>
      </c>
      <c r="D14" s="104">
        <f>D9-D13</f>
        <v>48999000000</v>
      </c>
      <c r="E14" s="104">
        <f>E9-E13</f>
        <v>52503000000</v>
      </c>
      <c r="F14" s="104">
        <f>F9-F13</f>
        <v>71230000000</v>
      </c>
      <c r="G14" s="104">
        <f>G9-G13</f>
        <v>60024000000</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72584A86-C2D4-4922-B914-528A715C7C30}">
          <x14:formula1>
            <xm:f>helper!$A$1:$A$430</xm:f>
          </x14:formula1>
          <xm:sqref>D4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BEBD0-06E4-4A9E-83EB-193D3C085E0A}">
  <dimension ref="A1:M1000"/>
  <sheetViews>
    <sheetView workbookViewId="0">
      <selection activeCell="B2" sqref="B2"/>
    </sheetView>
  </sheetViews>
  <sheetFormatPr defaultColWidth="12.625" defaultRowHeight="15" customHeight="1"/>
  <cols>
    <col min="1" max="1" width="12.375" style="34" customWidth="1"/>
    <col min="2" max="2" width="7.625" style="34" customWidth="1"/>
    <col min="3" max="3" width="11.75" style="34" customWidth="1"/>
    <col min="4" max="4" width="7.625" style="34" customWidth="1"/>
    <col min="5" max="6" width="13.875" style="34" customWidth="1"/>
    <col min="7" max="8" width="16.25" style="34" customWidth="1"/>
    <col min="9" max="9" width="15.25" style="34" customWidth="1"/>
    <col min="10" max="10" width="18" style="34" customWidth="1"/>
    <col min="11" max="11" width="7.625" style="34" customWidth="1"/>
    <col min="12" max="12" width="10.125" style="34" customWidth="1"/>
    <col min="13" max="27" width="7.625" style="34" customWidth="1"/>
    <col min="28" max="16384" width="12.625" style="34"/>
  </cols>
  <sheetData>
    <row r="1" spans="1:10" ht="14.25" customHeight="1">
      <c r="D1" s="70"/>
    </row>
    <row r="2" spans="1:10" ht="14.25" customHeight="1">
      <c r="A2" s="70" t="s">
        <v>600</v>
      </c>
      <c r="B2" s="75" t="s">
        <v>46</v>
      </c>
    </row>
    <row r="3" spans="1:10" ht="14.25" customHeight="1"/>
    <row r="4" spans="1:10" ht="14.25" customHeight="1">
      <c r="B4" s="47" t="s">
        <v>601</v>
      </c>
      <c r="C4" s="46"/>
      <c r="D4" s="46"/>
      <c r="E4" s="46"/>
      <c r="F4" s="46"/>
      <c r="G4" s="46"/>
      <c r="H4" s="46"/>
      <c r="I4" s="46"/>
      <c r="J4" s="46"/>
    </row>
    <row r="5" spans="1:10" ht="14.25" customHeight="1">
      <c r="E5" s="105" t="s">
        <v>602</v>
      </c>
      <c r="F5" s="106"/>
      <c r="G5" s="106"/>
      <c r="H5" s="79"/>
      <c r="I5" s="107" t="s">
        <v>603</v>
      </c>
      <c r="J5" s="108"/>
    </row>
    <row r="6" spans="1:10" ht="14.25" customHeight="1">
      <c r="B6" s="74"/>
      <c r="E6" s="82" t="s">
        <v>18</v>
      </c>
      <c r="F6" s="82" t="s">
        <v>21</v>
      </c>
      <c r="G6" s="82" t="s">
        <v>22</v>
      </c>
      <c r="H6" s="73" t="s">
        <v>23</v>
      </c>
      <c r="I6" s="72" t="s">
        <v>604</v>
      </c>
      <c r="J6" s="71" t="s">
        <v>605</v>
      </c>
    </row>
    <row r="7" spans="1:10" ht="14.25" customHeight="1">
      <c r="B7" s="70" t="s">
        <v>606</v>
      </c>
      <c r="E7" s="66" cm="1">
        <f t="array" ref="E7">VLOOKUP(SUMIFS(id,ticker,B2,years,E6),my_table,6,FALSE)</f>
        <v>2312200000</v>
      </c>
      <c r="F7" s="66" cm="1">
        <f t="array" ref="F7">VLOOKUP(SUMIFS(id,ticker,B2,years,F6),my_table,6,FALSE)</f>
        <v>2273900000</v>
      </c>
      <c r="G7" s="66" cm="1">
        <f t="array" ref="G7">VLOOKUP(SUMIFS(id,ticker,B2,years,G6),my_table,6,FALSE)</f>
        <v>2512200000</v>
      </c>
      <c r="H7" s="66" cm="1">
        <f t="array" ref="H7">VLOOKUP(SUMIFS(id,ticker,B2,years,H6),my_table,6,FALSE)</f>
        <v>2504100000</v>
      </c>
      <c r="I7" s="63">
        <f ca="1">G7*(1+I18)</f>
        <v>2775473345.3537974</v>
      </c>
      <c r="J7" s="63">
        <f ca="1">I7*(1+J18)</f>
        <v>3066337190.8165751</v>
      </c>
    </row>
    <row r="8" spans="1:10" ht="14.25" customHeight="1">
      <c r="B8" s="67" t="s">
        <v>593</v>
      </c>
      <c r="E8" s="66" cm="1">
        <f t="array" ref="E8">VLOOKUP(SUMIFS(id,ticker,B2,years,E6),my_table,7,FALSE)</f>
        <v>238500000</v>
      </c>
      <c r="F8" s="66" cm="1">
        <f t="array" ref="F8">VLOOKUP(SUMIFS(id,ticker,B2,years,F6),my_table,7,FALSE)</f>
        <v>274300000</v>
      </c>
      <c r="G8" s="66" cm="1">
        <f t="array" ref="G8">VLOOKUP(SUMIFS(id,ticker,B2,years,G6),my_table,7,FALSE)</f>
        <v>342100000</v>
      </c>
      <c r="H8" s="66" cm="1">
        <f t="array" ref="H8">VLOOKUP(SUMIFS(id,ticker,B2,years,H6),my_table,7,FALSE)</f>
        <v>370700000</v>
      </c>
      <c r="I8" s="65"/>
      <c r="J8" s="65"/>
    </row>
    <row r="9" spans="1:10" ht="14.25" customHeight="1">
      <c r="B9" s="70" t="s">
        <v>594</v>
      </c>
      <c r="E9" s="69">
        <f>E7-E8</f>
        <v>2073700000</v>
      </c>
      <c r="F9" s="69">
        <f>F7-F8</f>
        <v>1999600000</v>
      </c>
      <c r="G9" s="69">
        <f>G7-G8</f>
        <v>2170100000</v>
      </c>
      <c r="H9" s="69">
        <f>H7-H8</f>
        <v>2133400000</v>
      </c>
      <c r="I9" s="63">
        <f ca="1">I7*I19</f>
        <v>2489187387.0167675</v>
      </c>
      <c r="J9" s="63">
        <f ca="1">J7*J19</f>
        <v>2750049058.2978687</v>
      </c>
    </row>
    <row r="10" spans="1:10" ht="14.25" customHeight="1">
      <c r="B10" s="68" t="s">
        <v>607</v>
      </c>
      <c r="E10" s="66" cm="1">
        <f t="array" ref="E10">VLOOKUP(SUMIFS(id,ticker,B2,years,E6),my_table,8,FALSE)</f>
        <v>1081800000</v>
      </c>
      <c r="F10" s="66" cm="1">
        <f t="array" ref="F10">VLOOKUP(SUMIFS(id,ticker,B2,years,F6),my_table,8,FALSE)</f>
        <v>1054400000</v>
      </c>
      <c r="G10" s="66" cm="1">
        <f t="array" ref="G10">VLOOKUP(SUMIFS(id,ticker,B2,years,G6),my_table,8,FALSE)</f>
        <v>1281300000</v>
      </c>
      <c r="H10" s="66" cm="1">
        <f t="array" ref="H10">VLOOKUP(SUMIFS(id,ticker,B2,years,H6),my_table,8,FALSE)</f>
        <v>1308900000</v>
      </c>
      <c r="I10" s="65"/>
      <c r="J10" s="65"/>
    </row>
    <row r="11" spans="1:10" ht="14.25" customHeight="1">
      <c r="B11" s="67" t="s">
        <v>608</v>
      </c>
      <c r="E11" s="66" cm="1">
        <f t="array" ref="E11">VLOOKUP(SUMIFS(id,ticker,B2,years,E6),my_table,10,FALSE)</f>
        <v>42100000</v>
      </c>
      <c r="F11" s="66" cm="1">
        <f t="array" ref="F11">VLOOKUP(SUMIFS(id,ticker,B2,years,F6),my_table,10,FALSE)</f>
        <v>36500000</v>
      </c>
      <c r="G11" s="66" cm="1">
        <f t="array" ref="G11">VLOOKUP(SUMIFS(id,ticker,B2,years,G6),my_table,10,FALSE)</f>
        <v>39800000</v>
      </c>
      <c r="H11" s="66" cm="1">
        <f t="array" ref="H11">VLOOKUP(SUMIFS(id,ticker,B2,years,H6),my_table,10,FALSE)</f>
        <v>33200000</v>
      </c>
      <c r="I11" s="65"/>
      <c r="J11" s="65"/>
    </row>
    <row r="12" spans="1:10" ht="14.25" customHeight="1">
      <c r="B12" s="64" t="s">
        <v>609</v>
      </c>
      <c r="E12" s="63">
        <f>SUM(E10:E11)</f>
        <v>1123900000</v>
      </c>
      <c r="F12" s="63">
        <f>SUM(F10:F11)</f>
        <v>1090900000</v>
      </c>
      <c r="G12" s="63">
        <f>SUM(G10:G11)</f>
        <v>1321100000</v>
      </c>
      <c r="H12" s="63">
        <f>SUM(H10,H11)</f>
        <v>1342100000</v>
      </c>
      <c r="I12" s="62"/>
      <c r="J12" s="62"/>
    </row>
    <row r="13" spans="1:10" ht="14.25" customHeight="1">
      <c r="B13" s="61" t="s">
        <v>610</v>
      </c>
      <c r="C13" s="60"/>
      <c r="D13" s="60"/>
      <c r="E13" s="59">
        <f>E9-(SUM(E10:E11))</f>
        <v>949800000</v>
      </c>
      <c r="F13" s="59">
        <f>F9-SUM(F10:F11)</f>
        <v>908700000</v>
      </c>
      <c r="G13" s="59">
        <f>G9-SUM(G10:G11)</f>
        <v>849000000</v>
      </c>
      <c r="H13" s="59">
        <f>H9-SUM(H10:H11)</f>
        <v>791300000</v>
      </c>
      <c r="I13" s="58">
        <f ca="1">I7*I20</f>
        <v>419886072.22764397</v>
      </c>
      <c r="J13" s="58">
        <f ca="1">J7*J20</f>
        <v>463889261.0274362</v>
      </c>
    </row>
    <row r="14" spans="1:10" ht="14.25" customHeight="1"/>
    <row r="15" spans="1:10" ht="14.25" customHeight="1"/>
    <row r="16" spans="1:10" ht="14.25" customHeight="1">
      <c r="B16" s="47" t="s">
        <v>611</v>
      </c>
      <c r="C16" s="46"/>
      <c r="D16" s="46"/>
      <c r="E16" s="46"/>
      <c r="F16" s="47"/>
      <c r="G16" s="47"/>
      <c r="H16" s="47"/>
      <c r="I16" s="47"/>
      <c r="J16" s="47"/>
    </row>
    <row r="17" spans="1:13" ht="14.25" customHeight="1" thickBot="1">
      <c r="B17" s="57"/>
      <c r="C17" s="57"/>
      <c r="D17" s="109" t="s">
        <v>602</v>
      </c>
      <c r="E17" s="110"/>
      <c r="F17" s="110"/>
      <c r="G17" s="110"/>
      <c r="H17" s="80"/>
      <c r="I17" s="109" t="s">
        <v>612</v>
      </c>
      <c r="J17" s="110"/>
    </row>
    <row r="18" spans="1:13" ht="14.25" customHeight="1" thickTop="1">
      <c r="B18" s="54" t="s">
        <v>613</v>
      </c>
      <c r="E18" s="54"/>
      <c r="F18" s="56">
        <f>$F$7/$E$7-1</f>
        <v>-1.6564311045757285E-2</v>
      </c>
      <c r="G18" s="56">
        <f>$G$7/$F$7-1</f>
        <v>0.10479792427107615</v>
      </c>
      <c r="H18" s="56">
        <f>$H$7/$G$7-1</f>
        <v>-3.224265583950281E-3</v>
      </c>
      <c r="I18" s="55">
        <f ca="1">OFFSET($I$27,MATCH($C$23,$B$28:$B$30,0),0)</f>
        <v>0.10479792427107615</v>
      </c>
      <c r="J18" s="55">
        <f ca="1">OFFSET($I$27,MATCH($C$23,$B$28:$B$30,0),1)</f>
        <v>0.10479792427107615</v>
      </c>
    </row>
    <row r="19" spans="1:13" ht="14.25" customHeight="1">
      <c r="B19" s="54" t="s">
        <v>614</v>
      </c>
      <c r="E19" s="53" cm="1">
        <f t="array" ref="E19">VLOOKUP(SUMIFS(id,ticker,B2,years,E6),my_table,17,FALSE)</f>
        <v>0.89685148343568899</v>
      </c>
      <c r="F19" s="53" cm="1">
        <f t="array" ref="F19">VLOOKUP(SUMIFS(id,ticker,B2,years,F6),my_table,17,FALSE)</f>
        <v>0.87937024495360394</v>
      </c>
      <c r="G19" s="53" cm="1">
        <f t="array" ref="G19">VLOOKUP(SUMIFS(id,ticker,B2,years,G6),my_table,17,FALSE)</f>
        <v>0.86382453626303635</v>
      </c>
      <c r="H19" s="53" cm="1">
        <f t="array" ref="H19">VLOOKUP(SUMIFS(id,ticker,B2,years,H6),my_table,17,FALSE)</f>
        <v>0.85196278103909595</v>
      </c>
      <c r="I19" s="52">
        <f t="array" aca="1" ref="I19" ca="1">OFFSET($I$31,MATCH($C$23,$B$32:$B$34,0),0)</f>
        <v>0.89685148343568899</v>
      </c>
      <c r="J19" s="52">
        <f t="array" aca="1" ref="J19" ca="1">OFFSET($I$31,MATCH($C$23,$B$32:$B$34,0),1)</f>
        <v>0.89685148343568899</v>
      </c>
    </row>
    <row r="20" spans="1:13" ht="14.25" customHeight="1">
      <c r="B20" s="51" t="s">
        <v>615</v>
      </c>
      <c r="C20" s="36"/>
      <c r="D20" s="36"/>
      <c r="E20" s="76" cm="1">
        <f t="array" ref="E20">VLOOKUP(SUMIFS(id,ticker,B2,years,E6),my_table,16,FALSE)</f>
        <v>0.15128449096098953</v>
      </c>
      <c r="F20" s="50" cm="1">
        <f t="array" ref="F20">VLOOKUP(SUMIFS(id,ticker,B2,years,F6),my_table,16,FALSE)</f>
        <v>0.1308764677426448</v>
      </c>
      <c r="G20" s="50" cm="1">
        <f t="array" ref="G20">VLOOKUP(SUMIFS(id,ticker,B2,years,G6),my_table,16,FALSE)</f>
        <v>4.9279515962104926E-2</v>
      </c>
      <c r="H20" s="50" cm="1">
        <f t="array" ref="H20">VLOOKUP(SUMIFS(id,ticker,B2,years,H6),my_table,16,FALSE)</f>
        <v>5.1914859630206457E-4</v>
      </c>
      <c r="I20" s="49">
        <f t="array" aca="1" ref="I20" ca="1">OFFSET($I$35,MATCH($C$23,$B$36:$B$38,0),0)</f>
        <v>0.15128449096098953</v>
      </c>
      <c r="J20" s="49">
        <f ca="1">OFFSET($I$35,MATCH($C$23,$B$36:$B$38,0),1)</f>
        <v>0.15128449096098953</v>
      </c>
    </row>
    <row r="21" spans="1:13" ht="14.25" customHeight="1"/>
    <row r="22" spans="1:13" ht="14.25" customHeight="1" thickBot="1"/>
    <row r="23" spans="1:13" ht="14.25" customHeight="1" thickBot="1">
      <c r="B23" s="34" t="s">
        <v>616</v>
      </c>
      <c r="C23" s="48" t="s">
        <v>617</v>
      </c>
    </row>
    <row r="24" spans="1:13" ht="14.25" customHeight="1"/>
    <row r="25" spans="1:13" ht="14.25" customHeight="1">
      <c r="B25" s="47" t="s">
        <v>618</v>
      </c>
      <c r="C25" s="46"/>
      <c r="D25" s="46"/>
      <c r="E25" s="46"/>
      <c r="F25" s="46"/>
      <c r="G25" s="46"/>
      <c r="H25" s="46"/>
      <c r="I25" s="46"/>
      <c r="J25" s="46"/>
    </row>
    <row r="26" spans="1:13" ht="14.25" customHeight="1"/>
    <row r="27" spans="1:13" ht="14.25" customHeight="1" thickBot="1">
      <c r="B27" s="42" t="s">
        <v>613</v>
      </c>
      <c r="C27" s="43"/>
      <c r="D27" s="43"/>
      <c r="E27" s="43"/>
      <c r="F27" s="43"/>
      <c r="G27" s="42"/>
      <c r="H27" s="42"/>
      <c r="I27" s="45" t="s">
        <v>23</v>
      </c>
      <c r="J27" s="45" t="s">
        <v>604</v>
      </c>
    </row>
    <row r="28" spans="1:13" ht="14.25" customHeight="1" thickTop="1">
      <c r="A28" s="37"/>
      <c r="B28" s="34" t="s">
        <v>617</v>
      </c>
      <c r="D28" s="34">
        <v>1</v>
      </c>
      <c r="I28" s="44">
        <f>M28</f>
        <v>0.10479792427107615</v>
      </c>
      <c r="J28" s="44">
        <f>M28</f>
        <v>0.10479792427107615</v>
      </c>
      <c r="L28" s="34" t="s">
        <v>619</v>
      </c>
      <c r="M28" s="77">
        <f>MAX(F18,G18,H18)</f>
        <v>0.10479792427107615</v>
      </c>
    </row>
    <row r="29" spans="1:13" ht="14.25" customHeight="1">
      <c r="A29" s="37"/>
      <c r="B29" s="34" t="s">
        <v>620</v>
      </c>
      <c r="D29" s="34">
        <v>2</v>
      </c>
      <c r="I29" s="44">
        <f>M29</f>
        <v>-3.224265583950281E-3</v>
      </c>
      <c r="J29" s="44">
        <f>M29</f>
        <v>-3.224265583950281E-3</v>
      </c>
      <c r="L29" s="34" t="s">
        <v>621</v>
      </c>
      <c r="M29" s="77">
        <f>MEDIAN(F18:H18)</f>
        <v>-3.224265583950281E-3</v>
      </c>
    </row>
    <row r="30" spans="1:13" ht="14.25" customHeight="1">
      <c r="A30" s="37"/>
      <c r="B30" s="34" t="s">
        <v>622</v>
      </c>
      <c r="D30" s="34">
        <v>3</v>
      </c>
      <c r="I30" s="44">
        <f>M30</f>
        <v>-1.6564311045757285E-2</v>
      </c>
      <c r="J30" s="44">
        <f>M30</f>
        <v>-1.6564311045757285E-2</v>
      </c>
      <c r="L30" s="34" t="s">
        <v>623</v>
      </c>
      <c r="M30" s="77">
        <f>MIN(F18:H18)</f>
        <v>-1.6564311045757285E-2</v>
      </c>
    </row>
    <row r="31" spans="1:13" ht="14.25" customHeight="1" thickBot="1">
      <c r="A31" s="37"/>
      <c r="B31" s="42" t="s">
        <v>624</v>
      </c>
      <c r="C31" s="43"/>
      <c r="D31" s="43"/>
      <c r="E31" s="43"/>
      <c r="F31" s="43"/>
      <c r="G31" s="42"/>
      <c r="H31" s="42"/>
      <c r="I31" s="41"/>
      <c r="J31" s="41"/>
    </row>
    <row r="32" spans="1:13" ht="14.25" customHeight="1" thickTop="1">
      <c r="A32" s="37"/>
      <c r="B32" s="34" t="s">
        <v>617</v>
      </c>
      <c r="D32" s="34">
        <v>1</v>
      </c>
      <c r="I32" s="38">
        <f>M32</f>
        <v>0.89685148343568899</v>
      </c>
      <c r="J32" s="38">
        <f>M32</f>
        <v>0.89685148343568899</v>
      </c>
      <c r="L32" s="34" t="s">
        <v>625</v>
      </c>
      <c r="M32" s="39">
        <f>MAX(E19:H19)</f>
        <v>0.89685148343568899</v>
      </c>
    </row>
    <row r="33" spans="1:13" ht="14.25" customHeight="1">
      <c r="A33" s="37"/>
      <c r="B33" s="34" t="s">
        <v>620</v>
      </c>
      <c r="D33" s="34">
        <v>2</v>
      </c>
      <c r="E33" s="39"/>
      <c r="F33" s="39"/>
      <c r="I33" s="38">
        <f>M33</f>
        <v>0.87159739060832009</v>
      </c>
      <c r="J33" s="38">
        <f>M33</f>
        <v>0.87159739060832009</v>
      </c>
      <c r="L33" s="34" t="s">
        <v>626</v>
      </c>
      <c r="M33" s="39">
        <f>MEDIAN(E19:H19)</f>
        <v>0.87159739060832009</v>
      </c>
    </row>
    <row r="34" spans="1:13" ht="14.25" customHeight="1">
      <c r="A34" s="37"/>
      <c r="B34" s="34" t="s">
        <v>622</v>
      </c>
      <c r="D34" s="34">
        <v>3</v>
      </c>
      <c r="I34" s="38">
        <f>M34</f>
        <v>0.85196278103909595</v>
      </c>
      <c r="J34" s="38">
        <f>M34</f>
        <v>0.85196278103909595</v>
      </c>
      <c r="L34" s="34" t="s">
        <v>627</v>
      </c>
      <c r="M34" s="39">
        <f>MIN(E19:H19)</f>
        <v>0.85196278103909595</v>
      </c>
    </row>
    <row r="35" spans="1:13" ht="14.25" customHeight="1" thickBot="1">
      <c r="B35" s="42" t="s">
        <v>628</v>
      </c>
      <c r="C35" s="43"/>
      <c r="D35" s="43"/>
      <c r="E35" s="43"/>
      <c r="F35" s="43"/>
      <c r="G35" s="42"/>
      <c r="H35" s="42"/>
      <c r="I35" s="41"/>
      <c r="J35" s="40"/>
    </row>
    <row r="36" spans="1:13" ht="14.25" customHeight="1" thickTop="1">
      <c r="A36" s="37"/>
      <c r="B36" s="34" t="s">
        <v>617</v>
      </c>
      <c r="D36" s="34">
        <v>1</v>
      </c>
      <c r="I36" s="38">
        <f>M36</f>
        <v>0.15128449096098953</v>
      </c>
      <c r="J36" s="38">
        <f>M36</f>
        <v>0.15128449096098953</v>
      </c>
      <c r="L36" s="34" t="s">
        <v>629</v>
      </c>
      <c r="M36" s="39">
        <f>MAX(E20:H20)</f>
        <v>0.15128449096098953</v>
      </c>
    </row>
    <row r="37" spans="1:13" ht="14.25" customHeight="1">
      <c r="A37" s="37"/>
      <c r="B37" s="34" t="s">
        <v>620</v>
      </c>
      <c r="D37" s="34">
        <v>2</v>
      </c>
      <c r="E37" s="39"/>
      <c r="F37" s="39"/>
      <c r="I37" s="38">
        <f>M37</f>
        <v>9.0077991852374861E-2</v>
      </c>
      <c r="J37" s="38">
        <f>M37</f>
        <v>9.0077991852374861E-2</v>
      </c>
      <c r="L37" s="34" t="s">
        <v>630</v>
      </c>
      <c r="M37" s="39">
        <f>MEDIAN(E20:H20)</f>
        <v>9.0077991852374861E-2</v>
      </c>
    </row>
    <row r="38" spans="1:13" ht="14.25" customHeight="1">
      <c r="A38" s="37"/>
      <c r="B38" s="36" t="s">
        <v>622</v>
      </c>
      <c r="C38" s="36"/>
      <c r="D38" s="36">
        <v>3</v>
      </c>
      <c r="E38" s="36"/>
      <c r="F38" s="36"/>
      <c r="G38" s="36"/>
      <c r="H38" s="36"/>
      <c r="I38" s="35">
        <f>M38</f>
        <v>5.1914859630206457E-4</v>
      </c>
      <c r="J38" s="35">
        <f>M38</f>
        <v>5.1914859630206457E-4</v>
      </c>
      <c r="L38" s="34" t="s">
        <v>631</v>
      </c>
      <c r="M38" s="39">
        <f>MIN(E20:H20)</f>
        <v>5.1914859630206457E-4</v>
      </c>
    </row>
    <row r="39" spans="1:13" ht="14.25" customHeight="1"/>
    <row r="40" spans="1:13" ht="14.25" customHeight="1"/>
    <row r="41" spans="1:13" ht="14.25" customHeight="1"/>
    <row r="42" spans="1:13" ht="14.25" customHeight="1"/>
    <row r="43" spans="1:13" ht="14.25" customHeight="1"/>
    <row r="44" spans="1:13" ht="14.25" customHeight="1"/>
    <row r="45" spans="1:13" ht="14.25" customHeight="1"/>
    <row r="46" spans="1:13" ht="14.25" customHeight="1"/>
    <row r="47" spans="1:13" ht="14.25" customHeight="1"/>
    <row r="48" spans="1:13"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
    <mergeCell ref="E5:G5"/>
    <mergeCell ref="I5:J5"/>
    <mergeCell ref="D17:G17"/>
    <mergeCell ref="I17:J17"/>
  </mergeCells>
  <dataValidations count="1">
    <dataValidation type="list" allowBlank="1" showErrorMessage="1" sqref="C23" xr:uid="{00000000-0002-0000-0100-000000000000}">
      <formula1>$B$28:$B$30</formula1>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37D63402-2436-40B5-B996-52EDC44278F9}">
          <x14:formula1>
            <xm:f>helper!$A$1:$A$430</xm:f>
          </x14:formula1>
          <xm:sqref>B2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5235E-F498-4B73-908B-A4C384340509}">
  <dimension ref="A1:A430"/>
  <sheetViews>
    <sheetView topLeftCell="A408" workbookViewId="0">
      <selection sqref="A1:A1048576"/>
    </sheetView>
  </sheetViews>
  <sheetFormatPr defaultRowHeight="14.25"/>
  <sheetData>
    <row r="1" spans="1:1">
      <c r="A1" s="30" t="s">
        <v>17</v>
      </c>
    </row>
    <row r="2" spans="1:1">
      <c r="A2" s="30" t="s">
        <v>24</v>
      </c>
    </row>
    <row r="3" spans="1:1">
      <c r="A3" s="30" t="s">
        <v>27</v>
      </c>
    </row>
    <row r="4" spans="1:1">
      <c r="A4" s="30" t="s">
        <v>30</v>
      </c>
    </row>
    <row r="5" spans="1:1">
      <c r="A5" s="30" t="s">
        <v>33</v>
      </c>
    </row>
    <row r="6" spans="1:1">
      <c r="A6" s="30" t="s">
        <v>35</v>
      </c>
    </row>
    <row r="7" spans="1:1">
      <c r="A7" s="30" t="s">
        <v>37</v>
      </c>
    </row>
    <row r="8" spans="1:1">
      <c r="A8" s="30" t="s">
        <v>39</v>
      </c>
    </row>
    <row r="9" spans="1:1">
      <c r="A9" s="30" t="s">
        <v>41</v>
      </c>
    </row>
    <row r="10" spans="1:1">
      <c r="A10" s="30" t="s">
        <v>44</v>
      </c>
    </row>
    <row r="11" spans="1:1">
      <c r="A11" s="30" t="s">
        <v>46</v>
      </c>
    </row>
    <row r="12" spans="1:1">
      <c r="A12" s="30" t="s">
        <v>47</v>
      </c>
    </row>
    <row r="13" spans="1:1">
      <c r="A13" s="30" t="s">
        <v>50</v>
      </c>
    </row>
    <row r="14" spans="1:1">
      <c r="A14" s="30" t="s">
        <v>52</v>
      </c>
    </row>
    <row r="15" spans="1:1">
      <c r="A15" s="30" t="s">
        <v>55</v>
      </c>
    </row>
    <row r="16" spans="1:1">
      <c r="A16" s="30" t="s">
        <v>57</v>
      </c>
    </row>
    <row r="17" spans="1:1">
      <c r="A17" s="30" t="s">
        <v>60</v>
      </c>
    </row>
    <row r="18" spans="1:1">
      <c r="A18" s="30" t="s">
        <v>62</v>
      </c>
    </row>
    <row r="19" spans="1:1">
      <c r="A19" s="30" t="s">
        <v>64</v>
      </c>
    </row>
    <row r="20" spans="1:1">
      <c r="A20" s="30" t="s">
        <v>67</v>
      </c>
    </row>
    <row r="21" spans="1:1">
      <c r="A21" s="30" t="s">
        <v>68</v>
      </c>
    </row>
    <row r="22" spans="1:1">
      <c r="A22" s="30" t="s">
        <v>69</v>
      </c>
    </row>
    <row r="23" spans="1:1">
      <c r="A23" s="30" t="s">
        <v>71</v>
      </c>
    </row>
    <row r="24" spans="1:1">
      <c r="A24" s="30" t="s">
        <v>73</v>
      </c>
    </row>
    <row r="25" spans="1:1">
      <c r="A25" s="30" t="s">
        <v>75</v>
      </c>
    </row>
    <row r="26" spans="1:1">
      <c r="A26" s="30" t="s">
        <v>77</v>
      </c>
    </row>
    <row r="27" spans="1:1">
      <c r="A27" s="30" t="s">
        <v>78</v>
      </c>
    </row>
    <row r="28" spans="1:1">
      <c r="A28" s="30" t="s">
        <v>80</v>
      </c>
    </row>
    <row r="29" spans="1:1">
      <c r="A29" s="30" t="s">
        <v>82</v>
      </c>
    </row>
    <row r="30" spans="1:1">
      <c r="A30" s="30" t="s">
        <v>84</v>
      </c>
    </row>
    <row r="31" spans="1:1">
      <c r="A31" s="30" t="s">
        <v>86</v>
      </c>
    </row>
    <row r="32" spans="1:1">
      <c r="A32" s="30" t="s">
        <v>88</v>
      </c>
    </row>
    <row r="33" spans="1:1">
      <c r="A33" s="30" t="s">
        <v>91</v>
      </c>
    </row>
    <row r="34" spans="1:1">
      <c r="A34" s="30" t="s">
        <v>92</v>
      </c>
    </row>
    <row r="35" spans="1:1">
      <c r="A35" s="30" t="s">
        <v>94</v>
      </c>
    </row>
    <row r="36" spans="1:1">
      <c r="A36" s="30" t="s">
        <v>96</v>
      </c>
    </row>
    <row r="37" spans="1:1">
      <c r="A37" s="30" t="s">
        <v>98</v>
      </c>
    </row>
    <row r="38" spans="1:1">
      <c r="A38" s="30" t="s">
        <v>100</v>
      </c>
    </row>
    <row r="39" spans="1:1">
      <c r="A39" s="30" t="s">
        <v>101</v>
      </c>
    </row>
    <row r="40" spans="1:1">
      <c r="A40" s="30" t="s">
        <v>103</v>
      </c>
    </row>
    <row r="41" spans="1:1">
      <c r="A41" s="30" t="s">
        <v>105</v>
      </c>
    </row>
    <row r="42" spans="1:1">
      <c r="A42" s="30" t="s">
        <v>107</v>
      </c>
    </row>
    <row r="43" spans="1:1">
      <c r="A43" s="30" t="s">
        <v>108</v>
      </c>
    </row>
    <row r="44" spans="1:1">
      <c r="A44" s="30" t="s">
        <v>109</v>
      </c>
    </row>
    <row r="45" spans="1:1">
      <c r="A45" s="30" t="s">
        <v>110</v>
      </c>
    </row>
    <row r="46" spans="1:1">
      <c r="A46" s="30" t="s">
        <v>112</v>
      </c>
    </row>
    <row r="47" spans="1:1">
      <c r="A47" s="30" t="s">
        <v>113</v>
      </c>
    </row>
    <row r="48" spans="1:1">
      <c r="A48" s="30" t="s">
        <v>114</v>
      </c>
    </row>
    <row r="49" spans="1:1">
      <c r="A49" s="30" t="s">
        <v>115</v>
      </c>
    </row>
    <row r="50" spans="1:1">
      <c r="A50" s="30" t="s">
        <v>117</v>
      </c>
    </row>
    <row r="51" spans="1:1">
      <c r="A51" s="30" t="s">
        <v>118</v>
      </c>
    </row>
    <row r="52" spans="1:1">
      <c r="A52" s="30" t="s">
        <v>119</v>
      </c>
    </row>
    <row r="53" spans="1:1">
      <c r="A53" s="30" t="s">
        <v>121</v>
      </c>
    </row>
    <row r="54" spans="1:1">
      <c r="A54" s="30" t="s">
        <v>122</v>
      </c>
    </row>
    <row r="55" spans="1:1">
      <c r="A55" s="30" t="s">
        <v>124</v>
      </c>
    </row>
    <row r="56" spans="1:1">
      <c r="A56" s="30" t="s">
        <v>125</v>
      </c>
    </row>
    <row r="57" spans="1:1">
      <c r="A57" s="30" t="s">
        <v>126</v>
      </c>
    </row>
    <row r="58" spans="1:1">
      <c r="A58" s="30" t="s">
        <v>128</v>
      </c>
    </row>
    <row r="59" spans="1:1">
      <c r="A59" s="30" t="s">
        <v>129</v>
      </c>
    </row>
    <row r="60" spans="1:1">
      <c r="A60" s="30" t="s">
        <v>131</v>
      </c>
    </row>
    <row r="61" spans="1:1">
      <c r="A61" s="30" t="s">
        <v>132</v>
      </c>
    </row>
    <row r="62" spans="1:1">
      <c r="A62" s="30" t="s">
        <v>134</v>
      </c>
    </row>
    <row r="63" spans="1:1">
      <c r="A63" s="30" t="s">
        <v>135</v>
      </c>
    </row>
    <row r="64" spans="1:1">
      <c r="A64" s="30" t="s">
        <v>137</v>
      </c>
    </row>
    <row r="65" spans="1:1">
      <c r="A65" s="30" t="s">
        <v>138</v>
      </c>
    </row>
    <row r="66" spans="1:1">
      <c r="A66" s="30" t="s">
        <v>140</v>
      </c>
    </row>
    <row r="67" spans="1:1">
      <c r="A67" s="30" t="s">
        <v>141</v>
      </c>
    </row>
    <row r="68" spans="1:1">
      <c r="A68" s="30" t="s">
        <v>143</v>
      </c>
    </row>
    <row r="69" spans="1:1">
      <c r="A69" s="30" t="s">
        <v>145</v>
      </c>
    </row>
    <row r="70" spans="1:1">
      <c r="A70" s="30" t="s">
        <v>147</v>
      </c>
    </row>
    <row r="71" spans="1:1">
      <c r="A71" s="30" t="s">
        <v>149</v>
      </c>
    </row>
    <row r="72" spans="1:1">
      <c r="A72" s="30" t="s">
        <v>151</v>
      </c>
    </row>
    <row r="73" spans="1:1">
      <c r="A73" s="30" t="s">
        <v>153</v>
      </c>
    </row>
    <row r="74" spans="1:1">
      <c r="A74" s="30" t="s">
        <v>155</v>
      </c>
    </row>
    <row r="75" spans="1:1">
      <c r="A75" s="30" t="s">
        <v>156</v>
      </c>
    </row>
    <row r="76" spans="1:1">
      <c r="A76" s="30" t="s">
        <v>157</v>
      </c>
    </row>
    <row r="77" spans="1:1">
      <c r="A77" s="30" t="s">
        <v>158</v>
      </c>
    </row>
    <row r="78" spans="1:1">
      <c r="A78" s="30" t="s">
        <v>159</v>
      </c>
    </row>
    <row r="79" spans="1:1">
      <c r="A79" s="30" t="s">
        <v>160</v>
      </c>
    </row>
    <row r="80" spans="1:1">
      <c r="A80" s="30" t="s">
        <v>162</v>
      </c>
    </row>
    <row r="81" spans="1:1">
      <c r="A81" s="30" t="s">
        <v>164</v>
      </c>
    </row>
    <row r="82" spans="1:1">
      <c r="A82" s="30" t="s">
        <v>165</v>
      </c>
    </row>
    <row r="83" spans="1:1">
      <c r="A83" s="30" t="s">
        <v>166</v>
      </c>
    </row>
    <row r="84" spans="1:1">
      <c r="A84" s="30" t="s">
        <v>167</v>
      </c>
    </row>
    <row r="85" spans="1:1">
      <c r="A85" s="30" t="s">
        <v>168</v>
      </c>
    </row>
    <row r="86" spans="1:1">
      <c r="A86" s="30" t="s">
        <v>169</v>
      </c>
    </row>
    <row r="87" spans="1:1">
      <c r="A87" s="30" t="s">
        <v>171</v>
      </c>
    </row>
    <row r="88" spans="1:1">
      <c r="A88" s="30" t="s">
        <v>173</v>
      </c>
    </row>
    <row r="89" spans="1:1">
      <c r="A89" s="30" t="s">
        <v>175</v>
      </c>
    </row>
    <row r="90" spans="1:1">
      <c r="A90" s="30" t="s">
        <v>177</v>
      </c>
    </row>
    <row r="91" spans="1:1">
      <c r="A91" s="30" t="s">
        <v>178</v>
      </c>
    </row>
    <row r="92" spans="1:1">
      <c r="A92" s="30" t="s">
        <v>179</v>
      </c>
    </row>
    <row r="93" spans="1:1">
      <c r="A93" s="30" t="s">
        <v>181</v>
      </c>
    </row>
    <row r="94" spans="1:1">
      <c r="A94" s="30" t="s">
        <v>183</v>
      </c>
    </row>
    <row r="95" spans="1:1">
      <c r="A95" s="30" t="s">
        <v>185</v>
      </c>
    </row>
    <row r="96" spans="1:1">
      <c r="A96" s="30" t="s">
        <v>187</v>
      </c>
    </row>
    <row r="97" spans="1:1">
      <c r="A97" s="30" t="s">
        <v>190</v>
      </c>
    </row>
    <row r="98" spans="1:1">
      <c r="A98" s="30" t="s">
        <v>191</v>
      </c>
    </row>
    <row r="99" spans="1:1">
      <c r="A99" s="30" t="s">
        <v>192</v>
      </c>
    </row>
    <row r="100" spans="1:1">
      <c r="A100" s="30" t="s">
        <v>194</v>
      </c>
    </row>
    <row r="101" spans="1:1">
      <c r="A101" s="30" t="s">
        <v>195</v>
      </c>
    </row>
    <row r="102" spans="1:1">
      <c r="A102" s="30" t="s">
        <v>196</v>
      </c>
    </row>
    <row r="103" spans="1:1">
      <c r="A103" s="30" t="s">
        <v>197</v>
      </c>
    </row>
    <row r="104" spans="1:1">
      <c r="A104" s="30" t="s">
        <v>198</v>
      </c>
    </row>
    <row r="105" spans="1:1">
      <c r="A105" s="30" t="s">
        <v>200</v>
      </c>
    </row>
    <row r="106" spans="1:1">
      <c r="A106" s="30" t="s">
        <v>201</v>
      </c>
    </row>
    <row r="107" spans="1:1">
      <c r="A107" s="30" t="s">
        <v>202</v>
      </c>
    </row>
    <row r="108" spans="1:1">
      <c r="A108" s="30" t="s">
        <v>204</v>
      </c>
    </row>
    <row r="109" spans="1:1">
      <c r="A109" s="30" t="s">
        <v>206</v>
      </c>
    </row>
    <row r="110" spans="1:1">
      <c r="A110" s="30" t="s">
        <v>208</v>
      </c>
    </row>
    <row r="111" spans="1:1">
      <c r="A111" s="30" t="s">
        <v>209</v>
      </c>
    </row>
    <row r="112" spans="1:1">
      <c r="A112" s="30" t="s">
        <v>211</v>
      </c>
    </row>
    <row r="113" spans="1:1">
      <c r="A113" s="30" t="s">
        <v>212</v>
      </c>
    </row>
    <row r="114" spans="1:1">
      <c r="A114" s="30" t="s">
        <v>213</v>
      </c>
    </row>
    <row r="115" spans="1:1">
      <c r="A115" s="30" t="s">
        <v>214</v>
      </c>
    </row>
    <row r="116" spans="1:1">
      <c r="A116" s="30" t="s">
        <v>215</v>
      </c>
    </row>
    <row r="117" spans="1:1">
      <c r="A117" s="30" t="s">
        <v>216</v>
      </c>
    </row>
    <row r="118" spans="1:1">
      <c r="A118" s="30" t="s">
        <v>218</v>
      </c>
    </row>
    <row r="119" spans="1:1">
      <c r="A119" s="30" t="s">
        <v>219</v>
      </c>
    </row>
    <row r="120" spans="1:1">
      <c r="A120" s="30" t="s">
        <v>221</v>
      </c>
    </row>
    <row r="121" spans="1:1">
      <c r="A121" s="30" t="s">
        <v>222</v>
      </c>
    </row>
    <row r="122" spans="1:1">
      <c r="A122" s="30" t="s">
        <v>223</v>
      </c>
    </row>
    <row r="123" spans="1:1">
      <c r="A123" s="30" t="s">
        <v>224</v>
      </c>
    </row>
    <row r="124" spans="1:1">
      <c r="A124" s="30" t="s">
        <v>225</v>
      </c>
    </row>
    <row r="125" spans="1:1">
      <c r="A125" s="30" t="s">
        <v>226</v>
      </c>
    </row>
    <row r="126" spans="1:1">
      <c r="A126" s="30" t="s">
        <v>227</v>
      </c>
    </row>
    <row r="127" spans="1:1">
      <c r="A127" s="30" t="s">
        <v>228</v>
      </c>
    </row>
    <row r="128" spans="1:1">
      <c r="A128" s="30" t="s">
        <v>229</v>
      </c>
    </row>
    <row r="129" spans="1:1">
      <c r="A129" s="30" t="s">
        <v>230</v>
      </c>
    </row>
    <row r="130" spans="1:1">
      <c r="A130" s="30" t="s">
        <v>231</v>
      </c>
    </row>
    <row r="131" spans="1:1">
      <c r="A131" s="30" t="s">
        <v>232</v>
      </c>
    </row>
    <row r="132" spans="1:1">
      <c r="A132" s="30" t="s">
        <v>233</v>
      </c>
    </row>
    <row r="133" spans="1:1">
      <c r="A133" s="30" t="s">
        <v>234</v>
      </c>
    </row>
    <row r="134" spans="1:1">
      <c r="A134" s="30" t="s">
        <v>235</v>
      </c>
    </row>
    <row r="135" spans="1:1">
      <c r="A135" s="30" t="s">
        <v>236</v>
      </c>
    </row>
    <row r="136" spans="1:1">
      <c r="A136" s="30" t="s">
        <v>237</v>
      </c>
    </row>
    <row r="137" spans="1:1">
      <c r="A137" s="30" t="s">
        <v>238</v>
      </c>
    </row>
    <row r="138" spans="1:1">
      <c r="A138" s="30" t="s">
        <v>239</v>
      </c>
    </row>
    <row r="139" spans="1:1">
      <c r="A139" s="30" t="s">
        <v>241</v>
      </c>
    </row>
    <row r="140" spans="1:1">
      <c r="A140" s="30" t="s">
        <v>243</v>
      </c>
    </row>
    <row r="141" spans="1:1">
      <c r="A141" s="30" t="s">
        <v>244</v>
      </c>
    </row>
    <row r="142" spans="1:1">
      <c r="A142" s="30" t="s">
        <v>245</v>
      </c>
    </row>
    <row r="143" spans="1:1">
      <c r="A143" s="30" t="s">
        <v>246</v>
      </c>
    </row>
    <row r="144" spans="1:1">
      <c r="A144" s="30" t="s">
        <v>247</v>
      </c>
    </row>
    <row r="145" spans="1:1">
      <c r="A145" s="30" t="s">
        <v>248</v>
      </c>
    </row>
    <row r="146" spans="1:1">
      <c r="A146" s="30" t="s">
        <v>249</v>
      </c>
    </row>
    <row r="147" spans="1:1">
      <c r="A147" s="30" t="s">
        <v>250</v>
      </c>
    </row>
    <row r="148" spans="1:1">
      <c r="A148" s="30" t="s">
        <v>252</v>
      </c>
    </row>
    <row r="149" spans="1:1">
      <c r="A149" s="30" t="s">
        <v>253</v>
      </c>
    </row>
    <row r="150" spans="1:1">
      <c r="A150" s="30" t="s">
        <v>254</v>
      </c>
    </row>
    <row r="151" spans="1:1">
      <c r="A151" s="30" t="s">
        <v>255</v>
      </c>
    </row>
    <row r="152" spans="1:1">
      <c r="A152" s="30" t="s">
        <v>257</v>
      </c>
    </row>
    <row r="153" spans="1:1">
      <c r="A153" s="30" t="s">
        <v>258</v>
      </c>
    </row>
    <row r="154" spans="1:1">
      <c r="A154" s="30" t="s">
        <v>259</v>
      </c>
    </row>
    <row r="155" spans="1:1">
      <c r="A155" s="30" t="s">
        <v>260</v>
      </c>
    </row>
    <row r="156" spans="1:1">
      <c r="A156" s="30" t="s">
        <v>261</v>
      </c>
    </row>
    <row r="157" spans="1:1">
      <c r="A157" s="30" t="s">
        <v>262</v>
      </c>
    </row>
    <row r="158" spans="1:1">
      <c r="A158" s="30" t="s">
        <v>264</v>
      </c>
    </row>
    <row r="159" spans="1:1">
      <c r="A159" s="30" t="s">
        <v>266</v>
      </c>
    </row>
    <row r="160" spans="1:1">
      <c r="A160" s="30" t="s">
        <v>268</v>
      </c>
    </row>
    <row r="161" spans="1:1">
      <c r="A161" s="30" t="s">
        <v>269</v>
      </c>
    </row>
    <row r="162" spans="1:1">
      <c r="A162" s="30" t="s">
        <v>270</v>
      </c>
    </row>
    <row r="163" spans="1:1">
      <c r="A163" s="30" t="s">
        <v>272</v>
      </c>
    </row>
    <row r="164" spans="1:1">
      <c r="A164" s="30" t="s">
        <v>273</v>
      </c>
    </row>
    <row r="165" spans="1:1">
      <c r="A165" s="30" t="s">
        <v>274</v>
      </c>
    </row>
    <row r="166" spans="1:1">
      <c r="A166" s="30" t="s">
        <v>275</v>
      </c>
    </row>
    <row r="167" spans="1:1">
      <c r="A167" s="30" t="s">
        <v>276</v>
      </c>
    </row>
    <row r="168" spans="1:1">
      <c r="A168" s="30" t="s">
        <v>277</v>
      </c>
    </row>
    <row r="169" spans="1:1">
      <c r="A169" s="30" t="s">
        <v>278</v>
      </c>
    </row>
    <row r="170" spans="1:1">
      <c r="A170" s="30" t="s">
        <v>279</v>
      </c>
    </row>
    <row r="171" spans="1:1">
      <c r="A171" s="30" t="s">
        <v>280</v>
      </c>
    </row>
    <row r="172" spans="1:1">
      <c r="A172" s="30" t="s">
        <v>281</v>
      </c>
    </row>
    <row r="173" spans="1:1">
      <c r="A173" s="30" t="s">
        <v>282</v>
      </c>
    </row>
    <row r="174" spans="1:1">
      <c r="A174" s="30" t="s">
        <v>283</v>
      </c>
    </row>
    <row r="175" spans="1:1">
      <c r="A175" s="30" t="s">
        <v>285</v>
      </c>
    </row>
    <row r="176" spans="1:1">
      <c r="A176" s="30" t="s">
        <v>287</v>
      </c>
    </row>
    <row r="177" spans="1:1">
      <c r="A177" s="30" t="s">
        <v>289</v>
      </c>
    </row>
    <row r="178" spans="1:1">
      <c r="A178" s="30" t="s">
        <v>290</v>
      </c>
    </row>
    <row r="179" spans="1:1">
      <c r="A179" s="30" t="s">
        <v>291</v>
      </c>
    </row>
    <row r="180" spans="1:1">
      <c r="A180" s="30" t="s">
        <v>293</v>
      </c>
    </row>
    <row r="181" spans="1:1">
      <c r="A181" s="30" t="s">
        <v>294</v>
      </c>
    </row>
    <row r="182" spans="1:1">
      <c r="A182" s="30" t="s">
        <v>296</v>
      </c>
    </row>
    <row r="183" spans="1:1">
      <c r="A183" s="30" t="s">
        <v>297</v>
      </c>
    </row>
    <row r="184" spans="1:1">
      <c r="A184" s="30" t="s">
        <v>298</v>
      </c>
    </row>
    <row r="185" spans="1:1">
      <c r="A185" s="30" t="s">
        <v>299</v>
      </c>
    </row>
    <row r="186" spans="1:1">
      <c r="A186" s="30" t="s">
        <v>301</v>
      </c>
    </row>
    <row r="187" spans="1:1">
      <c r="A187" s="30" t="s">
        <v>302</v>
      </c>
    </row>
    <row r="188" spans="1:1">
      <c r="A188" s="30" t="s">
        <v>303</v>
      </c>
    </row>
    <row r="189" spans="1:1">
      <c r="A189" s="30" t="s">
        <v>305</v>
      </c>
    </row>
    <row r="190" spans="1:1">
      <c r="A190" s="30" t="s">
        <v>306</v>
      </c>
    </row>
    <row r="191" spans="1:1">
      <c r="A191" s="30" t="s">
        <v>307</v>
      </c>
    </row>
    <row r="192" spans="1:1">
      <c r="A192" s="30" t="s">
        <v>309</v>
      </c>
    </row>
    <row r="193" spans="1:1">
      <c r="A193" s="31" t="s">
        <v>311</v>
      </c>
    </row>
    <row r="194" spans="1:1">
      <c r="A194" s="31" t="s">
        <v>312</v>
      </c>
    </row>
    <row r="195" spans="1:1">
      <c r="A195" s="31" t="s">
        <v>313</v>
      </c>
    </row>
    <row r="196" spans="1:1">
      <c r="A196" s="31" t="s">
        <v>314</v>
      </c>
    </row>
    <row r="197" spans="1:1">
      <c r="A197" s="31" t="s">
        <v>316</v>
      </c>
    </row>
    <row r="198" spans="1:1">
      <c r="A198" s="31" t="s">
        <v>317</v>
      </c>
    </row>
    <row r="199" spans="1:1">
      <c r="A199" s="31" t="s">
        <v>318</v>
      </c>
    </row>
    <row r="200" spans="1:1">
      <c r="A200" s="31" t="s">
        <v>319</v>
      </c>
    </row>
    <row r="201" spans="1:1">
      <c r="A201" s="31" t="s">
        <v>320</v>
      </c>
    </row>
    <row r="202" spans="1:1">
      <c r="A202" s="31" t="s">
        <v>321</v>
      </c>
    </row>
    <row r="203" spans="1:1">
      <c r="A203" s="31" t="s">
        <v>322</v>
      </c>
    </row>
    <row r="204" spans="1:1">
      <c r="A204" s="31" t="s">
        <v>323</v>
      </c>
    </row>
    <row r="205" spans="1:1">
      <c r="A205" s="31" t="s">
        <v>325</v>
      </c>
    </row>
    <row r="206" spans="1:1">
      <c r="A206" s="31" t="s">
        <v>326</v>
      </c>
    </row>
    <row r="207" spans="1:1">
      <c r="A207" s="31" t="s">
        <v>327</v>
      </c>
    </row>
    <row r="208" spans="1:1">
      <c r="A208" s="31" t="s">
        <v>328</v>
      </c>
    </row>
    <row r="209" spans="1:1">
      <c r="A209" s="31" t="s">
        <v>330</v>
      </c>
    </row>
    <row r="210" spans="1:1">
      <c r="A210" s="31" t="s">
        <v>331</v>
      </c>
    </row>
    <row r="211" spans="1:1">
      <c r="A211" s="31" t="s">
        <v>332</v>
      </c>
    </row>
    <row r="212" spans="1:1">
      <c r="A212" s="31" t="s">
        <v>333</v>
      </c>
    </row>
    <row r="213" spans="1:1">
      <c r="A213" s="31" t="s">
        <v>334</v>
      </c>
    </row>
    <row r="214" spans="1:1">
      <c r="A214" s="31" t="s">
        <v>336</v>
      </c>
    </row>
    <row r="215" spans="1:1">
      <c r="A215" s="31" t="s">
        <v>337</v>
      </c>
    </row>
    <row r="216" spans="1:1">
      <c r="A216" s="31" t="s">
        <v>338</v>
      </c>
    </row>
    <row r="217" spans="1:1">
      <c r="A217" s="31" t="s">
        <v>339</v>
      </c>
    </row>
    <row r="218" spans="1:1">
      <c r="A218" s="31" t="s">
        <v>341</v>
      </c>
    </row>
    <row r="219" spans="1:1">
      <c r="A219" s="31" t="s">
        <v>342</v>
      </c>
    </row>
    <row r="220" spans="1:1">
      <c r="A220" s="31" t="s">
        <v>343</v>
      </c>
    </row>
    <row r="221" spans="1:1">
      <c r="A221" s="31" t="s">
        <v>344</v>
      </c>
    </row>
    <row r="222" spans="1:1">
      <c r="A222" s="31" t="s">
        <v>345</v>
      </c>
    </row>
    <row r="223" spans="1:1">
      <c r="A223" s="31" t="s">
        <v>346</v>
      </c>
    </row>
    <row r="224" spans="1:1">
      <c r="A224" s="31" t="s">
        <v>348</v>
      </c>
    </row>
    <row r="225" spans="1:1">
      <c r="A225" s="31" t="s">
        <v>349</v>
      </c>
    </row>
    <row r="226" spans="1:1">
      <c r="A226" s="31" t="s">
        <v>350</v>
      </c>
    </row>
    <row r="227" spans="1:1">
      <c r="A227" s="31" t="s">
        <v>351</v>
      </c>
    </row>
    <row r="228" spans="1:1">
      <c r="A228" s="31" t="s">
        <v>353</v>
      </c>
    </row>
    <row r="229" spans="1:1">
      <c r="A229" s="31" t="s">
        <v>354</v>
      </c>
    </row>
    <row r="230" spans="1:1">
      <c r="A230" s="31" t="s">
        <v>355</v>
      </c>
    </row>
    <row r="231" spans="1:1">
      <c r="A231" s="31" t="s">
        <v>356</v>
      </c>
    </row>
    <row r="232" spans="1:1">
      <c r="A232" s="31" t="s">
        <v>357</v>
      </c>
    </row>
    <row r="233" spans="1:1">
      <c r="A233" s="31" t="s">
        <v>358</v>
      </c>
    </row>
    <row r="234" spans="1:1">
      <c r="A234" s="31" t="s">
        <v>359</v>
      </c>
    </row>
    <row r="235" spans="1:1">
      <c r="A235" s="31" t="s">
        <v>361</v>
      </c>
    </row>
    <row r="236" spans="1:1">
      <c r="A236" s="31" t="s">
        <v>362</v>
      </c>
    </row>
    <row r="237" spans="1:1">
      <c r="A237" s="31" t="s">
        <v>363</v>
      </c>
    </row>
    <row r="238" spans="1:1">
      <c r="A238" s="31" t="s">
        <v>364</v>
      </c>
    </row>
    <row r="239" spans="1:1">
      <c r="A239" s="31" t="s">
        <v>365</v>
      </c>
    </row>
    <row r="240" spans="1:1">
      <c r="A240" s="31" t="s">
        <v>366</v>
      </c>
    </row>
    <row r="241" spans="1:1">
      <c r="A241" s="31" t="s">
        <v>367</v>
      </c>
    </row>
    <row r="242" spans="1:1">
      <c r="A242" s="31" t="s">
        <v>368</v>
      </c>
    </row>
    <row r="243" spans="1:1">
      <c r="A243" s="31" t="s">
        <v>370</v>
      </c>
    </row>
    <row r="244" spans="1:1">
      <c r="A244" s="31" t="s">
        <v>371</v>
      </c>
    </row>
    <row r="245" spans="1:1">
      <c r="A245" s="31" t="s">
        <v>373</v>
      </c>
    </row>
    <row r="246" spans="1:1">
      <c r="A246" s="31" t="s">
        <v>374</v>
      </c>
    </row>
    <row r="247" spans="1:1">
      <c r="A247" s="31" t="s">
        <v>375</v>
      </c>
    </row>
    <row r="248" spans="1:1">
      <c r="A248" s="31" t="s">
        <v>376</v>
      </c>
    </row>
    <row r="249" spans="1:1">
      <c r="A249" s="31" t="s">
        <v>377</v>
      </c>
    </row>
    <row r="250" spans="1:1">
      <c r="A250" s="31" t="s">
        <v>378</v>
      </c>
    </row>
    <row r="251" spans="1:1">
      <c r="A251" s="31" t="s">
        <v>379</v>
      </c>
    </row>
    <row r="252" spans="1:1">
      <c r="A252" s="31" t="s">
        <v>380</v>
      </c>
    </row>
    <row r="253" spans="1:1">
      <c r="A253" s="31" t="s">
        <v>381</v>
      </c>
    </row>
    <row r="254" spans="1:1">
      <c r="A254" s="31" t="s">
        <v>382</v>
      </c>
    </row>
    <row r="255" spans="1:1">
      <c r="A255" s="31" t="s">
        <v>383</v>
      </c>
    </row>
    <row r="256" spans="1:1">
      <c r="A256" s="31" t="s">
        <v>384</v>
      </c>
    </row>
    <row r="257" spans="1:1">
      <c r="A257" s="31" t="s">
        <v>386</v>
      </c>
    </row>
    <row r="258" spans="1:1">
      <c r="A258" s="31" t="s">
        <v>387</v>
      </c>
    </row>
    <row r="259" spans="1:1">
      <c r="A259" s="31" t="s">
        <v>388</v>
      </c>
    </row>
    <row r="260" spans="1:1">
      <c r="A260" s="31" t="s">
        <v>390</v>
      </c>
    </row>
    <row r="261" spans="1:1">
      <c r="A261" s="31" t="s">
        <v>391</v>
      </c>
    </row>
    <row r="262" spans="1:1">
      <c r="A262" s="31" t="s">
        <v>392</v>
      </c>
    </row>
    <row r="263" spans="1:1">
      <c r="A263" s="31" t="s">
        <v>394</v>
      </c>
    </row>
    <row r="264" spans="1:1">
      <c r="A264" s="31" t="s">
        <v>396</v>
      </c>
    </row>
    <row r="265" spans="1:1">
      <c r="A265" s="31" t="s">
        <v>397</v>
      </c>
    </row>
    <row r="266" spans="1:1">
      <c r="A266" s="31" t="s">
        <v>398</v>
      </c>
    </row>
    <row r="267" spans="1:1">
      <c r="A267" s="31" t="s">
        <v>400</v>
      </c>
    </row>
    <row r="268" spans="1:1">
      <c r="A268" s="31" t="s">
        <v>401</v>
      </c>
    </row>
    <row r="269" spans="1:1">
      <c r="A269" s="31" t="s">
        <v>402</v>
      </c>
    </row>
    <row r="270" spans="1:1">
      <c r="A270" s="31" t="s">
        <v>403</v>
      </c>
    </row>
    <row r="271" spans="1:1">
      <c r="A271" s="31" t="s">
        <v>404</v>
      </c>
    </row>
    <row r="272" spans="1:1">
      <c r="A272" s="31" t="s">
        <v>405</v>
      </c>
    </row>
    <row r="273" spans="1:1">
      <c r="A273" s="31" t="s">
        <v>407</v>
      </c>
    </row>
    <row r="274" spans="1:1">
      <c r="A274" s="31" t="s">
        <v>408</v>
      </c>
    </row>
    <row r="275" spans="1:1">
      <c r="A275" s="31" t="s">
        <v>409</v>
      </c>
    </row>
    <row r="276" spans="1:1">
      <c r="A276" s="31" t="s">
        <v>410</v>
      </c>
    </row>
    <row r="277" spans="1:1">
      <c r="A277" s="31" t="s">
        <v>411</v>
      </c>
    </row>
    <row r="278" spans="1:1">
      <c r="A278" s="31" t="s">
        <v>412</v>
      </c>
    </row>
    <row r="279" spans="1:1">
      <c r="A279" s="31" t="s">
        <v>413</v>
      </c>
    </row>
    <row r="280" spans="1:1">
      <c r="A280" s="31" t="s">
        <v>414</v>
      </c>
    </row>
    <row r="281" spans="1:1">
      <c r="A281" s="31" t="s">
        <v>415</v>
      </c>
    </row>
    <row r="282" spans="1:1">
      <c r="A282" s="31" t="s">
        <v>417</v>
      </c>
    </row>
    <row r="283" spans="1:1">
      <c r="A283" s="31" t="s">
        <v>418</v>
      </c>
    </row>
    <row r="284" spans="1:1">
      <c r="A284" s="31" t="s">
        <v>419</v>
      </c>
    </row>
    <row r="285" spans="1:1">
      <c r="A285" s="31" t="s">
        <v>420</v>
      </c>
    </row>
    <row r="286" spans="1:1">
      <c r="A286" s="31" t="s">
        <v>421</v>
      </c>
    </row>
    <row r="287" spans="1:1">
      <c r="A287" s="31" t="s">
        <v>422</v>
      </c>
    </row>
    <row r="288" spans="1:1">
      <c r="A288" s="31" t="s">
        <v>423</v>
      </c>
    </row>
    <row r="289" spans="1:1">
      <c r="A289" s="31" t="s">
        <v>424</v>
      </c>
    </row>
    <row r="290" spans="1:1">
      <c r="A290" s="31" t="s">
        <v>426</v>
      </c>
    </row>
    <row r="291" spans="1:1">
      <c r="A291" s="31" t="s">
        <v>427</v>
      </c>
    </row>
    <row r="292" spans="1:1">
      <c r="A292" s="31" t="s">
        <v>429</v>
      </c>
    </row>
    <row r="293" spans="1:1">
      <c r="A293" s="31" t="s">
        <v>430</v>
      </c>
    </row>
    <row r="294" spans="1:1">
      <c r="A294" s="31" t="s">
        <v>431</v>
      </c>
    </row>
    <row r="295" spans="1:1">
      <c r="A295" s="30" t="s">
        <v>432</v>
      </c>
    </row>
    <row r="296" spans="1:1">
      <c r="A296" s="30" t="s">
        <v>433</v>
      </c>
    </row>
    <row r="297" spans="1:1">
      <c r="A297" s="30" t="s">
        <v>434</v>
      </c>
    </row>
    <row r="298" spans="1:1">
      <c r="A298" s="30" t="s">
        <v>436</v>
      </c>
    </row>
    <row r="299" spans="1:1">
      <c r="A299" s="30" t="s">
        <v>438</v>
      </c>
    </row>
    <row r="300" spans="1:1">
      <c r="A300" s="30" t="s">
        <v>439</v>
      </c>
    </row>
    <row r="301" spans="1:1">
      <c r="A301" s="30" t="s">
        <v>440</v>
      </c>
    </row>
    <row r="302" spans="1:1">
      <c r="A302" s="30" t="s">
        <v>441</v>
      </c>
    </row>
    <row r="303" spans="1:1">
      <c r="A303" s="30" t="s">
        <v>442</v>
      </c>
    </row>
    <row r="304" spans="1:1">
      <c r="A304" s="30" t="s">
        <v>443</v>
      </c>
    </row>
    <row r="305" spans="1:1">
      <c r="A305" s="30" t="s">
        <v>444</v>
      </c>
    </row>
    <row r="306" spans="1:1">
      <c r="A306" s="30" t="s">
        <v>445</v>
      </c>
    </row>
    <row r="307" spans="1:1">
      <c r="A307" s="30" t="s">
        <v>446</v>
      </c>
    </row>
    <row r="308" spans="1:1">
      <c r="A308" s="30" t="s">
        <v>447</v>
      </c>
    </row>
    <row r="309" spans="1:1">
      <c r="A309" s="30" t="s">
        <v>448</v>
      </c>
    </row>
    <row r="310" spans="1:1">
      <c r="A310" s="30" t="s">
        <v>449</v>
      </c>
    </row>
    <row r="311" spans="1:1">
      <c r="A311" s="30" t="s">
        <v>450</v>
      </c>
    </row>
    <row r="312" spans="1:1">
      <c r="A312" s="30" t="s">
        <v>451</v>
      </c>
    </row>
    <row r="313" spans="1:1">
      <c r="A313" s="30" t="s">
        <v>452</v>
      </c>
    </row>
    <row r="314" spans="1:1">
      <c r="A314" s="30" t="s">
        <v>453</v>
      </c>
    </row>
    <row r="315" spans="1:1">
      <c r="A315" s="30" t="s">
        <v>454</v>
      </c>
    </row>
    <row r="316" spans="1:1">
      <c r="A316" s="30" t="s">
        <v>455</v>
      </c>
    </row>
    <row r="317" spans="1:1">
      <c r="A317" s="30" t="s">
        <v>456</v>
      </c>
    </row>
    <row r="318" spans="1:1">
      <c r="A318" s="30" t="s">
        <v>457</v>
      </c>
    </row>
    <row r="319" spans="1:1">
      <c r="A319" s="30" t="s">
        <v>458</v>
      </c>
    </row>
    <row r="320" spans="1:1">
      <c r="A320" s="30" t="s">
        <v>459</v>
      </c>
    </row>
    <row r="321" spans="1:1">
      <c r="A321" s="30" t="s">
        <v>460</v>
      </c>
    </row>
    <row r="322" spans="1:1">
      <c r="A322" s="30" t="s">
        <v>461</v>
      </c>
    </row>
    <row r="323" spans="1:1">
      <c r="A323" s="30" t="s">
        <v>462</v>
      </c>
    </row>
    <row r="324" spans="1:1">
      <c r="A324" s="30" t="s">
        <v>463</v>
      </c>
    </row>
    <row r="325" spans="1:1">
      <c r="A325" s="31" t="s">
        <v>464</v>
      </c>
    </row>
    <row r="326" spans="1:1">
      <c r="A326" s="31" t="s">
        <v>465</v>
      </c>
    </row>
    <row r="327" spans="1:1">
      <c r="A327" s="31" t="s">
        <v>466</v>
      </c>
    </row>
    <row r="328" spans="1:1">
      <c r="A328" s="31" t="s">
        <v>467</v>
      </c>
    </row>
    <row r="329" spans="1:1">
      <c r="A329" s="31" t="s">
        <v>469</v>
      </c>
    </row>
    <row r="330" spans="1:1">
      <c r="A330" s="31" t="s">
        <v>470</v>
      </c>
    </row>
    <row r="331" spans="1:1">
      <c r="A331" s="31" t="s">
        <v>471</v>
      </c>
    </row>
    <row r="332" spans="1:1">
      <c r="A332" s="31" t="s">
        <v>472</v>
      </c>
    </row>
    <row r="333" spans="1:1">
      <c r="A333" s="31" t="s">
        <v>473</v>
      </c>
    </row>
    <row r="334" spans="1:1">
      <c r="A334" s="31" t="s">
        <v>474</v>
      </c>
    </row>
    <row r="335" spans="1:1">
      <c r="A335" s="31" t="s">
        <v>475</v>
      </c>
    </row>
    <row r="336" spans="1:1">
      <c r="A336" s="31" t="s">
        <v>476</v>
      </c>
    </row>
    <row r="337" spans="1:1">
      <c r="A337" s="31" t="s">
        <v>477</v>
      </c>
    </row>
    <row r="338" spans="1:1">
      <c r="A338" s="31" t="s">
        <v>478</v>
      </c>
    </row>
    <row r="339" spans="1:1">
      <c r="A339" s="31" t="s">
        <v>479</v>
      </c>
    </row>
    <row r="340" spans="1:1">
      <c r="A340" s="31" t="s">
        <v>480</v>
      </c>
    </row>
    <row r="341" spans="1:1">
      <c r="A341" s="31" t="s">
        <v>481</v>
      </c>
    </row>
    <row r="342" spans="1:1">
      <c r="A342" s="31" t="s">
        <v>482</v>
      </c>
    </row>
    <row r="343" spans="1:1">
      <c r="A343" s="31" t="s">
        <v>483</v>
      </c>
    </row>
    <row r="344" spans="1:1">
      <c r="A344" s="31" t="s">
        <v>485</v>
      </c>
    </row>
    <row r="345" spans="1:1">
      <c r="A345" s="31" t="s">
        <v>487</v>
      </c>
    </row>
    <row r="346" spans="1:1">
      <c r="A346" s="31" t="s">
        <v>488</v>
      </c>
    </row>
    <row r="347" spans="1:1">
      <c r="A347" s="31" t="s">
        <v>489</v>
      </c>
    </row>
    <row r="348" spans="1:1">
      <c r="A348" s="31" t="s">
        <v>490</v>
      </c>
    </row>
    <row r="349" spans="1:1">
      <c r="A349" s="31" t="s">
        <v>491</v>
      </c>
    </row>
    <row r="350" spans="1:1">
      <c r="A350" s="31" t="s">
        <v>492</v>
      </c>
    </row>
    <row r="351" spans="1:1">
      <c r="A351" s="31" t="s">
        <v>493</v>
      </c>
    </row>
    <row r="352" spans="1:1">
      <c r="A352" s="31" t="s">
        <v>494</v>
      </c>
    </row>
    <row r="353" spans="1:1">
      <c r="A353" s="31" t="s">
        <v>496</v>
      </c>
    </row>
    <row r="354" spans="1:1">
      <c r="A354" s="31" t="s">
        <v>498</v>
      </c>
    </row>
    <row r="355" spans="1:1">
      <c r="A355" s="31" t="s">
        <v>499</v>
      </c>
    </row>
    <row r="356" spans="1:1">
      <c r="A356" s="31" t="s">
        <v>500</v>
      </c>
    </row>
    <row r="357" spans="1:1">
      <c r="A357" s="31" t="s">
        <v>501</v>
      </c>
    </row>
    <row r="358" spans="1:1">
      <c r="A358" s="31" t="s">
        <v>502</v>
      </c>
    </row>
    <row r="359" spans="1:1">
      <c r="A359" s="31" t="s">
        <v>503</v>
      </c>
    </row>
    <row r="360" spans="1:1">
      <c r="A360" s="31" t="s">
        <v>504</v>
      </c>
    </row>
    <row r="361" spans="1:1">
      <c r="A361" s="31" t="s">
        <v>506</v>
      </c>
    </row>
    <row r="362" spans="1:1">
      <c r="A362" s="31" t="s">
        <v>507</v>
      </c>
    </row>
    <row r="363" spans="1:1">
      <c r="A363" s="31" t="s">
        <v>509</v>
      </c>
    </row>
    <row r="364" spans="1:1">
      <c r="A364" s="31" t="s">
        <v>510</v>
      </c>
    </row>
    <row r="365" spans="1:1">
      <c r="A365" s="31" t="s">
        <v>511</v>
      </c>
    </row>
    <row r="366" spans="1:1">
      <c r="A366" s="31" t="s">
        <v>513</v>
      </c>
    </row>
    <row r="367" spans="1:1">
      <c r="A367" s="31" t="s">
        <v>515</v>
      </c>
    </row>
    <row r="368" spans="1:1">
      <c r="A368" s="31" t="s">
        <v>516</v>
      </c>
    </row>
    <row r="369" spans="1:1">
      <c r="A369" s="31" t="s">
        <v>517</v>
      </c>
    </row>
    <row r="370" spans="1:1">
      <c r="A370" s="31" t="s">
        <v>518</v>
      </c>
    </row>
    <row r="371" spans="1:1">
      <c r="A371" s="31" t="s">
        <v>519</v>
      </c>
    </row>
    <row r="372" spans="1:1">
      <c r="A372" s="31" t="s">
        <v>520</v>
      </c>
    </row>
    <row r="373" spans="1:1">
      <c r="A373" s="31" t="s">
        <v>521</v>
      </c>
    </row>
    <row r="374" spans="1:1">
      <c r="A374" s="31" t="s">
        <v>522</v>
      </c>
    </row>
    <row r="375" spans="1:1">
      <c r="A375" s="31" t="s">
        <v>524</v>
      </c>
    </row>
    <row r="376" spans="1:1">
      <c r="A376" s="31" t="s">
        <v>525</v>
      </c>
    </row>
    <row r="377" spans="1:1">
      <c r="A377" s="31" t="s">
        <v>526</v>
      </c>
    </row>
    <row r="378" spans="1:1">
      <c r="A378" s="31" t="s">
        <v>527</v>
      </c>
    </row>
    <row r="379" spans="1:1">
      <c r="A379" s="31" t="s">
        <v>528</v>
      </c>
    </row>
    <row r="380" spans="1:1">
      <c r="A380" s="31" t="s">
        <v>529</v>
      </c>
    </row>
    <row r="381" spans="1:1">
      <c r="A381" s="31" t="s">
        <v>530</v>
      </c>
    </row>
    <row r="382" spans="1:1">
      <c r="A382" s="31" t="s">
        <v>531</v>
      </c>
    </row>
    <row r="383" spans="1:1">
      <c r="A383" s="31" t="s">
        <v>532</v>
      </c>
    </row>
    <row r="384" spans="1:1">
      <c r="A384" s="31" t="s">
        <v>533</v>
      </c>
    </row>
    <row r="385" spans="1:1">
      <c r="A385" s="31" t="s">
        <v>534</v>
      </c>
    </row>
    <row r="386" spans="1:1">
      <c r="A386" s="31" t="s">
        <v>535</v>
      </c>
    </row>
    <row r="387" spans="1:1">
      <c r="A387" s="31" t="s">
        <v>536</v>
      </c>
    </row>
    <row r="388" spans="1:1">
      <c r="A388" s="31" t="s">
        <v>537</v>
      </c>
    </row>
    <row r="389" spans="1:1">
      <c r="A389" s="31" t="s">
        <v>538</v>
      </c>
    </row>
    <row r="390" spans="1:1">
      <c r="A390" s="31" t="s">
        <v>539</v>
      </c>
    </row>
    <row r="391" spans="1:1">
      <c r="A391" s="31" t="s">
        <v>540</v>
      </c>
    </row>
    <row r="392" spans="1:1">
      <c r="A392" s="31" t="s">
        <v>541</v>
      </c>
    </row>
    <row r="393" spans="1:1">
      <c r="A393" s="31" t="s">
        <v>542</v>
      </c>
    </row>
    <row r="394" spans="1:1">
      <c r="A394" s="31" t="s">
        <v>543</v>
      </c>
    </row>
    <row r="395" spans="1:1">
      <c r="A395" s="31" t="s">
        <v>544</v>
      </c>
    </row>
    <row r="396" spans="1:1">
      <c r="A396" s="31" t="s">
        <v>545</v>
      </c>
    </row>
    <row r="397" spans="1:1">
      <c r="A397" s="31" t="s">
        <v>546</v>
      </c>
    </row>
    <row r="398" spans="1:1">
      <c r="A398" s="31" t="s">
        <v>547</v>
      </c>
    </row>
    <row r="399" spans="1:1">
      <c r="A399" s="31" t="s">
        <v>548</v>
      </c>
    </row>
    <row r="400" spans="1:1">
      <c r="A400" s="31" t="s">
        <v>549</v>
      </c>
    </row>
    <row r="401" spans="1:1">
      <c r="A401" s="31" t="s">
        <v>550</v>
      </c>
    </row>
    <row r="402" spans="1:1">
      <c r="A402" s="31" t="s">
        <v>551</v>
      </c>
    </row>
    <row r="403" spans="1:1">
      <c r="A403" s="31" t="s">
        <v>552</v>
      </c>
    </row>
    <row r="404" spans="1:1">
      <c r="A404" s="31" t="s">
        <v>553</v>
      </c>
    </row>
    <row r="405" spans="1:1">
      <c r="A405" s="31" t="s">
        <v>554</v>
      </c>
    </row>
    <row r="406" spans="1:1">
      <c r="A406" s="31" t="s">
        <v>555</v>
      </c>
    </row>
    <row r="407" spans="1:1">
      <c r="A407" s="31" t="s">
        <v>556</v>
      </c>
    </row>
    <row r="408" spans="1:1">
      <c r="A408" s="31" t="s">
        <v>557</v>
      </c>
    </row>
    <row r="409" spans="1:1">
      <c r="A409" s="31" t="s">
        <v>558</v>
      </c>
    </row>
    <row r="410" spans="1:1">
      <c r="A410" s="31" t="s">
        <v>559</v>
      </c>
    </row>
    <row r="411" spans="1:1">
      <c r="A411" s="31" t="s">
        <v>561</v>
      </c>
    </row>
    <row r="412" spans="1:1">
      <c r="A412" s="31" t="s">
        <v>562</v>
      </c>
    </row>
    <row r="413" spans="1:1">
      <c r="A413" s="31" t="s">
        <v>563</v>
      </c>
    </row>
    <row r="414" spans="1:1">
      <c r="A414" s="30" t="s">
        <v>564</v>
      </c>
    </row>
    <row r="415" spans="1:1">
      <c r="A415" s="30" t="s">
        <v>565</v>
      </c>
    </row>
    <row r="416" spans="1:1">
      <c r="A416" s="30" t="s">
        <v>566</v>
      </c>
    </row>
    <row r="417" spans="1:1">
      <c r="A417" s="30" t="s">
        <v>567</v>
      </c>
    </row>
    <row r="418" spans="1:1">
      <c r="A418" s="30" t="s">
        <v>569</v>
      </c>
    </row>
    <row r="419" spans="1:1">
      <c r="A419" s="30" t="s">
        <v>570</v>
      </c>
    </row>
    <row r="420" spans="1:1">
      <c r="A420" s="30" t="s">
        <v>571</v>
      </c>
    </row>
    <row r="421" spans="1:1">
      <c r="A421" s="30" t="s">
        <v>572</v>
      </c>
    </row>
    <row r="422" spans="1:1">
      <c r="A422" s="30" t="s">
        <v>573</v>
      </c>
    </row>
    <row r="423" spans="1:1">
      <c r="A423" s="30" t="s">
        <v>574</v>
      </c>
    </row>
    <row r="424" spans="1:1">
      <c r="A424" s="30" t="s">
        <v>575</v>
      </c>
    </row>
    <row r="425" spans="1:1">
      <c r="A425" s="30" t="s">
        <v>576</v>
      </c>
    </row>
    <row r="426" spans="1:1">
      <c r="A426" s="30" t="s">
        <v>577</v>
      </c>
    </row>
    <row r="427" spans="1:1">
      <c r="A427" s="30" t="s">
        <v>578</v>
      </c>
    </row>
    <row r="428" spans="1:1">
      <c r="A428" s="30" t="s">
        <v>579</v>
      </c>
    </row>
    <row r="429" spans="1:1">
      <c r="A429" s="30" t="s">
        <v>580</v>
      </c>
    </row>
    <row r="430" spans="1:1">
      <c r="A430" s="30"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YOSEF COHEN</dc:creator>
  <cp:keywords/>
  <dc:description/>
  <cp:lastModifiedBy/>
  <cp:revision/>
  <dcterms:created xsi:type="dcterms:W3CDTF">2021-03-13T12:33:10Z</dcterms:created>
  <dcterms:modified xsi:type="dcterms:W3CDTF">2021-03-16T10:07:05Z</dcterms:modified>
  <cp:category/>
  <cp:contentStatus/>
</cp:coreProperties>
</file>